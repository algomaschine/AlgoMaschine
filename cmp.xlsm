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FXTM\EURUSD\"/>
    </mc:Choice>
  </mc:AlternateContent>
  <bookViews>
    <workbookView xWindow="0" yWindow="0" windowWidth="23040" windowHeight="9384" tabRatio="940"/>
  </bookViews>
  <sheets>
    <sheet name="Files compared" sheetId="1590" r:id="rId1"/>
    <sheet name="Files" sheetId="11" r:id="rId2"/>
    <sheet name="Files sql" sheetId="1588" r:id="rId3"/>
    <sheet name="Files compared backup" sheetId="1587" r:id="rId4"/>
    <sheet name="Files top1" sheetId="1589" r:id="rId5"/>
  </sheets>
  <definedNames>
    <definedName name="_xlnm._FilterDatabase" localSheetId="0" hidden="1">'Files compared'!$H$1:$H$122</definedName>
    <definedName name="cmp_1" localSheetId="4">'Files top1'!$A$2:$F$122</definedName>
  </definedNames>
  <calcPr calcId="152511"/>
</workbook>
</file>

<file path=xl/calcChain.xml><?xml version="1.0" encoding="utf-8"?>
<calcChain xmlns="http://schemas.openxmlformats.org/spreadsheetml/2006/main">
  <c r="I3" i="1587" l="1"/>
  <c r="M3" i="1587"/>
  <c r="N3" i="1587"/>
  <c r="O3" i="1587"/>
  <c r="I4" i="1587"/>
  <c r="M4" i="1587"/>
  <c r="N4" i="1587"/>
  <c r="O4" i="1587"/>
  <c r="I5" i="1587"/>
  <c r="M5" i="1587"/>
  <c r="N5" i="1587"/>
  <c r="O5" i="1587"/>
  <c r="I6" i="1587"/>
  <c r="M6" i="1587"/>
  <c r="N6" i="1587"/>
  <c r="O6" i="1587"/>
  <c r="I7" i="1587"/>
  <c r="M7" i="1587"/>
  <c r="N7" i="1587"/>
  <c r="O7" i="1587"/>
  <c r="I8" i="1587"/>
  <c r="M8" i="1587"/>
  <c r="N8" i="1587"/>
  <c r="O8" i="1587"/>
  <c r="I9" i="1587"/>
  <c r="M9" i="1587"/>
  <c r="N9" i="1587"/>
  <c r="O9" i="1587"/>
  <c r="I10" i="1587"/>
  <c r="M10" i="1587"/>
  <c r="N10" i="1587"/>
  <c r="O10" i="1587"/>
  <c r="I11" i="1587"/>
  <c r="M11" i="1587"/>
  <c r="N11" i="1587"/>
  <c r="O11" i="1587"/>
  <c r="I12" i="1587"/>
  <c r="M12" i="1587"/>
  <c r="N12" i="1587"/>
  <c r="O12" i="1587"/>
  <c r="I13" i="1587"/>
  <c r="M13" i="1587"/>
  <c r="N13" i="1587"/>
  <c r="O13" i="1587"/>
  <c r="I14" i="1587"/>
  <c r="M14" i="1587"/>
  <c r="N14" i="1587"/>
  <c r="O14" i="1587"/>
  <c r="I15" i="1587"/>
  <c r="M15" i="1587"/>
  <c r="N15" i="1587"/>
  <c r="O15" i="1587"/>
  <c r="I16" i="1587"/>
  <c r="M16" i="1587"/>
  <c r="N16" i="1587"/>
  <c r="O16" i="1587"/>
  <c r="I17" i="1587"/>
  <c r="M17" i="1587"/>
  <c r="N17" i="1587"/>
  <c r="O17" i="1587"/>
  <c r="I18" i="1587"/>
  <c r="M18" i="1587"/>
  <c r="N18" i="1587"/>
  <c r="O18" i="1587"/>
  <c r="I19" i="1587"/>
  <c r="M19" i="1587"/>
  <c r="N19" i="1587"/>
  <c r="O19" i="1587"/>
  <c r="I20" i="1587"/>
  <c r="M20" i="1587"/>
  <c r="N20" i="1587"/>
  <c r="O20" i="1587"/>
  <c r="I21" i="1587"/>
  <c r="M21" i="1587"/>
  <c r="N21" i="1587"/>
  <c r="O21" i="1587"/>
  <c r="I22" i="1587"/>
  <c r="M22" i="1587"/>
  <c r="N22" i="1587"/>
  <c r="O22" i="1587"/>
  <c r="I23" i="1587"/>
  <c r="M23" i="1587"/>
  <c r="N23" i="1587"/>
  <c r="O23" i="1587"/>
  <c r="I24" i="1587"/>
  <c r="M24" i="1587"/>
  <c r="N24" i="1587"/>
  <c r="O24" i="1587"/>
  <c r="I25" i="1587"/>
  <c r="M25" i="1587"/>
  <c r="N25" i="1587"/>
  <c r="O25" i="1587"/>
  <c r="I26" i="1587"/>
  <c r="M26" i="1587"/>
  <c r="N26" i="1587"/>
  <c r="O26" i="1587"/>
  <c r="I27" i="1587"/>
  <c r="M27" i="1587"/>
  <c r="N27" i="1587"/>
  <c r="O27" i="1587"/>
  <c r="I28" i="1587"/>
  <c r="M28" i="1587"/>
  <c r="N28" i="1587"/>
  <c r="O28" i="1587"/>
  <c r="I29" i="1587"/>
  <c r="M29" i="1587"/>
  <c r="N29" i="1587"/>
  <c r="O29" i="1587"/>
  <c r="I30" i="1587"/>
  <c r="M30" i="1587"/>
  <c r="N30" i="1587"/>
  <c r="O30" i="1587"/>
  <c r="I31" i="1587"/>
  <c r="M31" i="1587"/>
  <c r="N31" i="1587"/>
  <c r="O31" i="1587"/>
  <c r="I32" i="1587"/>
  <c r="M32" i="1587"/>
  <c r="N32" i="1587"/>
  <c r="O32" i="1587"/>
  <c r="I33" i="1587"/>
  <c r="M33" i="1587"/>
  <c r="N33" i="1587"/>
  <c r="O33" i="1587"/>
  <c r="I34" i="1587"/>
  <c r="M34" i="1587"/>
  <c r="N34" i="1587"/>
  <c r="O34" i="1587"/>
  <c r="I35" i="1587"/>
  <c r="M35" i="1587"/>
  <c r="N35" i="1587"/>
  <c r="O35" i="1587"/>
  <c r="I36" i="1587"/>
  <c r="M36" i="1587"/>
  <c r="N36" i="1587"/>
  <c r="O36" i="1587"/>
  <c r="I37" i="1587"/>
  <c r="M37" i="1587"/>
  <c r="N37" i="1587"/>
  <c r="O37" i="1587"/>
  <c r="I38" i="1587"/>
  <c r="M38" i="1587"/>
  <c r="N38" i="1587"/>
  <c r="O38" i="1587"/>
  <c r="I39" i="1587"/>
  <c r="M39" i="1587"/>
  <c r="N39" i="1587"/>
  <c r="O39" i="1587"/>
  <c r="I40" i="1587"/>
  <c r="M40" i="1587"/>
  <c r="N40" i="1587"/>
  <c r="O40" i="1587"/>
  <c r="I41" i="1587"/>
  <c r="M41" i="1587"/>
  <c r="N41" i="1587"/>
  <c r="O41" i="1587"/>
  <c r="I42" i="1587"/>
  <c r="M42" i="1587"/>
  <c r="N42" i="1587"/>
  <c r="O42" i="1587"/>
  <c r="I43" i="1587"/>
  <c r="M43" i="1587"/>
  <c r="N43" i="1587"/>
  <c r="O43" i="1587"/>
  <c r="I44" i="1587"/>
  <c r="M44" i="1587"/>
  <c r="N44" i="1587"/>
  <c r="O44" i="1587"/>
  <c r="I45" i="1587"/>
  <c r="M45" i="1587"/>
  <c r="N45" i="1587"/>
  <c r="O45" i="1587"/>
  <c r="I46" i="1587"/>
  <c r="M46" i="1587"/>
  <c r="N46" i="1587"/>
  <c r="O46" i="1587"/>
  <c r="I47" i="1587"/>
  <c r="M47" i="1587"/>
  <c r="N47" i="1587"/>
  <c r="O47" i="1587"/>
  <c r="I48" i="1587"/>
  <c r="M48" i="1587"/>
  <c r="N48" i="1587"/>
  <c r="O48" i="1587"/>
  <c r="I49" i="1587"/>
  <c r="M49" i="1587"/>
  <c r="N49" i="1587"/>
  <c r="O49" i="1587"/>
  <c r="I50" i="1587"/>
  <c r="M50" i="1587"/>
  <c r="N50" i="1587"/>
  <c r="O50" i="1587"/>
  <c r="I51" i="1587"/>
  <c r="M51" i="1587"/>
  <c r="N51" i="1587"/>
  <c r="O51" i="1587"/>
  <c r="I52" i="1587"/>
  <c r="M52" i="1587"/>
  <c r="N52" i="1587"/>
  <c r="O52" i="1587"/>
  <c r="I53" i="1587"/>
  <c r="M53" i="1587"/>
  <c r="N53" i="1587"/>
  <c r="O53" i="1587"/>
  <c r="I54" i="1587"/>
  <c r="M54" i="1587"/>
  <c r="N54" i="1587"/>
  <c r="O54" i="1587"/>
  <c r="I55" i="1587"/>
  <c r="M55" i="1587"/>
  <c r="N55" i="1587"/>
  <c r="O55" i="1587"/>
  <c r="I56" i="1587"/>
  <c r="M56" i="1587"/>
  <c r="N56" i="1587"/>
  <c r="O56" i="1587"/>
  <c r="I57" i="1587"/>
  <c r="M57" i="1587"/>
  <c r="N57" i="1587"/>
  <c r="O57" i="1587"/>
  <c r="I58" i="1587"/>
  <c r="M58" i="1587"/>
  <c r="N58" i="1587"/>
  <c r="O58" i="1587"/>
  <c r="I59" i="1587"/>
  <c r="M59" i="1587"/>
  <c r="N59" i="1587"/>
  <c r="O59" i="1587"/>
  <c r="I60" i="1587"/>
  <c r="M60" i="1587"/>
  <c r="N60" i="1587"/>
  <c r="O60" i="1587"/>
  <c r="I61" i="1587"/>
  <c r="M61" i="1587"/>
  <c r="N61" i="1587"/>
  <c r="O61" i="1587"/>
  <c r="I62" i="1587"/>
  <c r="M62" i="1587"/>
  <c r="N62" i="1587"/>
  <c r="O62" i="1587"/>
  <c r="I63" i="1587"/>
  <c r="M63" i="1587"/>
  <c r="N63" i="1587"/>
  <c r="O63" i="1587"/>
  <c r="I64" i="1587"/>
  <c r="M64" i="1587"/>
  <c r="N64" i="1587"/>
  <c r="O64" i="1587"/>
  <c r="I65" i="1587"/>
  <c r="M65" i="1587"/>
  <c r="N65" i="1587"/>
  <c r="O65" i="1587"/>
  <c r="I66" i="1587"/>
  <c r="M66" i="1587"/>
  <c r="N66" i="1587"/>
  <c r="O66" i="1587"/>
  <c r="I67" i="1587"/>
  <c r="M67" i="1587"/>
  <c r="N67" i="1587"/>
  <c r="O67" i="1587"/>
  <c r="I68" i="1587"/>
  <c r="M68" i="1587"/>
  <c r="N68" i="1587"/>
  <c r="O68" i="1587"/>
  <c r="I69" i="1587"/>
  <c r="M69" i="1587"/>
  <c r="N69" i="1587"/>
  <c r="O69" i="1587"/>
  <c r="I70" i="1587"/>
  <c r="M70" i="1587"/>
  <c r="N70" i="1587"/>
  <c r="O70" i="1587"/>
  <c r="I71" i="1587"/>
  <c r="M71" i="1587"/>
  <c r="N71" i="1587"/>
  <c r="O71" i="1587"/>
  <c r="I72" i="1587"/>
  <c r="M72" i="1587"/>
  <c r="N72" i="1587"/>
  <c r="O72" i="1587"/>
  <c r="I73" i="1587"/>
  <c r="M73" i="1587"/>
  <c r="N73" i="1587"/>
  <c r="O73" i="1587"/>
  <c r="I74" i="1587"/>
  <c r="M74" i="1587"/>
  <c r="N74" i="1587"/>
  <c r="O74" i="1587"/>
  <c r="I75" i="1587"/>
  <c r="M75" i="1587"/>
  <c r="N75" i="1587"/>
  <c r="O75" i="1587"/>
  <c r="I76" i="1587"/>
  <c r="M76" i="1587"/>
  <c r="N76" i="1587"/>
  <c r="O76" i="1587"/>
  <c r="I77" i="1587"/>
  <c r="M77" i="1587"/>
  <c r="N77" i="1587"/>
  <c r="O77" i="1587"/>
  <c r="I78" i="1587"/>
  <c r="M78" i="1587"/>
  <c r="N78" i="1587"/>
  <c r="O78" i="1587"/>
  <c r="I79" i="1587"/>
  <c r="M79" i="1587"/>
  <c r="N79" i="1587"/>
  <c r="O79" i="1587"/>
  <c r="I80" i="1587"/>
  <c r="M80" i="1587"/>
  <c r="N80" i="1587"/>
  <c r="O80" i="1587"/>
  <c r="I81" i="1587"/>
  <c r="M81" i="1587"/>
  <c r="N81" i="1587"/>
  <c r="O81" i="1587"/>
  <c r="I82" i="1587"/>
  <c r="M82" i="1587"/>
  <c r="N82" i="1587"/>
  <c r="O82" i="1587"/>
  <c r="I83" i="1587"/>
  <c r="M83" i="1587"/>
  <c r="N83" i="1587"/>
  <c r="O83" i="1587"/>
  <c r="I84" i="1587"/>
  <c r="M84" i="1587"/>
  <c r="N84" i="1587"/>
  <c r="O84" i="1587"/>
  <c r="I85" i="1587"/>
  <c r="M85" i="1587"/>
  <c r="N85" i="1587"/>
  <c r="O85" i="1587"/>
  <c r="I86" i="1587"/>
  <c r="M86" i="1587"/>
  <c r="N86" i="1587"/>
  <c r="O86" i="1587"/>
  <c r="I87" i="1587"/>
  <c r="M87" i="1587"/>
  <c r="N87" i="1587"/>
  <c r="O87" i="1587"/>
  <c r="I88" i="1587"/>
  <c r="M88" i="1587"/>
  <c r="N88" i="1587"/>
  <c r="O88" i="1587"/>
  <c r="I89" i="1587"/>
  <c r="M89" i="1587"/>
  <c r="N89" i="1587"/>
  <c r="O89" i="1587"/>
  <c r="I90" i="1587"/>
  <c r="M90" i="1587"/>
  <c r="N90" i="1587"/>
  <c r="O90" i="1587"/>
  <c r="I91" i="1587"/>
  <c r="M91" i="1587"/>
  <c r="N91" i="1587"/>
  <c r="O91" i="1587"/>
  <c r="I92" i="1587"/>
  <c r="M92" i="1587"/>
  <c r="N92" i="1587"/>
  <c r="O92" i="1587"/>
  <c r="I93" i="1587"/>
  <c r="M93" i="1587"/>
  <c r="N93" i="1587"/>
  <c r="O93" i="1587"/>
  <c r="I94" i="1587"/>
  <c r="M94" i="1587"/>
  <c r="N94" i="1587"/>
  <c r="O94" i="1587"/>
  <c r="I95" i="1587"/>
  <c r="M95" i="1587"/>
  <c r="N95" i="1587"/>
  <c r="O95" i="1587"/>
  <c r="I96" i="1587"/>
  <c r="M96" i="1587"/>
  <c r="N96" i="1587"/>
  <c r="O96" i="1587"/>
  <c r="I97" i="1587"/>
  <c r="M97" i="1587"/>
  <c r="N97" i="1587"/>
  <c r="O97" i="1587"/>
  <c r="I98" i="1587"/>
  <c r="M98" i="1587"/>
  <c r="N98" i="1587"/>
  <c r="O98" i="1587"/>
  <c r="I99" i="1587"/>
  <c r="M99" i="1587"/>
  <c r="N99" i="1587"/>
  <c r="O99" i="1587"/>
  <c r="I100" i="1587"/>
  <c r="M100" i="1587"/>
  <c r="N100" i="1587"/>
  <c r="O100" i="1587"/>
  <c r="I101" i="1587"/>
  <c r="M101" i="1587"/>
  <c r="N101" i="1587"/>
  <c r="O101" i="1587"/>
  <c r="I102" i="1587"/>
  <c r="M102" i="1587"/>
  <c r="N102" i="1587"/>
  <c r="O102" i="1587"/>
  <c r="I103" i="1587"/>
  <c r="M103" i="1587"/>
  <c r="N103" i="1587"/>
  <c r="O103" i="1587"/>
  <c r="I104" i="1587"/>
  <c r="M104" i="1587"/>
  <c r="N104" i="1587"/>
  <c r="O104" i="1587"/>
  <c r="I105" i="1587"/>
  <c r="M105" i="1587"/>
  <c r="N105" i="1587"/>
  <c r="O105" i="1587"/>
  <c r="I106" i="1587"/>
  <c r="M106" i="1587"/>
  <c r="N106" i="1587"/>
  <c r="O106" i="1587"/>
  <c r="I107" i="1587"/>
  <c r="M107" i="1587"/>
  <c r="N107" i="1587"/>
  <c r="O107" i="1587"/>
  <c r="I108" i="1587"/>
  <c r="M108" i="1587"/>
  <c r="N108" i="1587"/>
  <c r="O108" i="1587"/>
  <c r="I109" i="1587"/>
  <c r="M109" i="1587"/>
  <c r="N109" i="1587"/>
  <c r="O109" i="1587"/>
  <c r="I110" i="1587"/>
  <c r="M110" i="1587"/>
  <c r="N110" i="1587"/>
  <c r="O110" i="1587"/>
  <c r="I111" i="1587"/>
  <c r="M111" i="1587"/>
  <c r="N111" i="1587"/>
  <c r="O111" i="1587"/>
  <c r="I112" i="1587"/>
  <c r="M112" i="1587"/>
  <c r="N112" i="1587"/>
  <c r="O112" i="1587"/>
  <c r="I113" i="1587"/>
  <c r="M113" i="1587"/>
  <c r="N113" i="1587"/>
  <c r="O113" i="1587"/>
  <c r="I114" i="1587"/>
  <c r="M114" i="1587"/>
  <c r="N114" i="1587"/>
  <c r="O114" i="1587"/>
  <c r="I115" i="1587"/>
  <c r="M115" i="1587"/>
  <c r="N115" i="1587"/>
  <c r="O115" i="1587"/>
  <c r="I116" i="1587"/>
  <c r="M116" i="1587"/>
  <c r="N116" i="1587"/>
  <c r="O116" i="1587"/>
  <c r="I117" i="1587"/>
  <c r="M117" i="1587"/>
  <c r="N117" i="1587"/>
  <c r="O117" i="1587"/>
  <c r="I118" i="1587"/>
  <c r="M118" i="1587"/>
  <c r="N118" i="1587"/>
  <c r="O118" i="1587"/>
  <c r="I119" i="1587"/>
  <c r="M119" i="1587"/>
  <c r="N119" i="1587"/>
  <c r="O119" i="1587"/>
  <c r="I120" i="1587"/>
  <c r="M120" i="1587"/>
  <c r="N120" i="1587"/>
  <c r="O120" i="1587"/>
  <c r="I121" i="1587"/>
  <c r="M121" i="1587"/>
  <c r="N121" i="1587"/>
  <c r="O121" i="1587"/>
  <c r="I122" i="1587"/>
  <c r="M122" i="1587"/>
  <c r="N122" i="1587"/>
  <c r="O122" i="1587"/>
  <c r="O2" i="1587"/>
  <c r="N2" i="1587"/>
  <c r="M2" i="1587"/>
  <c r="I2" i="1587"/>
  <c r="C2" i="1588"/>
  <c r="C3" i="1588"/>
  <c r="C4" i="1588"/>
  <c r="C5" i="1588"/>
  <c r="C6" i="1588"/>
  <c r="C7" i="1588"/>
  <c r="C8" i="1588"/>
  <c r="C9" i="1588"/>
  <c r="C10" i="1588"/>
  <c r="C11" i="1588"/>
  <c r="C12" i="1588"/>
  <c r="C13" i="1588"/>
  <c r="C14" i="1588"/>
  <c r="C15" i="1588"/>
  <c r="C16" i="1588"/>
  <c r="C17" i="1588"/>
  <c r="C18" i="1588"/>
  <c r="C19" i="1588"/>
  <c r="C20" i="1588"/>
  <c r="C21" i="1588"/>
  <c r="C22" i="1588"/>
  <c r="C23" i="1588"/>
  <c r="C24" i="1588"/>
  <c r="C25" i="1588"/>
  <c r="C26" i="1588"/>
  <c r="C27" i="1588"/>
  <c r="C28" i="1588"/>
  <c r="C29" i="1588"/>
  <c r="C30" i="1588"/>
  <c r="C31" i="1588"/>
  <c r="C32" i="1588"/>
  <c r="C33" i="1588"/>
  <c r="C34" i="1588"/>
  <c r="C35" i="1588"/>
  <c r="C36" i="1588"/>
  <c r="C37" i="1588"/>
  <c r="C38" i="1588"/>
  <c r="C39" i="1588"/>
  <c r="C40" i="1588"/>
  <c r="C41" i="1588"/>
  <c r="C42" i="1588"/>
  <c r="C43" i="1588"/>
  <c r="C44" i="1588"/>
  <c r="C45" i="1588"/>
  <c r="C46" i="1588"/>
  <c r="C47" i="1588"/>
  <c r="C48" i="1588"/>
  <c r="C49" i="1588"/>
  <c r="C50" i="1588"/>
  <c r="C51" i="1588"/>
  <c r="C52" i="1588"/>
  <c r="C53" i="1588"/>
  <c r="C54" i="1588"/>
  <c r="C55" i="1588"/>
  <c r="C56" i="1588"/>
  <c r="C57" i="1588"/>
  <c r="C58" i="1588"/>
  <c r="C59" i="1588"/>
  <c r="C60" i="1588"/>
  <c r="C61" i="1588"/>
  <c r="C62" i="1588"/>
  <c r="C63" i="1588"/>
  <c r="C64" i="1588"/>
  <c r="C65" i="1588"/>
  <c r="C66" i="1588"/>
  <c r="C67" i="1588"/>
  <c r="C68" i="1588"/>
  <c r="C69" i="1588"/>
  <c r="C70" i="1588"/>
  <c r="C71" i="1588"/>
  <c r="C72" i="1588"/>
  <c r="C73" i="1588"/>
  <c r="C74" i="1588"/>
  <c r="C75" i="1588"/>
  <c r="C76" i="1588"/>
  <c r="C77" i="1588"/>
  <c r="C78" i="1588"/>
  <c r="C79" i="1588"/>
  <c r="C80" i="1588"/>
  <c r="C81" i="1588"/>
  <c r="C82" i="1588"/>
  <c r="C83" i="1588"/>
  <c r="C84" i="1588"/>
  <c r="C85" i="1588"/>
  <c r="C86" i="1588"/>
  <c r="C87" i="1588"/>
  <c r="C88" i="1588"/>
  <c r="C89" i="1588"/>
  <c r="C90" i="1588"/>
  <c r="C91" i="1588"/>
  <c r="C92" i="1588"/>
  <c r="C93" i="1588"/>
  <c r="C94" i="1588"/>
  <c r="C95" i="1588"/>
  <c r="C96" i="1588"/>
  <c r="C97" i="1588"/>
  <c r="C98" i="1588"/>
  <c r="C99" i="1588"/>
  <c r="C100" i="1588"/>
  <c r="C101" i="1588"/>
  <c r="C102" i="1588"/>
  <c r="C103" i="1588"/>
  <c r="C104" i="1588"/>
  <c r="C105" i="1588"/>
  <c r="C106" i="1588"/>
  <c r="C107" i="1588"/>
  <c r="C108" i="1588"/>
  <c r="C109" i="1588"/>
  <c r="C110" i="1588"/>
  <c r="C111" i="1588"/>
  <c r="C112" i="1588"/>
  <c r="C113" i="1588"/>
  <c r="C114" i="1588"/>
  <c r="C115" i="1588"/>
  <c r="C116" i="1588"/>
  <c r="C117" i="1588"/>
  <c r="C118" i="1588"/>
  <c r="C119" i="1588"/>
  <c r="C120" i="1588"/>
  <c r="C121" i="1588"/>
  <c r="C1" i="1588"/>
  <c r="H122" i="1587" l="1"/>
  <c r="J122" i="1587" s="1"/>
  <c r="H20" i="1587"/>
  <c r="J20" i="1587" s="1"/>
  <c r="H21" i="1587"/>
  <c r="J21" i="1587" s="1"/>
  <c r="H22" i="1587"/>
  <c r="J22" i="1587" s="1"/>
  <c r="H23" i="1587"/>
  <c r="J23" i="1587" s="1"/>
  <c r="H24" i="1587"/>
  <c r="J24" i="1587" s="1"/>
  <c r="H25" i="1587"/>
  <c r="J25" i="1587" s="1"/>
  <c r="H26" i="1587"/>
  <c r="J26" i="1587" s="1"/>
  <c r="H27" i="1587"/>
  <c r="J27" i="1587" s="1"/>
  <c r="H28" i="1587"/>
  <c r="J28" i="1587" s="1"/>
  <c r="H29" i="1587"/>
  <c r="J29" i="1587" s="1"/>
  <c r="H30" i="1587"/>
  <c r="J30" i="1587" s="1"/>
  <c r="H31" i="1587"/>
  <c r="J31" i="1587" s="1"/>
  <c r="H32" i="1587"/>
  <c r="J32" i="1587" s="1"/>
  <c r="H33" i="1587"/>
  <c r="J33" i="1587" s="1"/>
  <c r="H34" i="1587"/>
  <c r="J34" i="1587" s="1"/>
  <c r="H35" i="1587"/>
  <c r="J35" i="1587" s="1"/>
  <c r="H36" i="1587"/>
  <c r="J36" i="1587" s="1"/>
  <c r="H37" i="1587"/>
  <c r="J37" i="1587" s="1"/>
  <c r="H38" i="1587"/>
  <c r="J38" i="1587" s="1"/>
  <c r="H39" i="1587"/>
  <c r="J39" i="1587" s="1"/>
  <c r="H40" i="1587"/>
  <c r="J40" i="1587" s="1"/>
  <c r="H41" i="1587"/>
  <c r="J41" i="1587" s="1"/>
  <c r="H42" i="1587"/>
  <c r="J42" i="1587" s="1"/>
  <c r="H43" i="1587"/>
  <c r="J43" i="1587" s="1"/>
  <c r="H44" i="1587"/>
  <c r="J44" i="1587" s="1"/>
  <c r="H45" i="1587"/>
  <c r="J45" i="1587" s="1"/>
  <c r="H46" i="1587"/>
  <c r="J46" i="1587" s="1"/>
  <c r="H47" i="1587"/>
  <c r="J47" i="1587" s="1"/>
  <c r="H48" i="1587"/>
  <c r="J48" i="1587" s="1"/>
  <c r="H49" i="1587"/>
  <c r="J49" i="1587" s="1"/>
  <c r="H50" i="1587"/>
  <c r="J50" i="1587" s="1"/>
  <c r="H51" i="1587"/>
  <c r="J51" i="1587" s="1"/>
  <c r="H52" i="1587"/>
  <c r="J52" i="1587" s="1"/>
  <c r="H53" i="1587"/>
  <c r="J53" i="1587" s="1"/>
  <c r="H54" i="1587"/>
  <c r="J54" i="1587" s="1"/>
  <c r="H55" i="1587"/>
  <c r="J55" i="1587" s="1"/>
  <c r="H56" i="1587"/>
  <c r="J56" i="1587" s="1"/>
  <c r="H57" i="1587"/>
  <c r="J57" i="1587" s="1"/>
  <c r="H58" i="1587"/>
  <c r="J58" i="1587" s="1"/>
  <c r="H59" i="1587"/>
  <c r="J59" i="1587" s="1"/>
  <c r="H60" i="1587"/>
  <c r="J60" i="1587" s="1"/>
  <c r="H61" i="1587"/>
  <c r="J61" i="1587" s="1"/>
  <c r="H62" i="1587"/>
  <c r="J62" i="1587" s="1"/>
  <c r="H63" i="1587"/>
  <c r="J63" i="1587" s="1"/>
  <c r="H64" i="1587"/>
  <c r="J64" i="1587" s="1"/>
  <c r="H65" i="1587"/>
  <c r="J65" i="1587" s="1"/>
  <c r="H66" i="1587"/>
  <c r="J66" i="1587" s="1"/>
  <c r="H67" i="1587"/>
  <c r="J67" i="1587" s="1"/>
  <c r="H68" i="1587"/>
  <c r="J68" i="1587" s="1"/>
  <c r="H69" i="1587"/>
  <c r="J69" i="1587" s="1"/>
  <c r="H70" i="1587"/>
  <c r="J70" i="1587" s="1"/>
  <c r="H71" i="1587"/>
  <c r="J71" i="1587" s="1"/>
  <c r="H72" i="1587"/>
  <c r="J72" i="1587" s="1"/>
  <c r="H73" i="1587"/>
  <c r="J73" i="1587" s="1"/>
  <c r="H74" i="1587"/>
  <c r="J74" i="1587" s="1"/>
  <c r="H75" i="1587"/>
  <c r="J75" i="1587" s="1"/>
  <c r="H76" i="1587"/>
  <c r="J76" i="1587" s="1"/>
  <c r="H77" i="1587"/>
  <c r="J77" i="1587" s="1"/>
  <c r="H78" i="1587"/>
  <c r="J78" i="1587" s="1"/>
  <c r="H79" i="1587"/>
  <c r="J79" i="1587" s="1"/>
  <c r="H80" i="1587"/>
  <c r="J80" i="1587" s="1"/>
  <c r="H81" i="1587"/>
  <c r="J81" i="1587" s="1"/>
  <c r="H82" i="1587"/>
  <c r="J82" i="1587" s="1"/>
  <c r="H83" i="1587"/>
  <c r="J83" i="1587" s="1"/>
  <c r="H84" i="1587"/>
  <c r="J84" i="1587" s="1"/>
  <c r="H85" i="1587"/>
  <c r="J85" i="1587" s="1"/>
  <c r="H86" i="1587"/>
  <c r="J86" i="1587" s="1"/>
  <c r="H87" i="1587"/>
  <c r="J87" i="1587" s="1"/>
  <c r="H88" i="1587"/>
  <c r="J88" i="1587" s="1"/>
  <c r="H89" i="1587"/>
  <c r="J89" i="1587" s="1"/>
  <c r="H90" i="1587"/>
  <c r="J90" i="1587" s="1"/>
  <c r="H91" i="1587"/>
  <c r="J91" i="1587" s="1"/>
  <c r="H92" i="1587"/>
  <c r="J92" i="1587" s="1"/>
  <c r="H93" i="1587"/>
  <c r="J93" i="1587" s="1"/>
  <c r="H94" i="1587"/>
  <c r="J94" i="1587" s="1"/>
  <c r="H95" i="1587"/>
  <c r="J95" i="1587" s="1"/>
  <c r="H96" i="1587"/>
  <c r="J96" i="1587" s="1"/>
  <c r="H97" i="1587"/>
  <c r="J97" i="1587" s="1"/>
  <c r="H98" i="1587"/>
  <c r="J98" i="1587" s="1"/>
  <c r="H99" i="1587"/>
  <c r="J99" i="1587" s="1"/>
  <c r="H100" i="1587"/>
  <c r="J100" i="1587" s="1"/>
  <c r="H101" i="1587"/>
  <c r="J101" i="1587" s="1"/>
  <c r="H102" i="1587"/>
  <c r="J102" i="1587" s="1"/>
  <c r="H103" i="1587"/>
  <c r="J103" i="1587" s="1"/>
  <c r="H104" i="1587"/>
  <c r="J104" i="1587" s="1"/>
  <c r="H105" i="1587"/>
  <c r="J105" i="1587" s="1"/>
  <c r="H106" i="1587"/>
  <c r="J106" i="1587" s="1"/>
  <c r="H107" i="1587"/>
  <c r="J107" i="1587" s="1"/>
  <c r="H108" i="1587"/>
  <c r="J108" i="1587" s="1"/>
  <c r="H109" i="1587"/>
  <c r="J109" i="1587" s="1"/>
  <c r="H110" i="1587"/>
  <c r="J110" i="1587" s="1"/>
  <c r="H111" i="1587"/>
  <c r="J111" i="1587" s="1"/>
  <c r="H112" i="1587"/>
  <c r="J112" i="1587" s="1"/>
  <c r="H113" i="1587"/>
  <c r="J113" i="1587" s="1"/>
  <c r="H114" i="1587"/>
  <c r="J114" i="1587" s="1"/>
  <c r="H115" i="1587"/>
  <c r="J115" i="1587" s="1"/>
  <c r="H116" i="1587"/>
  <c r="J116" i="1587" s="1"/>
  <c r="H117" i="1587"/>
  <c r="J117" i="1587" s="1"/>
  <c r="H118" i="1587"/>
  <c r="J118" i="1587" s="1"/>
  <c r="H119" i="1587"/>
  <c r="J119" i="1587" s="1"/>
  <c r="H120" i="1587"/>
  <c r="J120" i="1587" s="1"/>
  <c r="H121" i="1587"/>
  <c r="J121" i="1587" s="1"/>
  <c r="H2" i="1587"/>
  <c r="J2" i="1587" s="1"/>
  <c r="H3" i="1587"/>
  <c r="J3" i="1587" s="1"/>
  <c r="H4" i="1587"/>
  <c r="J4" i="1587" s="1"/>
  <c r="H5" i="1587"/>
  <c r="J5" i="1587" s="1"/>
  <c r="H6" i="1587"/>
  <c r="J6" i="1587" s="1"/>
  <c r="H7" i="1587"/>
  <c r="J7" i="1587" s="1"/>
  <c r="H8" i="1587"/>
  <c r="J8" i="1587" s="1"/>
  <c r="H9" i="1587"/>
  <c r="J9" i="1587" s="1"/>
  <c r="H10" i="1587"/>
  <c r="J10" i="1587" s="1"/>
  <c r="H11" i="1587"/>
  <c r="J11" i="1587" s="1"/>
  <c r="H12" i="1587"/>
  <c r="J12" i="1587" s="1"/>
  <c r="H13" i="1587"/>
  <c r="J13" i="1587" s="1"/>
  <c r="H14" i="1587"/>
  <c r="J14" i="1587" s="1"/>
  <c r="H15" i="1587"/>
  <c r="J15" i="1587" s="1"/>
  <c r="H16" i="1587"/>
  <c r="J16" i="1587" s="1"/>
  <c r="H17" i="1587"/>
  <c r="J17" i="1587" s="1"/>
  <c r="H18" i="1587"/>
  <c r="J18" i="1587" s="1"/>
  <c r="H19" i="1587"/>
  <c r="J19" i="1587" s="1"/>
  <c r="K114" i="1587" l="1"/>
  <c r="L114" i="1587"/>
  <c r="K66" i="1587"/>
  <c r="L66" i="1587"/>
  <c r="K31" i="1587"/>
  <c r="L31" i="1587"/>
  <c r="K97" i="1587"/>
  <c r="L97" i="1587"/>
  <c r="L96" i="1587"/>
  <c r="K96" i="1587"/>
  <c r="L78" i="1587"/>
  <c r="K78" i="1587"/>
  <c r="L30" i="1587"/>
  <c r="K30" i="1587"/>
  <c r="K10" i="1587"/>
  <c r="L10" i="1587"/>
  <c r="K49" i="1587"/>
  <c r="L49" i="1587"/>
  <c r="K47" i="1587"/>
  <c r="L47" i="1587"/>
  <c r="K77" i="1587"/>
  <c r="L77" i="1587"/>
  <c r="K45" i="1587"/>
  <c r="L45" i="1587"/>
  <c r="K29" i="1587"/>
  <c r="L29" i="1587"/>
  <c r="K82" i="1587"/>
  <c r="L82" i="1587"/>
  <c r="L64" i="1587"/>
  <c r="K64" i="1587"/>
  <c r="L46" i="1587"/>
  <c r="K46" i="1587"/>
  <c r="K19" i="1587"/>
  <c r="L19" i="1587"/>
  <c r="K43" i="1587"/>
  <c r="L43" i="1587"/>
  <c r="K27" i="1587"/>
  <c r="L27" i="1587"/>
  <c r="K81" i="1587"/>
  <c r="L81" i="1587"/>
  <c r="K79" i="1587"/>
  <c r="L79" i="1587"/>
  <c r="K28" i="1587"/>
  <c r="L28" i="1587"/>
  <c r="K26" i="1587"/>
  <c r="L26" i="1587"/>
  <c r="K98" i="1587"/>
  <c r="L98" i="1587"/>
  <c r="K8" i="1587"/>
  <c r="L8" i="1587"/>
  <c r="K111" i="1587"/>
  <c r="L111" i="1587"/>
  <c r="L94" i="1587"/>
  <c r="K94" i="1587"/>
  <c r="K4" i="1587"/>
  <c r="L4" i="1587"/>
  <c r="K59" i="1587"/>
  <c r="L59" i="1587"/>
  <c r="K105" i="1587"/>
  <c r="L105" i="1587"/>
  <c r="K25" i="1587"/>
  <c r="L25" i="1587"/>
  <c r="L33" i="1587"/>
  <c r="K33" i="1587"/>
  <c r="K95" i="1587"/>
  <c r="L95" i="1587"/>
  <c r="K93" i="1587"/>
  <c r="L93" i="1587"/>
  <c r="L61" i="1587"/>
  <c r="K61" i="1587"/>
  <c r="K3" i="1587"/>
  <c r="L3" i="1587"/>
  <c r="L106" i="1587"/>
  <c r="K106" i="1587"/>
  <c r="K121" i="1587"/>
  <c r="L121" i="1587"/>
  <c r="K40" i="1587"/>
  <c r="L40" i="1587"/>
  <c r="K24" i="1587"/>
  <c r="L24" i="1587"/>
  <c r="K50" i="1587"/>
  <c r="L50" i="1587"/>
  <c r="K80" i="1587"/>
  <c r="L80" i="1587"/>
  <c r="K6" i="1587"/>
  <c r="L6" i="1587"/>
  <c r="K76" i="1587"/>
  <c r="L76" i="1587"/>
  <c r="K41" i="1587"/>
  <c r="L41" i="1587"/>
  <c r="K23" i="1587"/>
  <c r="L23" i="1587"/>
  <c r="L9" i="1587"/>
  <c r="K9" i="1587"/>
  <c r="K65" i="1587"/>
  <c r="L65" i="1587"/>
  <c r="K63" i="1587"/>
  <c r="L63" i="1587"/>
  <c r="K109" i="1587"/>
  <c r="L109" i="1587"/>
  <c r="K108" i="1587"/>
  <c r="L108" i="1587"/>
  <c r="K91" i="1587"/>
  <c r="L91" i="1587"/>
  <c r="K74" i="1587"/>
  <c r="L74" i="1587"/>
  <c r="K17" i="1587"/>
  <c r="L17" i="1587"/>
  <c r="L16" i="1587"/>
  <c r="K16" i="1587"/>
  <c r="K56" i="1587"/>
  <c r="L56" i="1587"/>
  <c r="K103" i="1587"/>
  <c r="L103" i="1587"/>
  <c r="L14" i="1587"/>
  <c r="K14" i="1587"/>
  <c r="K86" i="1587"/>
  <c r="L86" i="1587"/>
  <c r="K70" i="1587"/>
  <c r="L70" i="1587"/>
  <c r="K54" i="1587"/>
  <c r="L54" i="1587"/>
  <c r="K38" i="1587"/>
  <c r="L38" i="1587"/>
  <c r="K22" i="1587"/>
  <c r="L22" i="1587"/>
  <c r="K34" i="1587"/>
  <c r="L34" i="1587"/>
  <c r="L32" i="1587"/>
  <c r="K32" i="1587"/>
  <c r="L62" i="1587"/>
  <c r="K62" i="1587"/>
  <c r="K44" i="1587"/>
  <c r="L44" i="1587"/>
  <c r="L18" i="1587"/>
  <c r="K18" i="1587"/>
  <c r="K42" i="1587"/>
  <c r="L42" i="1587"/>
  <c r="K89" i="1587"/>
  <c r="L89" i="1587"/>
  <c r="K120" i="1587"/>
  <c r="L120" i="1587"/>
  <c r="K72" i="1587"/>
  <c r="L72" i="1587"/>
  <c r="K55" i="1587"/>
  <c r="L55" i="1587"/>
  <c r="K118" i="1587"/>
  <c r="L118" i="1587"/>
  <c r="K117" i="1587"/>
  <c r="L117" i="1587"/>
  <c r="K85" i="1587"/>
  <c r="L85" i="1587"/>
  <c r="L69" i="1587"/>
  <c r="K69" i="1587"/>
  <c r="L53" i="1587"/>
  <c r="K53" i="1587"/>
  <c r="L37" i="1587"/>
  <c r="K37" i="1587"/>
  <c r="L21" i="1587"/>
  <c r="K21" i="1587"/>
  <c r="K113" i="1587"/>
  <c r="L113" i="1587"/>
  <c r="K112" i="1587"/>
  <c r="L112" i="1587"/>
  <c r="K7" i="1587"/>
  <c r="L7" i="1587"/>
  <c r="L5" i="1587"/>
  <c r="K5" i="1587"/>
  <c r="K92" i="1587"/>
  <c r="L92" i="1587"/>
  <c r="K107" i="1587"/>
  <c r="L107" i="1587"/>
  <c r="K90" i="1587"/>
  <c r="L90" i="1587"/>
  <c r="K57" i="1587"/>
  <c r="L57" i="1587"/>
  <c r="K88" i="1587"/>
  <c r="L88" i="1587"/>
  <c r="K119" i="1587"/>
  <c r="L119" i="1587"/>
  <c r="K71" i="1587"/>
  <c r="L71" i="1587"/>
  <c r="K102" i="1587"/>
  <c r="L102" i="1587"/>
  <c r="K12" i="1587"/>
  <c r="L12" i="1587"/>
  <c r="K100" i="1587"/>
  <c r="L100" i="1587"/>
  <c r="K68" i="1587"/>
  <c r="L68" i="1587"/>
  <c r="K52" i="1587"/>
  <c r="L52" i="1587"/>
  <c r="L36" i="1587"/>
  <c r="K36" i="1587"/>
  <c r="K20" i="1587"/>
  <c r="L20" i="1587"/>
  <c r="L48" i="1587"/>
  <c r="K48" i="1587"/>
  <c r="L110" i="1587"/>
  <c r="K110" i="1587"/>
  <c r="K60" i="1587"/>
  <c r="L60" i="1587"/>
  <c r="K75" i="1587"/>
  <c r="L75" i="1587"/>
  <c r="K58" i="1587"/>
  <c r="L58" i="1587"/>
  <c r="K73" i="1587"/>
  <c r="L73" i="1587"/>
  <c r="K104" i="1587"/>
  <c r="L104" i="1587"/>
  <c r="K15" i="1587"/>
  <c r="L15" i="1587"/>
  <c r="K87" i="1587"/>
  <c r="L87" i="1587"/>
  <c r="K39" i="1587"/>
  <c r="L39" i="1587"/>
  <c r="L13" i="1587"/>
  <c r="K13" i="1587"/>
  <c r="L101" i="1587"/>
  <c r="K101" i="1587"/>
  <c r="K116" i="1587"/>
  <c r="L116" i="1587"/>
  <c r="L84" i="1587"/>
  <c r="K84" i="1587"/>
  <c r="K11" i="1587"/>
  <c r="L11" i="1587"/>
  <c r="K115" i="1587"/>
  <c r="L115" i="1587"/>
  <c r="K99" i="1587"/>
  <c r="L99" i="1587"/>
  <c r="K83" i="1587"/>
  <c r="L83" i="1587"/>
  <c r="L67" i="1587"/>
  <c r="K67" i="1587"/>
  <c r="K51" i="1587"/>
  <c r="L51" i="1587"/>
  <c r="K35" i="1587"/>
  <c r="L35" i="1587"/>
  <c r="L122" i="1587"/>
  <c r="K122" i="1587"/>
  <c r="L2" i="1587"/>
  <c r="K2" i="1587"/>
</calcChain>
</file>

<file path=xl/connections.xml><?xml version="1.0" encoding="utf-8"?>
<connections xmlns="http://schemas.openxmlformats.org/spreadsheetml/2006/main">
  <connection id="1" name="00k_77f1_2" type="6" refreshedVersion="0" background="1">
    <textPr prompt="0" sourceFile="C:\Users\Administrator\Desktop\FXTM\EURUSD\00k_77f1_2">
      <textFields>
        <textField/>
      </textFields>
    </textPr>
  </connection>
  <connection id="2" name="cmp" type="6" refreshedVersion="5" background="1" saveData="1">
    <textPr codePage="866" sourceFile="C:\ProgramData\MySQL\MySQL Server 5.7\Uploads\cmp.csv">
      <textFields count="6">
        <textField/>
        <textField/>
        <textField/>
        <textField/>
        <textField/>
        <textField/>
      </textFields>
    </textPr>
  </connection>
  <connection id="3" name="Connection" type="6" refreshedVersion="0" background="1">
    <textPr prompt="0" sourceFile="">
      <textFields>
        <textField/>
      </textFields>
    </textPr>
  </connection>
  <connection id="4" name="EURUSDpnl-00k_77f1_1_0.54_0.5151-hist1" type="6" refreshedVersion="0" background="1">
    <textPr prompt="0" sourceFile="C:\Users\Administrator\Desktop\FXTM\EURUSDpnl-00k_77f1_1_0.54_0.5151-hist.csv">
      <textFields>
        <textField/>
      </textFields>
    </textPr>
  </connection>
</connections>
</file>

<file path=xl/sharedStrings.xml><?xml version="1.0" encoding="utf-8"?>
<sst xmlns="http://schemas.openxmlformats.org/spreadsheetml/2006/main" count="1876" uniqueCount="1355">
  <si>
    <t>PnL</t>
  </si>
  <si>
    <t>C:\Users\Administrator\Desktop\FXTM\EURUSD</t>
  </si>
  <si>
    <t>pnl-00k_77f1_1_0.54_0.5151-hist.csv</t>
  </si>
  <si>
    <t>pnl-00k_77f1_1_0.55_0.5151-hist.csv</t>
  </si>
  <si>
    <t>pnl-00k_77f1_1_0.56_0.5051-hist.csv</t>
  </si>
  <si>
    <t>pnl-00k_77f1_1_0.56_0.51-hist.csv</t>
  </si>
  <si>
    <t>pnl-00k_77f1_1_0.57_0.5051-hist.csv</t>
  </si>
  <si>
    <t>pnl-00k_77f1_1_0.57_0.51-hist.csv</t>
  </si>
  <si>
    <t>pnl-00k_77f1_1_0.58_0.5051-hist.csv</t>
  </si>
  <si>
    <t>pnl-00k_77f1_1_0.58_0.51-hist.csv</t>
  </si>
  <si>
    <t>pnl-00k_77f1_1_0.59_0.5051-hist.csv</t>
  </si>
  <si>
    <t>pnl-00k_77f1_1_0.59_0.51-hist.csv</t>
  </si>
  <si>
    <t>pnl-00k_77f1_2_0.54_0.5051-hist.csv</t>
  </si>
  <si>
    <t>pnl-00k_77f1_2_0.54_0.51-hist.csv</t>
  </si>
  <si>
    <t>pnl-00k_77f1_2_0.54_0.511-hist.csv</t>
  </si>
  <si>
    <t>pnl-00k_77f1_2_0.54_0.5151-hist.csv</t>
  </si>
  <si>
    <t>pnl-00k_77f1_2_0.54_0.521-hist.csv</t>
  </si>
  <si>
    <t>pnl-00k_77f1_2_0.55_0.5051-hist.csv</t>
  </si>
  <si>
    <t>pnl-00k_77f1_2_0.55_0.51-hist.csv</t>
  </si>
  <si>
    <t>pnl-00k_77f1_2_0.55_0.511-hist.csv</t>
  </si>
  <si>
    <t>pnl-00k_77f1_2_0.56_0.5051-hist.csv</t>
  </si>
  <si>
    <t>pnl-00k_77f1_2_0.56_0.511-hist.csv</t>
  </si>
  <si>
    <t>pnl-00k_77f1_3_0.54_0.5051-hist.csv</t>
  </si>
  <si>
    <t>pnl-00k_77f1_3_0.54_0.51-hist.csv</t>
  </si>
  <si>
    <t>pnl-00k_77f1_3_0.54_0.511-hist.csv</t>
  </si>
  <si>
    <t>pnl-00k_77f1_3_0.54_0.5151-hist.csv</t>
  </si>
  <si>
    <t>pnl-00k_77f1_3_0.54_0.521-hist.csv</t>
  </si>
  <si>
    <t>pnl-00k_77f1_3_0.55_0.5051-hist.csv</t>
  </si>
  <si>
    <t>pnl-00k_77f1_3_0.55_0.51-hist.csv</t>
  </si>
  <si>
    <t>pnl-00k_77f1_3_0.55_0.511-hist.csv</t>
  </si>
  <si>
    <t>pnl-00k_77f1_3_0.55_0.5151-hist.csv</t>
  </si>
  <si>
    <t>pnl-00k_77f1_3_0.56_0.5051-hist.csv</t>
  </si>
  <si>
    <t>pnl-00k_77f1_4_0.54_0.5051-hist.csv</t>
  </si>
  <si>
    <t>pnl-00k_77f1_4_0.54_0.51-hist.csv</t>
  </si>
  <si>
    <t>pnl-00k_77f1_4_0.54_0.511-hist.csv</t>
  </si>
  <si>
    <t>pnl-00k_77f1_4_0.54_0.5151-hist.csv</t>
  </si>
  <si>
    <t>pnl-00k_77f1_4_0.54_0.521-hist.csv</t>
  </si>
  <si>
    <t>pnl-00k_77f1_4_0.55_0.5051-hist.csv</t>
  </si>
  <si>
    <t>pnl-00k_77f1_4_0.55_0.51-hist.csv</t>
  </si>
  <si>
    <t>pnl-00k_77f1_4_0.55_0.511-hist.csv</t>
  </si>
  <si>
    <t>pnl-00k_77f1_4_0.55_0.5151-hist.csv</t>
  </si>
  <si>
    <t>pnl-00k_77f1_4_0.55_0.521-hist.csv</t>
  </si>
  <si>
    <t>pnl-00k_77f2_5_0.54_0.5051-hist.csv</t>
  </si>
  <si>
    <t>pnl-00k_77f2_5_0.54_0.51-hist.csv</t>
  </si>
  <si>
    <t>pnl-00k_77f2_5_0.54_0.511-hist.csv</t>
  </si>
  <si>
    <t>pnl-00k_77f2_5_0.54_0.5151-hist.csv</t>
  </si>
  <si>
    <t>pnl-00k_77f2_5_0.54_0.521-hist.csv</t>
  </si>
  <si>
    <t>pnl-00k_77f2_5_0.55_0.5051-hist.csv</t>
  </si>
  <si>
    <t>pnl-00k_77f2_5_0.55_0.51-hist.csv</t>
  </si>
  <si>
    <t>pnl-00k_77f2_5_0.55_0.511-hist.csv</t>
  </si>
  <si>
    <t>pnl-00k_77f2_5_0.55_0.5151-hist.csv</t>
  </si>
  <si>
    <t>pnl-00k_77f2_5_0.55_0.521-hist.csv</t>
  </si>
  <si>
    <t>pnl-00k_77f2_6_0.54_0.5051-hist.csv</t>
  </si>
  <si>
    <t>pnl-00k_77f2_6_0.54_0.511-hist.csv</t>
  </si>
  <si>
    <t>pnl-00k_77f2_6_0.54_0.5151-hist.csv</t>
  </si>
  <si>
    <t>pnl-00k_77f2_6_0.54_0.521-hist.csv</t>
  </si>
  <si>
    <t>pnl-00k_77f2_6_0.55_0.511-hist.csv</t>
  </si>
  <si>
    <t>pnl-00k_77f2_6_0.55_0.5151-hist.csv</t>
  </si>
  <si>
    <t>pnl-00k_77f2_6_0.55_0.521-hist.csv</t>
  </si>
  <si>
    <t>pnl-00k_77f2_6_0.56_0.511-hist.csv</t>
  </si>
  <si>
    <t>pnl-00k_77f2_6_0.56_0.5151-hist.csv</t>
  </si>
  <si>
    <t>pnl-00k_77f2_6_0.56_0.521-hist.csv</t>
  </si>
  <si>
    <t>pnl-00k_77f2_7_0.54_0.5051-hist.csv</t>
  </si>
  <si>
    <t>pnl-00k_77f2_7_0.54_0.51-hist.csv</t>
  </si>
  <si>
    <t>pnl-00k_77f2_7_0.54_0.511-hist.csv</t>
  </si>
  <si>
    <t>pnl-00k_77f2_7_0.54_0.5151-hist.csv</t>
  </si>
  <si>
    <t>pnl-00k_77f2_7_0.54_0.521-hist.csv</t>
  </si>
  <si>
    <t>pnl-00k_77f2_7_0.55_0.5051-hist.csv</t>
  </si>
  <si>
    <t>pnl-00k_77f2_7_0.55_0.51-hist.csv</t>
  </si>
  <si>
    <t>pnl-00k_77f2_7_0.55_0.511-hist.csv</t>
  </si>
  <si>
    <t>pnl-00k_77f2_7_0.55_0.5151-hist.csv</t>
  </si>
  <si>
    <t>pnl-00k_77f2_7_0.55_0.521-hist.csv</t>
  </si>
  <si>
    <t>pnl-00k_77f2_8_0.54_0.5051-hist.csv</t>
  </si>
  <si>
    <t>pnl-00k_77f2_8_0.54_0.5052-hist.csv</t>
  </si>
  <si>
    <t>pnl-00k_77f2_8_0.54_0.51-hist.csv</t>
  </si>
  <si>
    <t>pnl-00k_77f2_8_0.54_0.511-hist.csv</t>
  </si>
  <si>
    <t>pnl-00k_77f2_8_0.54_0.512-hist.csv</t>
  </si>
  <si>
    <t>pnl-00k_77f2_8_0.54_0.5151-hist.csv</t>
  </si>
  <si>
    <t>pnl-00k_77f2_8_0.54_0.5152-hist.csv</t>
  </si>
  <si>
    <t>pnl-00k_77f2_8_0.54_0.52-hist.csv</t>
  </si>
  <si>
    <t>pnl-00k_77f2_8_0.54_0.521-hist.csv</t>
  </si>
  <si>
    <t>pnl-00k_77f2_8_0.55_0.521-hist.csv</t>
  </si>
  <si>
    <t>pnl-01k_05m1_1_0.54_0.5051-hist.csv</t>
  </si>
  <si>
    <t>pnl-01k_05m1_1_0.54_0.51-hist.csv</t>
  </si>
  <si>
    <t>pnl-01k_05m1_1_0.54_0.512-hist.csv</t>
  </si>
  <si>
    <t>pnl-01k_05m1_1_0.54_0.5151-hist.csv</t>
  </si>
  <si>
    <t>pnl-01k_05m1_1_0.55_0.5051-hist.csv</t>
  </si>
  <si>
    <t>pnl-01k_05m1_1_0.55_0.51-hist.csv</t>
  </si>
  <si>
    <t>pnl-01k_05m1_1_0.55_0.511-hist.csv</t>
  </si>
  <si>
    <t>pnl-01k_05m1_1_0.55_0.512-hist.csv</t>
  </si>
  <si>
    <t>pnl-01k_05m1_1_0.55_0.5151-hist.csv</t>
  </si>
  <si>
    <t>pnl-01k_05m1_1_0.56_0.5051-hist.csv</t>
  </si>
  <si>
    <t>pnl-01k_05m1_2_0.54_0.5051-hist.csv</t>
  </si>
  <si>
    <t>pnl-01k_05m1_2_0.54_0.5052-hist.csv</t>
  </si>
  <si>
    <t>pnl-01k_05m1_2_0.54_0.511-hist.csv</t>
  </si>
  <si>
    <t>pnl-01k_05m1_2_0.54_0.512-hist.csv</t>
  </si>
  <si>
    <t>pnl-01k_05m1_2_0.54_0.5151-hist.csv</t>
  </si>
  <si>
    <t>pnl-01k_05m1_2_0.54_0.5152-hist.csv</t>
  </si>
  <si>
    <t>pnl-01k_05m1_2_0.54_0.521-hist.csv</t>
  </si>
  <si>
    <t>pnl-01k_05m1_2_0.55_0.5051-hist.csv</t>
  </si>
  <si>
    <t>pnl-01k_05m1_2_0.55_0.511-hist.csv</t>
  </si>
  <si>
    <t>pnl-01k_05m1_2_0.55_0.5151-hist.csv</t>
  </si>
  <si>
    <t>pnl-01k_05m1_3_0.54_0.5051-hist.csv</t>
  </si>
  <si>
    <t>pnl-01k_05m1_3_0.54_0.5052-hist.csv</t>
  </si>
  <si>
    <t>pnl-01k_05m1_3_0.54_0.5053-hist.csv</t>
  </si>
  <si>
    <t>pnl-01k_05m1_3_0.54_0.51-hist.csv</t>
  </si>
  <si>
    <t>pnl-01k_05m1_3_0.54_0.511-hist.csv</t>
  </si>
  <si>
    <t>pnl-01k_05m1_3_0.54_0.512-hist.csv</t>
  </si>
  <si>
    <t>pnl-01k_05m1_3_0.54_0.5151-hist.csv</t>
  </si>
  <si>
    <t>pnl-01k_05m1_3_0.54_0.53-hist.csv</t>
  </si>
  <si>
    <t>pnl-01k_05m1_3_0.55_0.51-hist.csv</t>
  </si>
  <si>
    <t>pnl-01k_05m1_3_0.56_0.511-hist.csv</t>
  </si>
  <si>
    <t>pnl-01k_05m1_4_0.54_0.5051-hist.csv</t>
  </si>
  <si>
    <t>pnl-01k_05m1_4_0.54_0.5052-hist.csv</t>
  </si>
  <si>
    <t>pnl-01k_05m1_4_0.54_0.5053-hist.csv</t>
  </si>
  <si>
    <t>pnl-01k_05m1_4_0.54_0.5054-hist.csv</t>
  </si>
  <si>
    <t>pnl-01k_05m1_4_0.54_0.51-hist.csv</t>
  </si>
  <si>
    <t>pnl-01k_05m1_4_0.54_0.511-hist.csv</t>
  </si>
  <si>
    <t>pnl-01k_05m1_4_0.54_0.512-hist.csv</t>
  </si>
  <si>
    <t>pnl-01k_05m1_4_0.54_0.5151-hist.csv</t>
  </si>
  <si>
    <t>pnl-01k_05m1_4_0.54_0.54-hist.csv</t>
  </si>
  <si>
    <t>pnl-01k_05m1_4_0.55_0.511-hist.csv</t>
  </si>
  <si>
    <t>pnl-01k_05m1_5_0.54_0.5051-hist.csv</t>
  </si>
  <si>
    <t>pnl-01k_05m1_5_0.54_0.5052-hist.csv</t>
  </si>
  <si>
    <t>pnl-01k_05m1_5_0.54_0.5053-hist.csv</t>
  </si>
  <si>
    <t>pnl-01k_05m1_5_0.54_0.5054-hist.csv</t>
  </si>
  <si>
    <t>pnl-01k_05m1_5_0.54_0.511-hist.csv</t>
  </si>
  <si>
    <t>pnl-01k_05m1_5_0.54_0.512-hist.csv</t>
  </si>
  <si>
    <t>pnl-01k_05m1_5_0.55_0.5051-hist.csv</t>
  </si>
  <si>
    <t>pnl-01k_05m1_5_0.55_0.5052-hist.csv</t>
  </si>
  <si>
    <t>pnl-01k_05m1_5_0.55_0.511-hist.csv</t>
  </si>
  <si>
    <t>pnl-01k_05m1_5_0.56_0.5051-hist.csv</t>
  </si>
  <si>
    <t>pnl-01k_05m1_6_0.54_0.5051-hist.csv</t>
  </si>
  <si>
    <t>pnl-01k_05m1_6_0.54_0.5052-hist.csv</t>
  </si>
  <si>
    <t>pnl-01k_05m1_6_0.54_0.5053-hist.csv</t>
  </si>
  <si>
    <t>pnl-01k_05m1_6_0.54_0.5054-hist.csv</t>
  </si>
  <si>
    <t>pnl-01k_05m1_6_0.54_0.511-hist.csv</t>
  </si>
  <si>
    <t>pnl-01k_05m1_6_0.54_0.512-hist.csv</t>
  </si>
  <si>
    <t>pnl-01k_05m1_6_0.54_0.513-hist.csv</t>
  </si>
  <si>
    <t>pnl-01k_05m1_6_0.54_0.5151-hist.csv</t>
  </si>
  <si>
    <t>pnl-01k_05m1_6_0.55_0.511-hist.csv</t>
  </si>
  <si>
    <t>pnl-01k_05m1_6_0.55_0.512-hist.csv</t>
  </si>
  <si>
    <t>pnl-01k_05m1_7_0.54_0.5051-hist.csv</t>
  </si>
  <si>
    <t>pnl-01k_05m1_7_0.54_0.5052-hist.csv</t>
  </si>
  <si>
    <t>pnl-01k_05m1_7_0.54_0.512-hist.csv</t>
  </si>
  <si>
    <t>pnl-01k_05m1_7_0.54_0.513-hist.csv</t>
  </si>
  <si>
    <t>pnl-01k_05m1_7_0.54_0.514-hist.csv</t>
  </si>
  <si>
    <t>pnl-01k_05m1_7_0.54_0.5151-hist.csv</t>
  </si>
  <si>
    <t>pnl-01k_05m1_7_0.54_0.5152-hist.csv</t>
  </si>
  <si>
    <t>pnl-01k_05m1_7_0.55_0.511-hist.csv</t>
  </si>
  <si>
    <t>pnl-01k_05m1_7_0.55_0.5151-hist.csv</t>
  </si>
  <si>
    <t>pnl-01k_05m1_8_0.54_0.5051-hist.csv</t>
  </si>
  <si>
    <t>pnl-01k_05m1_8_0.54_0.5052-hist.csv</t>
  </si>
  <si>
    <t>pnl-01k_05m1_8_0.54_0.5053-hist.csv</t>
  </si>
  <si>
    <t>pnl-01k_05m1_8_0.54_0.511-hist.csv</t>
  </si>
  <si>
    <t>pnl-01k_05m1_8_0.54_0.512-hist.csv</t>
  </si>
  <si>
    <t>pnl-01k_05m1_8_0.54_0.513-hist.csv</t>
  </si>
  <si>
    <t>pnl-01k_05m1_8_0.54_0.5151-hist.csv</t>
  </si>
  <si>
    <t>pnl-01k_05m1_8_0.54_0.521-hist.csv</t>
  </si>
  <si>
    <t>pnl-01k_05m1_8_0.55_0.511-hist.csv</t>
  </si>
  <si>
    <t>pnl-01k_05m1_8_0.56_0.5051-hist.csv</t>
  </si>
  <si>
    <t>pnl-01k_05m1_9_0.54_0.511-hist.csv</t>
  </si>
  <si>
    <t>pnl-01k_05m1_9_0.54_0.512-hist.csv</t>
  </si>
  <si>
    <t>pnl-01k_05m1_9_0.54_0.5151-hist.csv</t>
  </si>
  <si>
    <t>pnl-01k_05m1_9_0.54_0.5152-hist.csv</t>
  </si>
  <si>
    <t>pnl-01k_05m1_9_0.54_0.521-hist.csv</t>
  </si>
  <si>
    <t>pnl-01k_05m1_9_0.55_0.511-hist.csv</t>
  </si>
  <si>
    <t>pnl-01k_05m1_9_0.55_0.5151-hist.csv</t>
  </si>
  <si>
    <t>pnl-01k_05m1_9_0.55_0.521-hist.csv</t>
  </si>
  <si>
    <t>pnl-01k_05m1_9_0.56_0.511-hist.csv</t>
  </si>
  <si>
    <t>pnl-01k_05m1_9_0.56_0.5151-hist.csv</t>
  </si>
  <si>
    <t>pnl-01k_05m2_1_0.54_0.5051-hist.csv</t>
  </si>
  <si>
    <t>pnl-01k_05m2_1_0.54_0.512-hist.csv</t>
  </si>
  <si>
    <t>pnl-01k_05m2_1_0.54_0.514-hist.csv</t>
  </si>
  <si>
    <t>pnl-01k_05m2_1_0.54_0.5151-hist.csv</t>
  </si>
  <si>
    <t>pnl-01k_05m2_1_0.54_0.5152-hist.csv</t>
  </si>
  <si>
    <t>pnl-01k_05m2_1_0.54_0.5153-hist.csv</t>
  </si>
  <si>
    <t>pnl-01k_05m2_1_0.54_0.521-hist.csv</t>
  </si>
  <si>
    <t>pnl-01k_05m2_1_0.54_0.522-hist.csv</t>
  </si>
  <si>
    <t>pnl-01k_05m2_1_0.55_0.5151-hist.csv</t>
  </si>
  <si>
    <t>pnl-01k_05m2_1_0.55_0.5152-hist.csv</t>
  </si>
  <si>
    <t>pnl-01k_05m2_2_0.54_0.5051-hist.csv</t>
  </si>
  <si>
    <t>pnl-01k_05m2_2_0.54_0.5052-hist.csv</t>
  </si>
  <si>
    <t>pnl-01k_05m2_2_0.54_0.511-hist.csv</t>
  </si>
  <si>
    <t>pnl-01k_05m2_2_0.54_0.512-hist.csv</t>
  </si>
  <si>
    <t>pnl-01k_05m2_2_0.54_0.5151-hist.csv</t>
  </si>
  <si>
    <t>pnl-01k_05m2_2_0.55_0.5051-hist.csv</t>
  </si>
  <si>
    <t>pnl-01k_05m2_2_0.55_0.511-hist.csv</t>
  </si>
  <si>
    <t>pnl-01k_05m2_2_0.55_0.5151-hist.csv</t>
  </si>
  <si>
    <t>pnl-01k_05m2_2_0.56_0.5051-hist.csv</t>
  </si>
  <si>
    <t>pnl-01k_05m2_2_0.56_0.5052-hist.csv</t>
  </si>
  <si>
    <t>pnl-01k_77a1_1_0.54_0.5051-hist.csv</t>
  </si>
  <si>
    <t>pnl-01k_77a1_1_0.54_0.511-hist.csv</t>
  </si>
  <si>
    <t>pnl-01k_77a1_1_0.54_0.5151-hist.csv</t>
  </si>
  <si>
    <t>pnl-01k_77a1_1_0.55_0.5051-hist.csv</t>
  </si>
  <si>
    <t>pnl-01k_77a1_1_0.55_0.511-hist.csv</t>
  </si>
  <si>
    <t>pnl-01k_77a1_1_0.55_0.5151-hist.csv</t>
  </si>
  <si>
    <t>pnl-01k_77a1_1_0.56_0.5051-hist.csv</t>
  </si>
  <si>
    <t>pnl-01k_77a1_1_0.57_0.5051-hist.csv</t>
  </si>
  <si>
    <t>pnl-01k_77a1_1_0.58_0.5051-hist.csv</t>
  </si>
  <si>
    <t>pnl-01k_77a1_1_0.59_0.5051-hist.csv</t>
  </si>
  <si>
    <t>pnl-01k_77a1_2_0.54_0.5051-hist.csv</t>
  </si>
  <si>
    <t>pnl-01k_77a1_2_0.54_0.5052-hist.csv</t>
  </si>
  <si>
    <t>pnl-01k_77a1_2_0.54_0.51-hist.csv</t>
  </si>
  <si>
    <t>pnl-01k_77a1_2_0.54_0.511-hist.csv</t>
  </si>
  <si>
    <t>pnl-01k_77a1_2_0.54_0.5151-hist.csv</t>
  </si>
  <si>
    <t>pnl-01k_77a1_2_0.55_0.5051-hist.csv</t>
  </si>
  <si>
    <t>pnl-01k_77a1_2_0.55_0.511-hist.csv</t>
  </si>
  <si>
    <t>pnl-01k_77a1_2_0.56_0.5051-hist.csv</t>
  </si>
  <si>
    <t>pnl-01k_77a1_2_0.56_0.511-hist.csv</t>
  </si>
  <si>
    <t>pnl-01k_77a1_2_0.57_0.5051-hist.csv</t>
  </si>
  <si>
    <t>pnl-01k_77a1_3_0.54_0.5051-hist.csv</t>
  </si>
  <si>
    <t>pnl-01k_77a1_3_0.54_0.5052-hist.csv</t>
  </si>
  <si>
    <t>pnl-01k_77a1_3_0.54_0.51-hist.csv</t>
  </si>
  <si>
    <t>pnl-01k_77a1_3_0.54_0.511-hist.csv</t>
  </si>
  <si>
    <t>pnl-01k_77a1_3_0.54_0.512-hist.csv</t>
  </si>
  <si>
    <t>pnl-01k_77a1_3_0.54_0.5151-hist.csv</t>
  </si>
  <si>
    <t>pnl-01k_77a1_3_0.54_0.52-hist.csv</t>
  </si>
  <si>
    <t>pnl-01k_77a1_3_0.54_0.521-hist.csv</t>
  </si>
  <si>
    <t>pnl-01k_77a1_3_0.55_0.5051-hist.csv</t>
  </si>
  <si>
    <t>pnl-01k_77a1_3_0.55_0.51-hist.csv</t>
  </si>
  <si>
    <t>pnl-01k_77a1_4_0.54_0.5051-hist.csv</t>
  </si>
  <si>
    <t>pnl-01k_77a1_4_0.54_0.5052-hist.csv</t>
  </si>
  <si>
    <t>pnl-01k_77a1_4_0.54_0.51-hist.csv</t>
  </si>
  <si>
    <t>pnl-01k_77a1_4_0.54_0.511-hist.csv</t>
  </si>
  <si>
    <t>pnl-01k_77a1_4_0.54_0.5151-hist.csv</t>
  </si>
  <si>
    <t>pnl-01k_77a1_4_0.54_0.52-hist.csv</t>
  </si>
  <si>
    <t>pnl-01k_77a1_4_0.55_0.5051-hist.csv</t>
  </si>
  <si>
    <t>pnl-01k_77a1_4_0.55_0.51-hist.csv</t>
  </si>
  <si>
    <t>pnl-01k_77a1_4_0.55_0.511-hist.csv</t>
  </si>
  <si>
    <t>pnl-01k_77a1_4_0.55_0.5151-hist.csv</t>
  </si>
  <si>
    <t>pnl-01k_77a2_5_0.54_0.511-hist.csv</t>
  </si>
  <si>
    <t>pnl-01k_77a2_5_0.54_0.5151-hist.csv</t>
  </si>
  <si>
    <t>pnl-01k_77a2_5_0.55_0.511-hist.csv</t>
  </si>
  <si>
    <t>pnl-01k_77a2_5_0.55_0.5151-hist.csv</t>
  </si>
  <si>
    <t>pnl-01k_77a2_5_0.56_0.511-hist.csv</t>
  </si>
  <si>
    <t>pnl-01k_77a2_5_0.56_0.5151-hist.csv</t>
  </si>
  <si>
    <t>pnl-01k_77a2_5_0.57_0.511-hist.csv</t>
  </si>
  <si>
    <t>pnl-01k_77a2_5_0.57_0.5151-hist.csv</t>
  </si>
  <si>
    <t>pnl-01k_77a2_5_0.58_0.511-hist.csv</t>
  </si>
  <si>
    <t>pnl-01k_77a2_5_0.59_0.511-hist.csv</t>
  </si>
  <si>
    <t>pnl-01k_77a2_6_0.54_0.5051-hist.csv</t>
  </si>
  <si>
    <t>pnl-01k_77a2_6_0.54_0.5052-hist.csv</t>
  </si>
  <si>
    <t>pnl-01k_77a2_6_0.54_0.511-hist.csv</t>
  </si>
  <si>
    <t>pnl-01k_77a2_6_0.54_0.5151-hist.csv</t>
  </si>
  <si>
    <t>pnl-01k_77a2_6_0.54_0.52-hist.csv</t>
  </si>
  <si>
    <t>pnl-01k_77a2_6_0.54_0.5251-hist.csv</t>
  </si>
  <si>
    <t>pnl-01k_77a2_6_0.55_0.511-hist.csv</t>
  </si>
  <si>
    <t>pnl-01k_77a2_6_0.55_0.5151-hist.csv</t>
  </si>
  <si>
    <t>pnl-01k_77a2_6_0.56_0.511-hist.csv</t>
  </si>
  <si>
    <t>pnl-01k_77a2_6_0.56_0.5151-hist.csv</t>
  </si>
  <si>
    <t>pnl-01k_77a2_7_0.54_0.5051-hist.csv</t>
  </si>
  <si>
    <t>pnl-01k_77a2_7_0.54_0.5052-hist.csv</t>
  </si>
  <si>
    <t>pnl-01k_77a2_7_0.54_0.51-hist.csv</t>
  </si>
  <si>
    <t>pnl-01k_77a2_7_0.54_0.52-hist.csv</t>
  </si>
  <si>
    <t>pnl-01k_77a2_7_0.55_0.5051-hist.csv</t>
  </si>
  <si>
    <t>pnl-01k_77a2_7_0.55_0.5052-hist.csv</t>
  </si>
  <si>
    <t>pnl-01k_77a2_7_0.55_0.51-hist.csv</t>
  </si>
  <si>
    <t>pnl-01k_77a2_7_0.55_0.5151-hist.csv</t>
  </si>
  <si>
    <t>pnl-01k_77a2_7_0.55_0.52-hist.csv</t>
  </si>
  <si>
    <t>pnl-01k_77a2_7_0.56_0.51-hist.csv</t>
  </si>
  <si>
    <t>pnl-01k_77a2_8_0.54_0.5051-hist.csv</t>
  </si>
  <si>
    <t>pnl-01k_77a2_8_0.54_0.5052-hist.csv</t>
  </si>
  <si>
    <t>pnl-01k_77a2_8_0.54_0.51-hist.csv</t>
  </si>
  <si>
    <t>pnl-01k_77a2_8_0.54_0.511-hist.csv</t>
  </si>
  <si>
    <t>pnl-01k_77a2_8_0.54_0.5151-hist.csv</t>
  </si>
  <si>
    <t>pnl-01k_77a2_8_0.54_0.52-hist.csv</t>
  </si>
  <si>
    <t>pnl-01k_77a2_8_0.55_0.5051-hist.csv</t>
  </si>
  <si>
    <t>pnl-01k_77a2_8_0.55_0.51-hist.csv</t>
  </si>
  <si>
    <t>pnl-01k_77a2_8_0.55_0.511-hist.csv</t>
  </si>
  <si>
    <t>pnl-01k_77a2_8_0.56_0.51-hist.csv</t>
  </si>
  <si>
    <t>pnl-01k_77i1_1_0.54_0.5051-hist.csv</t>
  </si>
  <si>
    <t>pnl-01k_77i1_1_0.54_0.5052-hist.csv</t>
  </si>
  <si>
    <t>pnl-01k_77i1_1_0.54_0.51-hist.csv</t>
  </si>
  <si>
    <t>pnl-01k_77i1_1_0.54_0.511-hist.csv</t>
  </si>
  <si>
    <t>pnl-01k_77i1_1_0.54_0.512-hist.csv</t>
  </si>
  <si>
    <t>pnl-01k_77i1_1_0.55_0.5051-hist.csv</t>
  </si>
  <si>
    <t>pnl-01k_77i1_1_0.55_0.5052-hist.csv</t>
  </si>
  <si>
    <t>pnl-01k_77i1_1_0.55_0.51-hist.csv</t>
  </si>
  <si>
    <t>pnl-01k_77i1_1_0.55_0.511-hist.csv</t>
  </si>
  <si>
    <t>pnl-01k_77i1_1_0.55_0.512-hist.csv</t>
  </si>
  <si>
    <t>pnl-01k_77i1_2_0.54_0.5051-hist.csv</t>
  </si>
  <si>
    <t>pnl-01k_77i1_2_0.54_0.51-hist.csv</t>
  </si>
  <si>
    <t>pnl-01k_77i1_2_0.54_0.511-hist.csv</t>
  </si>
  <si>
    <t>pnl-01k_77i1_2_0.55_0.5051-hist.csv</t>
  </si>
  <si>
    <t>pnl-01k_77i1_2_0.55_0.51-hist.csv</t>
  </si>
  <si>
    <t>pnl-01k_77i1_2_0.55_0.511-hist.csv</t>
  </si>
  <si>
    <t>pnl-01k_77i1_2_0.56_0.5051-hist.csv</t>
  </si>
  <si>
    <t>pnl-01k_77i1_2_0.56_0.51-hist.csv</t>
  </si>
  <si>
    <t>pnl-01k_77i1_2_0.56_0.511-hist.csv</t>
  </si>
  <si>
    <t>pnl-01k_77i1_2_0.57_0.511-hist.csv</t>
  </si>
  <si>
    <t>pnl-01k_77i1_3_0.54_0.5051-hist.csv</t>
  </si>
  <si>
    <t>pnl-01k_77i1_3_0.54_0.51-hist.csv</t>
  </si>
  <si>
    <t>pnl-01k_77i1_3_0.54_0.511-hist.csv</t>
  </si>
  <si>
    <t>pnl-01k_77i1_3_0.54_0.512-hist.csv</t>
  </si>
  <si>
    <t>pnl-01k_77i1_3_0.54_0.5151-hist.csv</t>
  </si>
  <si>
    <t>pnl-01k_77i1_3_0.54_0.52-hist.csv</t>
  </si>
  <si>
    <t>pnl-01k_77i1_3_0.54_0.521-hist.csv</t>
  </si>
  <si>
    <t>pnl-01k_77i1_3_0.55_0.511-hist.csv</t>
  </si>
  <si>
    <t>pnl-01k_77i1_3_0.57_0.511-hist.csv</t>
  </si>
  <si>
    <t>pnl-01k_77i1_3_0.57_0.5151-hist.csv</t>
  </si>
  <si>
    <t>pnl-01k_77i1_4_0.54_0.5051-hist.csv</t>
  </si>
  <si>
    <t>pnl-01k_77i1_4_0.54_0.51-hist.csv</t>
  </si>
  <si>
    <t>pnl-01k_77i1_4_0.54_0.511-hist.csv</t>
  </si>
  <si>
    <t>pnl-01k_77i1_4_0.55_0.5051-hist.csv</t>
  </si>
  <si>
    <t>pnl-01k_77i1_4_0.55_0.51-hist.csv</t>
  </si>
  <si>
    <t>pnl-01k_77i1_4_0.55_0.511-hist.csv</t>
  </si>
  <si>
    <t>pnl-01k_77i1_4_0.55_0.5151-hist.csv</t>
  </si>
  <si>
    <t>pnl-01k_77i1_4_0.56_0.5051-hist.csv</t>
  </si>
  <si>
    <t>pnl-01k_77i1_4_0.56_0.51-hist.csv</t>
  </si>
  <si>
    <t>pnl-01k_77i1_4_0.56_0.511-hist.csv</t>
  </si>
  <si>
    <t>pnl-01k_77i2_5_0.54_0.5051-hist.csv</t>
  </si>
  <si>
    <t>pnl-01k_77i2_5_0.54_0.5052-hist.csv</t>
  </si>
  <si>
    <t>pnl-01k_77i2_5_0.54_0.51-hist.csv</t>
  </si>
  <si>
    <t>pnl-01k_77i2_5_0.54_0.511-hist.csv</t>
  </si>
  <si>
    <t>pnl-01k_77i2_5_0.54_0.52-hist.csv</t>
  </si>
  <si>
    <t>pnl-01k_77i2_5_0.55_0.5051-hist.csv</t>
  </si>
  <si>
    <t>pnl-01k_77i2_5_0.55_0.5052-hist.csv</t>
  </si>
  <si>
    <t>pnl-01k_77i2_5_0.55_0.51-hist.csv</t>
  </si>
  <si>
    <t>pnl-01k_77i2_5_0.55_0.511-hist.csv</t>
  </si>
  <si>
    <t>pnl-01k_77i2_5_0.55_0.52-hist.csv</t>
  </si>
  <si>
    <t>pnl-01k_77i2_6_0.54_0.5051-hist.csv</t>
  </si>
  <si>
    <t>pnl-01k_77i2_6_0.54_0.5052-hist.csv</t>
  </si>
  <si>
    <t>pnl-01k_77i2_6_0.54_0.51-hist.csv</t>
  </si>
  <si>
    <t>pnl-01k_77i2_6_0.54_0.511-hist.csv</t>
  </si>
  <si>
    <t>pnl-01k_77i2_6_0.54_0.512-hist.csv</t>
  </si>
  <si>
    <t>pnl-01k_77i2_6_0.54_0.5151-hist.csv</t>
  </si>
  <si>
    <t>pnl-01k_77i2_6_0.54_0.52-hist.csv</t>
  </si>
  <si>
    <t>pnl-01k_77i2_6_0.55_0.5051-hist.csv</t>
  </si>
  <si>
    <t>pnl-01k_77i2_6_0.56_0.5051-hist.csv</t>
  </si>
  <si>
    <t>pnl-01k_77i2_6_0.57_0.5051-hist.csv</t>
  </si>
  <si>
    <t>pnl-01k_77i2_7_0.54_0.5051-hist.csv</t>
  </si>
  <si>
    <t>pnl-01k_77i2_7_0.54_0.5052-hist.csv</t>
  </si>
  <si>
    <t>pnl-01k_77i2_7_0.54_0.51-hist.csv</t>
  </si>
  <si>
    <t>pnl-01k_77i2_7_0.54_0.511-hist.csv</t>
  </si>
  <si>
    <t>pnl-01k_77i2_7_0.54_0.512-hist.csv</t>
  </si>
  <si>
    <t>pnl-01k_77i2_7_0.54_0.52-hist.csv</t>
  </si>
  <si>
    <t>pnl-01k_77i2_7_0.55_0.5051-hist.csv</t>
  </si>
  <si>
    <t>pnl-01k_77i2_7_0.55_0.51-hist.csv</t>
  </si>
  <si>
    <t>pnl-01k_77i2_7_0.55_0.511-hist.csv</t>
  </si>
  <si>
    <t>pnl-01k_77i2_7_0.56_0.51-hist.csv</t>
  </si>
  <si>
    <t>pnl-01k_77i2_8_0.54_0.51-hist.csv</t>
  </si>
  <si>
    <t>pnl-01k_77i2_8_0.54_0.511-hist.csv</t>
  </si>
  <si>
    <t>pnl-01k_77i2_8_0.54_0.5151-hist.csv</t>
  </si>
  <si>
    <t>pnl-01k_77i2_8_0.54_0.521-hist.csv</t>
  </si>
  <si>
    <t>pnl-01k_77i2_8_0.55_0.5051-hist.csv</t>
  </si>
  <si>
    <t>pnl-01k_77i2_8_0.55_0.51-hist.csv</t>
  </si>
  <si>
    <t>pnl-01k_77i2_8_0.55_0.511-hist.csv</t>
  </si>
  <si>
    <t>pnl-01k_77i2_8_0.55_0.5151-hist.csv</t>
  </si>
  <si>
    <t>pnl-01k_77i2_8_0.56_0.511-hist.csv</t>
  </si>
  <si>
    <t>pnl-01k_77i2_8_0.56_0.5151-hist.csv</t>
  </si>
  <si>
    <t>pnl-01k_77i3_1_0.54_0.5051-hist.csv</t>
  </si>
  <si>
    <t>pnl-01k_77i3_1_0.54_0.51-hist.csv</t>
  </si>
  <si>
    <t>pnl-01k_77i3_1_0.54_0.511-hist.csv</t>
  </si>
  <si>
    <t>pnl-01k_77i3_1_0.54_0.5151-hist.csv</t>
  </si>
  <si>
    <t>pnl-01k_77i3_1_0.55_0.5051-hist.csv</t>
  </si>
  <si>
    <t>pnl-01k_77i3_1_0.55_0.51-hist.csv</t>
  </si>
  <si>
    <t>pnl-01k_77i3_1_0.55_0.511-hist.csv</t>
  </si>
  <si>
    <t>pnl-01k_77i3_1_0.55_0.5151-hist.csv</t>
  </si>
  <si>
    <t>pnl-01k_77i3_1_0.56_0.5151-hist.csv</t>
  </si>
  <si>
    <t>pnl-01k_77i3_1_0.57_0.5151-hist.csv</t>
  </si>
  <si>
    <t>pnl-01k_77i3_2_0.54_0.5051-hist.csv</t>
  </si>
  <si>
    <t>pnl-01k_77i3_2_0.54_0.51-hist.csv</t>
  </si>
  <si>
    <t>pnl-01k_77i3_2_0.54_0.511-hist.csv</t>
  </si>
  <si>
    <t>pnl-01k_77i3_2_0.54_0.5151-hist.csv</t>
  </si>
  <si>
    <t>pnl-01k_77i3_2_0.54_0.521-hist.csv</t>
  </si>
  <si>
    <t>pnl-01k_77i3_2_0.55_0.5051-hist.csv</t>
  </si>
  <si>
    <t>pnl-01k_77i3_2_0.55_0.51-hist.csv</t>
  </si>
  <si>
    <t>pnl-01k_77i3_2_0.55_0.511-hist.csv</t>
  </si>
  <si>
    <t>pnl-01k_77i3_2_0.55_0.521-hist.csv</t>
  </si>
  <si>
    <t>pnl-01k_77i3_2_0.56_0.521-hist.csv</t>
  </si>
  <si>
    <t>pnl-01k_77i3_3_0.54_0.5051-hist.csv</t>
  </si>
  <si>
    <t>pnl-01k_77i3_3_0.54_0.5052-hist.csv</t>
  </si>
  <si>
    <t>pnl-01k_77i3_3_0.54_0.51-hist.csv</t>
  </si>
  <si>
    <t>pnl-01k_77i3_3_0.54_0.511-hist.csv</t>
  </si>
  <si>
    <t>pnl-01k_77i3_3_0.54_0.512-hist.csv</t>
  </si>
  <si>
    <t>pnl-01k_77i3_3_0.54_0.5151-hist.csv</t>
  </si>
  <si>
    <t>pnl-01k_77i3_3_0.54_0.5152-hist.csv</t>
  </si>
  <si>
    <t>pnl-01k_77i3_3_0.54_0.52-hist.csv</t>
  </si>
  <si>
    <t>pnl-01k_77i3_3_0.54_0.521-hist.csv</t>
  </si>
  <si>
    <t>pnl-01k_77i3_3_0.56_0.51-hist.csv</t>
  </si>
  <si>
    <t>pnl-01k_77i3_4_0.54_0.5051-hist.csv</t>
  </si>
  <si>
    <t>pnl-01k_77i3_4_0.54_0.51-hist.csv</t>
  </si>
  <si>
    <t>pnl-01k_77i3_4_0.54_0.511-hist.csv</t>
  </si>
  <si>
    <t>pnl-01k_77i3_4_0.54_0.5151-hist.csv</t>
  </si>
  <si>
    <t>pnl-01k_77i3_4_0.54_0.521-hist.csv</t>
  </si>
  <si>
    <t>pnl-01k_77i3_4_0.55_0.5051-hist.csv</t>
  </si>
  <si>
    <t>pnl-01k_77i3_4_0.55_0.51-hist.csv</t>
  </si>
  <si>
    <t>pnl-01k_77i3_4_0.55_0.511-hist.csv</t>
  </si>
  <si>
    <t>pnl-01k_77i3_4_0.55_0.5151-hist.csv</t>
  </si>
  <si>
    <t>pnl-01k_77i3_4_0.55_0.521-hist.csv</t>
  </si>
  <si>
    <t>pnl-01k_77j1_1_0.54_0.521-hist.csv</t>
  </si>
  <si>
    <t>pnl-01k_77j1_1_0.55_0.521-hist.csv</t>
  </si>
  <si>
    <t>pnl-01k_77j1_1_0.56_0.521-hist.csv</t>
  </si>
  <si>
    <t>pnl-01k_77j1_1_0.57_0.521-hist.csv</t>
  </si>
  <si>
    <t>pnl-01k_77j1_1_0.58_0.521-hist.csv</t>
  </si>
  <si>
    <t>pnl-01k_77j1_1_0.59_0.521-hist.csv</t>
  </si>
  <si>
    <t>pnl-01k_77j1_1_0.61_0.521-hist.csv</t>
  </si>
  <si>
    <t>pnl-01k_77j1_1_0.62_0.521-hist.csv</t>
  </si>
  <si>
    <t>pnl-01k_77j1_1_0.63_0.521-hist.csv</t>
  </si>
  <si>
    <t>pnl-01k_77j1_1_0.6_0.521-hist.csv</t>
  </si>
  <si>
    <t>pnl-05k_77b1_1_0.54_0.5051-hist.csv</t>
  </si>
  <si>
    <t>pnl-05k_77b1_1_0.54_0.511-hist.csv</t>
  </si>
  <si>
    <t>pnl-05k_77b1_1_0.54_0.5151-hist.csv</t>
  </si>
  <si>
    <t>pnl-05k_77b1_1_0.55_0.5051-hist.csv</t>
  </si>
  <si>
    <t>pnl-05k_77b1_1_0.55_0.511-hist.csv</t>
  </si>
  <si>
    <t>pnl-05k_77b1_1_0.55_0.5151-hist.csv</t>
  </si>
  <si>
    <t>pnl-05k_77b1_1_0.56_0.5051-hist.csv</t>
  </si>
  <si>
    <t>pnl-05k_77b1_1_0.57_0.5051-hist.csv</t>
  </si>
  <si>
    <t>pnl-05k_77b1_1_0.58_0.5051-hist.csv</t>
  </si>
  <si>
    <t>pnl-05k_77b1_1_0.59_0.5051-hist.csv</t>
  </si>
  <si>
    <t>pnl-05k_77b1_2_0.54_0.5051-hist.csv</t>
  </si>
  <si>
    <t>pnl-05k_77b1_2_0.54_0.5052-hist.csv</t>
  </si>
  <si>
    <t>pnl-05k_77b1_2_0.54_0.511-hist.csv</t>
  </si>
  <si>
    <t>pnl-05k_77b1_2_0.54_0.5151-hist.csv</t>
  </si>
  <si>
    <t>pnl-05k_77b1_2_0.54_0.521-hist.csv</t>
  </si>
  <si>
    <t>pnl-05k_77b1_2_0.55_0.511-hist.csv</t>
  </si>
  <si>
    <t>pnl-05k_77b1_2_0.55_0.5151-hist.csv</t>
  </si>
  <si>
    <t>pnl-05k_77b1_2_0.55_0.521-hist.csv</t>
  </si>
  <si>
    <t>pnl-05k_77b1_2_0.56_0.511-hist.csv</t>
  </si>
  <si>
    <t>pnl-05k_77b1_2_0.56_0.5151-hist.csv</t>
  </si>
  <si>
    <t>pnl-05k_77b1_3_0.54_0.5051-hist.csv</t>
  </si>
  <si>
    <t>pnl-05k_77b1_3_0.54_0.51-hist.csv</t>
  </si>
  <si>
    <t>pnl-05k_77b1_3_0.54_0.511-hist.csv</t>
  </si>
  <si>
    <t>pnl-05k_77b1_3_0.54_0.5151-hist.csv</t>
  </si>
  <si>
    <t>pnl-05k_77b1_3_0.54_0.521-hist.csv</t>
  </si>
  <si>
    <t>pnl-05k_77b1_3_0.55_0.5051-hist.csv</t>
  </si>
  <si>
    <t>pnl-05k_77b1_3_0.55_0.51-hist.csv</t>
  </si>
  <si>
    <t>pnl-05k_77b1_3_0.55_0.511-hist.csv</t>
  </si>
  <si>
    <t>pnl-05k_77b1_3_0.55_0.5151-hist.csv</t>
  </si>
  <si>
    <t>pnl-05k_77b1_3_0.56_0.51-hist.csv</t>
  </si>
  <si>
    <t>pnl-05k_77b1_4_0.54_0.5051-hist.csv</t>
  </si>
  <si>
    <t>pnl-05k_77b1_4_0.54_0.5052-hist.csv</t>
  </si>
  <si>
    <t>pnl-05k_77b1_4_0.54_0.51-hist.csv</t>
  </si>
  <si>
    <t>pnl-05k_77b1_4_0.54_0.511-hist.csv</t>
  </si>
  <si>
    <t>pnl-05k_77b1_4_0.54_0.5151-hist.csv</t>
  </si>
  <si>
    <t>pnl-05k_77b1_4_0.54_0.521-hist.csv</t>
  </si>
  <si>
    <t>pnl-05k_77b1_4_0.55_0.5051-hist.csv</t>
  </si>
  <si>
    <t>pnl-05k_77b1_4_0.55_0.51-hist.csv</t>
  </si>
  <si>
    <t>pnl-05k_77b1_4_0.55_0.511-hist.csv</t>
  </si>
  <si>
    <t>pnl-05k_77b1_4_0.55_0.5151-hist.csv</t>
  </si>
  <si>
    <t>pnl-05k_77b2_5_0.54_0.5151-hist.csv</t>
  </si>
  <si>
    <t>pnl-05k_77b2_5_0.54_0.521-hist.csv</t>
  </si>
  <si>
    <t>pnl-05k_77b2_5_0.55_0.5151-hist.csv</t>
  </si>
  <si>
    <t>pnl-05k_77b2_5_0.55_0.521-hist.csv</t>
  </si>
  <si>
    <t>pnl-05k_77b2_5_0.56_0.5151-hist.csv</t>
  </si>
  <si>
    <t>pnl-05k_77b2_5_0.56_0.521-hist.csv</t>
  </si>
  <si>
    <t>pnl-05k_77b2_5_0.57_0.5151-hist.csv</t>
  </si>
  <si>
    <t>pnl-05k_77b2_5_0.57_0.521-hist.csv</t>
  </si>
  <si>
    <t>pnl-05k_77b2_5_0.58_0.521-hist.csv</t>
  </si>
  <si>
    <t>pnl-05k_77b2_5_0.59_0.521-hist.csv</t>
  </si>
  <si>
    <t>pnl-05k_77b2_6_0.54_0.5051-hist.csv</t>
  </si>
  <si>
    <t>pnl-05k_77b2_6_0.54_0.511-hist.csv</t>
  </si>
  <si>
    <t>pnl-05k_77b2_6_0.54_0.5151-hist.csv</t>
  </si>
  <si>
    <t>pnl-05k_77b2_6_0.54_0.521-hist.csv</t>
  </si>
  <si>
    <t>pnl-05k_77b2_6_0.55_0.511-hist.csv</t>
  </si>
  <si>
    <t>pnl-05k_77b2_6_0.55_0.5151-hist.csv</t>
  </si>
  <si>
    <t>pnl-05k_77b2_6_0.55_0.521-hist.csv</t>
  </si>
  <si>
    <t>pnl-05k_77b2_6_0.56_0.511-hist.csv</t>
  </si>
  <si>
    <t>pnl-05k_77b2_6_0.56_0.5151-hist.csv</t>
  </si>
  <si>
    <t>pnl-05k_77b2_6_0.56_0.521-hist.csv</t>
  </si>
  <si>
    <t>pnl-05k_77b2_7_0.54_0.5051-hist.csv</t>
  </si>
  <si>
    <t>pnl-05k_77b2_7_0.54_0.51-hist.csv</t>
  </si>
  <si>
    <t>pnl-05k_77b2_7_0.54_0.511-hist.csv</t>
  </si>
  <si>
    <t>pnl-05k_77b2_7_0.54_0.5151-hist.csv</t>
  </si>
  <si>
    <t>pnl-05k_77b2_7_0.55_0.5051-hist.csv</t>
  </si>
  <si>
    <t>pnl-05k_77b2_7_0.55_0.51-hist.csv</t>
  </si>
  <si>
    <t>pnl-05k_77b2_7_0.55_0.511-hist.csv</t>
  </si>
  <si>
    <t>pnl-05k_77b2_7_0.55_0.5151-hist.csv</t>
  </si>
  <si>
    <t>pnl-05k_77b2_7_0.56_0.511-hist.csv</t>
  </si>
  <si>
    <t>pnl-05k_77b2_7_0.56_0.5151-hist.csv</t>
  </si>
  <si>
    <t>pnl-05k_77b2_8_0.54_0.5051-hist.csv</t>
  </si>
  <si>
    <t>pnl-05k_77b2_8_0.54_0.51-hist.csv</t>
  </si>
  <si>
    <t>pnl-05k_77b2_8_0.54_0.511-hist.csv</t>
  </si>
  <si>
    <t>pnl-05k_77b2_8_0.54_0.5151-hist.csv</t>
  </si>
  <si>
    <t>pnl-05k_77b2_8_0.54_0.521-hist.csv</t>
  </si>
  <si>
    <t>pnl-05k_77b2_8_0.55_0.5051-hist.csv</t>
  </si>
  <si>
    <t>pnl-05k_77b2_8_0.55_0.51-hist.csv</t>
  </si>
  <si>
    <t>pnl-05k_77b2_8_0.55_0.511-hist.csv</t>
  </si>
  <si>
    <t>pnl-05k_77b2_8_0.55_0.5151-hist.csv</t>
  </si>
  <si>
    <t>pnl-05k_77b2_8_0.55_0.521-hist.csv</t>
  </si>
  <si>
    <t>pnl-10k_77c1_1_0.54_0.5051-hist.csv</t>
  </si>
  <si>
    <t>pnl-10k_77c1_1_0.54_0.51-hist.csv</t>
  </si>
  <si>
    <t>pnl-10k_77c1_1_0.54_0.511-hist.csv</t>
  </si>
  <si>
    <t>pnl-10k_77c1_1_0.54_0.5151-hist.csv</t>
  </si>
  <si>
    <t>pnl-10k_77c1_1_0.55_0.5051-hist.csv</t>
  </si>
  <si>
    <t>pnl-10k_77c1_1_0.55_0.51-hist.csv</t>
  </si>
  <si>
    <t>pnl-10k_77c1_1_0.55_0.511-hist.csv</t>
  </si>
  <si>
    <t>pnl-10k_77c1_1_0.55_0.5151-hist.csv</t>
  </si>
  <si>
    <t>pnl-10k_77c1_1_0.56_0.5051-hist.csv</t>
  </si>
  <si>
    <t>pnl-10k_77c1_1_0.57_0.5051-hist.csv</t>
  </si>
  <si>
    <t>pnl-10k_77c1_2_0.54_0.5051-hist.csv</t>
  </si>
  <si>
    <t>pnl-10k_77c1_2_0.54_0.511-hist.csv</t>
  </si>
  <si>
    <t>pnl-10k_77c1_2_0.54_0.5151-hist.csv</t>
  </si>
  <si>
    <t>pnl-10k_77c1_2_0.54_0.521-hist.csv</t>
  </si>
  <si>
    <t>pnl-10k_77c1_2_0.55_0.511-hist.csv</t>
  </si>
  <si>
    <t>pnl-10k_77c1_2_0.55_0.5151-hist.csv</t>
  </si>
  <si>
    <t>pnl-10k_77c1_2_0.55_0.521-hist.csv</t>
  </si>
  <si>
    <t>pnl-10k_77c1_2_0.56_0.511-hist.csv</t>
  </si>
  <si>
    <t>pnl-10k_77c1_2_0.56_0.5151-hist.csv</t>
  </si>
  <si>
    <t>pnl-10k_77c1_2_0.56_0.521-hist.csv</t>
  </si>
  <si>
    <t>pnl-10k_77c1_3_0.54_0.5051-hist.csv</t>
  </si>
  <si>
    <t>pnl-10k_77c1_3_0.54_0.51-hist.csv</t>
  </si>
  <si>
    <t>pnl-10k_77c1_3_0.54_0.511-hist.csv</t>
  </si>
  <si>
    <t>pnl-10k_77c1_3_0.54_0.5151-hist.csv</t>
  </si>
  <si>
    <t>pnl-10k_77c1_3_0.54_0.521-hist.csv</t>
  </si>
  <si>
    <t>pnl-10k_77c1_3_0.54_0.5251-hist.csv</t>
  </si>
  <si>
    <t>pnl-10k_77c1_3_0.55_0.5051-hist.csv</t>
  </si>
  <si>
    <t>pnl-10k_77c1_3_0.55_0.51-hist.csv</t>
  </si>
  <si>
    <t>pnl-10k_77c1_3_0.55_0.511-hist.csv</t>
  </si>
  <si>
    <t>pnl-10k_77c1_3_0.55_0.5151-hist.csv</t>
  </si>
  <si>
    <t>pnl-10k_77c1_4_0.54_0.5051-hist.csv</t>
  </si>
  <si>
    <t>pnl-10k_77c1_4_0.54_0.5052-hist.csv</t>
  </si>
  <si>
    <t>pnl-10k_77c1_4_0.54_0.51-hist.csv</t>
  </si>
  <si>
    <t>pnl-10k_77c1_4_0.54_0.511-hist.csv</t>
  </si>
  <si>
    <t>pnl-10k_77c1_4_0.54_0.512-hist.csv</t>
  </si>
  <si>
    <t>pnl-10k_77c1_4_0.54_0.5151-hist.csv</t>
  </si>
  <si>
    <t>pnl-10k_77c1_4_0.54_0.5152-hist.csv</t>
  </si>
  <si>
    <t>pnl-10k_77c1_4_0.54_0.52-hist.csv</t>
  </si>
  <si>
    <t>pnl-10k_77c1_4_0.54_0.521-hist.csv</t>
  </si>
  <si>
    <t>pnl-10k_77c1_4_0.54_0.522-hist.csv</t>
  </si>
  <si>
    <t>pnl-10k_77c2_5_0.56_0.511-hist.csv</t>
  </si>
  <si>
    <t>pnl-10k_77c2_5_0.56_0.5151-hist.csv</t>
  </si>
  <si>
    <t>pnl-10k_77c2_5_0.56_0.521-hist.csv</t>
  </si>
  <si>
    <t>pnl-10k_77c2_5_0.57_0.511-hist.csv</t>
  </si>
  <si>
    <t>pnl-10k_77c2_5_0.57_0.5151-hist.csv</t>
  </si>
  <si>
    <t>pnl-10k_77c2_5_0.57_0.521-hist.csv</t>
  </si>
  <si>
    <t>pnl-10k_77c2_5_0.58_0.511-hist.csv</t>
  </si>
  <si>
    <t>pnl-10k_77c2_5_0.58_0.5151-hist.csv</t>
  </si>
  <si>
    <t>pnl-10k_77c2_5_0.59_0.511-hist.csv</t>
  </si>
  <si>
    <t>pnl-10k_77c2_5_0.59_0.5151-hist.csv</t>
  </si>
  <si>
    <t>pnl-10k_77c2_6_0.54_0.5051-hist.csv</t>
  </si>
  <si>
    <t>pnl-10k_77c2_6_0.54_0.51-hist.csv</t>
  </si>
  <si>
    <t>pnl-10k_77c2_6_0.54_0.511-hist.csv</t>
  </si>
  <si>
    <t>pnl-10k_77c2_6_0.54_0.5151-hist.csv</t>
  </si>
  <si>
    <t>pnl-10k_77c2_6_0.54_0.521-hist.csv</t>
  </si>
  <si>
    <t>pnl-10k_77c2_6_0.55_0.511-hist.csv</t>
  </si>
  <si>
    <t>pnl-10k_77c2_6_0.55_0.5151-hist.csv</t>
  </si>
  <si>
    <t>pnl-10k_77c2_6_0.55_0.521-hist.csv</t>
  </si>
  <si>
    <t>pnl-10k_77c2_6_0.56_0.511-hist.csv</t>
  </si>
  <si>
    <t>pnl-10k_77c2_6_0.56_0.5151-hist.csv</t>
  </si>
  <si>
    <t>pnl-10k_77c2_7_0.54_0.5051-hist.csv</t>
  </si>
  <si>
    <t>pnl-10k_77c2_7_0.54_0.51-hist.csv</t>
  </si>
  <si>
    <t>pnl-10k_77c2_7_0.54_0.511-hist.csv</t>
  </si>
  <si>
    <t>pnl-10k_77c2_7_0.54_0.5151-hist.csv</t>
  </si>
  <si>
    <t>pnl-10k_77c2_7_0.54_0.521-hist.csv</t>
  </si>
  <si>
    <t>pnl-10k_77c2_7_0.55_0.5051-hist.csv</t>
  </si>
  <si>
    <t>pnl-10k_77c2_7_0.55_0.51-hist.csv</t>
  </si>
  <si>
    <t>pnl-10k_77c2_7_0.55_0.511-hist.csv</t>
  </si>
  <si>
    <t>pnl-10k_77c2_7_0.55_0.5151-hist.csv</t>
  </si>
  <si>
    <t>pnl-10k_77c2_7_0.55_0.521-hist.csv</t>
  </si>
  <si>
    <t>pnl-10k_77c2_8_0.54_0.5051-hist.csv</t>
  </si>
  <si>
    <t>pnl-10k_77c2_8_0.54_0.51-hist.csv</t>
  </si>
  <si>
    <t>pnl-10k_77c2_8_0.54_0.511-hist.csv</t>
  </si>
  <si>
    <t>pnl-10k_77c2_8_0.54_0.5151-hist.csv</t>
  </si>
  <si>
    <t>pnl-10k_77c2_8_0.54_0.521-hist.csv</t>
  </si>
  <si>
    <t>pnl-10k_77c2_8_0.55_0.5051-hist.csv</t>
  </si>
  <si>
    <t>pnl-10k_77c2_8_0.55_0.51-hist.csv</t>
  </si>
  <si>
    <t>pnl-10k_77c2_8_0.55_0.511-hist.csv</t>
  </si>
  <si>
    <t>pnl-10k_77c2_8_0.55_0.5151-hist.csv</t>
  </si>
  <si>
    <t>pnl-10k_77c2_8_0.55_0.521-hist.csv</t>
  </si>
  <si>
    <t>pnl-10k_77h1_1_0.54_0.5052-hist.csv</t>
  </si>
  <si>
    <t>pnl-10k_77h1_1_0.54_0.512-hist.csv</t>
  </si>
  <si>
    <t>pnl-10k_77h1_1_0.54_0.521-hist.csv</t>
  </si>
  <si>
    <t>pnl-10k_77h1_1_0.54_0.5251-hist.csv</t>
  </si>
  <si>
    <t>pnl-10k_77h1_1_0.55_0.5052-hist.csv</t>
  </si>
  <si>
    <t>pnl-10k_77h1_1_0.55_0.512-hist.csv</t>
  </si>
  <si>
    <t>pnl-10k_77h1_1_0.55_0.521-hist.csv</t>
  </si>
  <si>
    <t>pnl-10k_77h1_1_0.55_0.5251-hist.csv</t>
  </si>
  <si>
    <t>pnl-10k_77h1_1_0.56_0.521-hist.csv</t>
  </si>
  <si>
    <t>pnl-10k_77h1_1_0.57_0.521-hist.csv</t>
  </si>
  <si>
    <t>pnl-10k_77h1_2_0.54_0.511-hist.csv</t>
  </si>
  <si>
    <t>pnl-10k_77h1_2_0.54_0.5151-hist.csv</t>
  </si>
  <si>
    <t>pnl-10k_77h1_2_0.54_0.5152-hist.csv</t>
  </si>
  <si>
    <t>pnl-10k_77h1_2_0.54_0.521-hist.csv</t>
  </si>
  <si>
    <t>pnl-10k_77h1_2_0.54_0.522-hist.csv</t>
  </si>
  <si>
    <t>pnl-10k_77h1_2_0.54_0.5251-hist.csv</t>
  </si>
  <si>
    <t>pnl-10k_77h1_2_0.55_0.521-hist.csv</t>
  </si>
  <si>
    <t>pnl-10k_77h1_2_0.55_0.5251-hist.csv</t>
  </si>
  <si>
    <t>pnl-10k_77h1_2_0.56_0.521-hist.csv</t>
  </si>
  <si>
    <t>pnl-10k_77h1_2_0.56_0.5251-hist.csv</t>
  </si>
  <si>
    <t>pnl-10k_77h1_3_0.54_0.5051-hist.csv</t>
  </si>
  <si>
    <t>pnl-10k_77h1_3_0.54_0.5052-hist.csv</t>
  </si>
  <si>
    <t>pnl-10k_77h1_3_0.54_0.51-hist.csv</t>
  </si>
  <si>
    <t>pnl-10k_77h1_3_0.54_0.511-hist.csv</t>
  </si>
  <si>
    <t>pnl-10k_77h1_3_0.54_0.512-hist.csv</t>
  </si>
  <si>
    <t>pnl-10k_77h1_3_0.54_0.52-hist.csv</t>
  </si>
  <si>
    <t>pnl-10k_77h1_3_0.55_0.5051-hist.csv</t>
  </si>
  <si>
    <t>pnl-10k_77h1_3_0.55_0.51-hist.csv</t>
  </si>
  <si>
    <t>pnl-10k_77h1_3_0.55_0.511-hist.csv</t>
  </si>
  <si>
    <t>pnl-10k_77h1_3_0.56_0.511-hist.csv</t>
  </si>
  <si>
    <t>pnl-10k_77h1_4_0.54_0.5051-hist.csv</t>
  </si>
  <si>
    <t>pnl-10k_77h1_4_0.54_0.51-hist.csv</t>
  </si>
  <si>
    <t>pnl-10k_77h1_4_0.54_0.511-hist.csv</t>
  </si>
  <si>
    <t>pnl-10k_77h1_4_0.54_0.515-hist.csv</t>
  </si>
  <si>
    <t>pnl-10k_77h1_4_0.54_0.5151-hist.csv</t>
  </si>
  <si>
    <t>pnl-10k_77h1_4_0.54_0.5152-hist.csv</t>
  </si>
  <si>
    <t>pnl-10k_77h1_4_0.54_0.521-hist.csv</t>
  </si>
  <si>
    <t>pnl-10k_77h1_4_0.54_0.522-hist.csv</t>
  </si>
  <si>
    <t>pnl-10k_77h1_4_0.54_0.528-hist.csv</t>
  </si>
  <si>
    <t>pnl-10k_77h1_4_0.55_0.524-hist.csv</t>
  </si>
  <si>
    <t>pnl-10k_77h2_5_0.54_0.5051-hist.csv</t>
  </si>
  <si>
    <t>pnl-10k_77h2_5_0.54_0.511-hist.csv</t>
  </si>
  <si>
    <t>pnl-10k_77h2_5_0.54_0.512-hist.csv</t>
  </si>
  <si>
    <t>pnl-10k_77h2_5_0.54_0.5151-hist.csv</t>
  </si>
  <si>
    <t>pnl-10k_77h2_5_0.54_0.521-hist.csv</t>
  </si>
  <si>
    <t>pnl-10k_77h2_5_0.55_0.5051-hist.csv</t>
  </si>
  <si>
    <t>pnl-10k_77h2_5_0.55_0.511-hist.csv</t>
  </si>
  <si>
    <t>pnl-10k_77h2_5_0.55_0.512-hist.csv</t>
  </si>
  <si>
    <t>pnl-10k_77h2_5_0.55_0.5151-hist.csv</t>
  </si>
  <si>
    <t>pnl-10k_77h2_5_0.55_0.521-hist.csv</t>
  </si>
  <si>
    <t>pnl-10k_77h2_6_0.54_0.5051-hist.csv</t>
  </si>
  <si>
    <t>pnl-10k_77h2_6_0.54_0.51-hist.csv</t>
  </si>
  <si>
    <t>pnl-10k_77h2_6_0.54_0.511-hist.csv</t>
  </si>
  <si>
    <t>pnl-10k_77h2_6_0.54_0.512-hist.csv</t>
  </si>
  <si>
    <t>pnl-10k_77h2_6_0.54_0.5151-hist.csv</t>
  </si>
  <si>
    <t>pnl-10k_77h2_6_0.54_0.5152-hist.csv</t>
  </si>
  <si>
    <t>pnl-10k_77h2_6_0.54_0.521-hist.csv</t>
  </si>
  <si>
    <t>pnl-10k_77h2_6_0.54_0.522-hist.csv</t>
  </si>
  <si>
    <t>pnl-10k_77h2_6_0.55_0.521-hist.csv</t>
  </si>
  <si>
    <t>pnl-10k_77h2_6_0.56_0.521-hist.csv</t>
  </si>
  <si>
    <t>pnl-10k_77h2_7_0.54_0.5051-hist.csv</t>
  </si>
  <si>
    <t>pnl-10k_77h2_7_0.54_0.51-hist.csv</t>
  </si>
  <si>
    <t>pnl-10k_77h2_7_0.54_0.511-hist.csv</t>
  </si>
  <si>
    <t>pnl-10k_77h2_7_0.54_0.521-hist.csv</t>
  </si>
  <si>
    <t>pnl-10k_77h2_7_0.54_0.53-hist.csv</t>
  </si>
  <si>
    <t>pnl-10k_77h2_7_0.55_0.5053-hist.csv</t>
  </si>
  <si>
    <t>pnl-10k_77h2_7_0.56_0.5051-hist.csv</t>
  </si>
  <si>
    <t>pnl-10k_77h2_7_0.56_0.5052-hist.csv</t>
  </si>
  <si>
    <t>pnl-10k_77h2_7_0.56_0.511-hist.csv</t>
  </si>
  <si>
    <t>pnl-10k_77h2_7_0.56_0.5151-hist.csv</t>
  </si>
  <si>
    <t>pnl-10k_77h2_8_0.54_0.5051-hist.csv</t>
  </si>
  <si>
    <t>pnl-10k_77h2_8_0.54_0.51-hist.csv</t>
  </si>
  <si>
    <t>pnl-10k_77h2_8_0.54_0.511-hist.csv</t>
  </si>
  <si>
    <t>pnl-10k_77h2_8_0.54_0.5151-hist.csv</t>
  </si>
  <si>
    <t>pnl-10k_77h2_8_0.54_0.5152-hist.csv</t>
  </si>
  <si>
    <t>pnl-10k_77h2_8_0.54_0.5153-hist.csv</t>
  </si>
  <si>
    <t>pnl-10k_77h2_8_0.54_0.521-hist.csv</t>
  </si>
  <si>
    <t>pnl-10k_77h2_8_0.54_0.5251-hist.csv</t>
  </si>
  <si>
    <t>pnl-10k_77h2_8_0.55_0.5151-hist.csv</t>
  </si>
  <si>
    <t>pnl-10k_77h2_8_0.55_0.521-hist.csv</t>
  </si>
  <si>
    <t>pnl-20k_77g1_1_0.56_0.514-hist.csv</t>
  </si>
  <si>
    <t>pnl-20k_77g1_1_0.56_0.5154-hist.csv</t>
  </si>
  <si>
    <t>pnl-20k_77g1_1_0.56_0.5155-hist.csv</t>
  </si>
  <si>
    <t>pnl-20k_77g1_1_0.57_0.514-hist.csv</t>
  </si>
  <si>
    <t>pnl-20k_77g1_1_0.57_0.5154-hist.csv</t>
  </si>
  <si>
    <t>pnl-20k_77g1_1_0.57_0.5155-hist.csv</t>
  </si>
  <si>
    <t>pnl-20k_77g1_1_0.58_0.514-hist.csv</t>
  </si>
  <si>
    <t>pnl-20k_77g1_1_0.58_0.5154-hist.csv</t>
  </si>
  <si>
    <t>pnl-20k_77g1_1_0.59_0.514-hist.csv</t>
  </si>
  <si>
    <t>pnl-20k_77g1_1_0.59_0.5154-hist.csv</t>
  </si>
  <si>
    <t>pnl-20k_77g1_2_0.54_0.5051-hist.csv</t>
  </si>
  <si>
    <t>pnl-20k_77g1_2_0.54_0.51-hist.csv</t>
  </si>
  <si>
    <t>pnl-20k_77g1_2_0.54_0.511-hist.csv</t>
  </si>
  <si>
    <t>pnl-20k_77g1_2_0.54_0.5151-hist.csv</t>
  </si>
  <si>
    <t>pnl-20k_77g1_2_0.54_0.52-hist.csv</t>
  </si>
  <si>
    <t>pnl-20k_77g1_2_0.54_0.521-hist.csv</t>
  </si>
  <si>
    <t>pnl-20k_77g1_2_0.54_0.522-hist.csv</t>
  </si>
  <si>
    <t>pnl-20k_77g1_2_0.54_0.53-hist.csv</t>
  </si>
  <si>
    <t>pnl-20k_77g1_2_0.55_0.5151-hist.csv</t>
  </si>
  <si>
    <t>pnl-20k_77g1_2_0.56_0.5151-hist.csv</t>
  </si>
  <si>
    <t>pnl-20k_77g1_3_0.54_0.51-hist.csv</t>
  </si>
  <si>
    <t>pnl-20k_77g1_3_0.54_0.511-hist.csv</t>
  </si>
  <si>
    <t>pnl-20k_77g1_3_0.54_0.512-hist.csv</t>
  </si>
  <si>
    <t>pnl-20k_77g1_3_0.54_0.513-hist.csv</t>
  </si>
  <si>
    <t>pnl-20k_77g1_3_0.54_0.5151-hist.csv</t>
  </si>
  <si>
    <t>pnl-20k_77g1_3_0.54_0.52-hist.csv</t>
  </si>
  <si>
    <t>pnl-20k_77g1_3_0.54_0.521-hist.csv</t>
  </si>
  <si>
    <t>pnl-20k_77g1_3_0.54_0.522-hist.csv</t>
  </si>
  <si>
    <t>pnl-20k_77g1_3_0.55_0.511-hist.csv</t>
  </si>
  <si>
    <t>pnl-20k_77g1_3_0.55_0.521-hist.csv</t>
  </si>
  <si>
    <t>pnl-20k_77g1_4_0.54_0.511-hist.csv</t>
  </si>
  <si>
    <t>pnl-20k_77g1_4_0.54_0.513-hist.csv</t>
  </si>
  <si>
    <t>pnl-20k_77g1_4_0.54_0.5151-hist.csv</t>
  </si>
  <si>
    <t>pnl-20k_77g1_4_0.54_0.5152-hist.csv</t>
  </si>
  <si>
    <t>pnl-20k_77g1_4_0.54_0.5153-hist.csv</t>
  </si>
  <si>
    <t>pnl-20k_77g1_4_0.54_0.5155-hist.csv</t>
  </si>
  <si>
    <t>pnl-20k_77g1_4_0.54_0.521-hist.csv</t>
  </si>
  <si>
    <t>pnl-20k_77g1_4_0.54_0.522-hist.csv</t>
  </si>
  <si>
    <t>pnl-20k_77g1_4_0.54_0.524-hist.csv</t>
  </si>
  <si>
    <t>pnl-20k_77g1_4_0.55_0.521-hist.csv</t>
  </si>
  <si>
    <t>pnl-20k_77g2_5_0.54_0.5051-hist.csv</t>
  </si>
  <si>
    <t>pnl-20k_77g2_5_0.54_0.511-hist.csv</t>
  </si>
  <si>
    <t>pnl-20k_77g2_5_0.54_0.512-hist.csv</t>
  </si>
  <si>
    <t>pnl-20k_77g2_5_0.54_0.5151-hist.csv</t>
  </si>
  <si>
    <t>pnl-20k_77g2_5_0.54_0.52-hist.csv</t>
  </si>
  <si>
    <t>pnl-20k_77g2_5_0.55_0.5051-hist.csv</t>
  </si>
  <si>
    <t>pnl-20k_77g2_5_0.55_0.511-hist.csv</t>
  </si>
  <si>
    <t>pnl-20k_77g2_5_0.55_0.512-hist.csv</t>
  </si>
  <si>
    <t>pnl-20k_77g2_5_0.55_0.5151-hist.csv</t>
  </si>
  <si>
    <t>pnl-20k_77g2_5_0.55_0.52-hist.csv</t>
  </si>
  <si>
    <t>pnl-20k_77g2_6_0.54_0.51-hist.csv</t>
  </si>
  <si>
    <t>pnl-20k_77g2_6_0.54_0.512-hist.csv</t>
  </si>
  <si>
    <t>pnl-20k_77g2_6_0.54_0.513-hist.csv</t>
  </si>
  <si>
    <t>pnl-20k_77g2_6_0.54_0.5151-hist.csv</t>
  </si>
  <si>
    <t>pnl-20k_77g2_6_0.54_0.5152-hist.csv</t>
  </si>
  <si>
    <t>pnl-20k_77g2_6_0.54_0.5154-hist.csv</t>
  </si>
  <si>
    <t>pnl-20k_77g2_6_0.54_0.5155-hist.csv</t>
  </si>
  <si>
    <t>pnl-20k_77g2_6_0.54_0.521-hist.csv</t>
  </si>
  <si>
    <t>pnl-20k_77g2_6_0.54_0.522-hist.csv</t>
  </si>
  <si>
    <t>pnl-20k_77g2_6_0.54_0.523-hist.csv</t>
  </si>
  <si>
    <t>pnl-20k_77g2_7_0.54_0.5051-hist.csv</t>
  </si>
  <si>
    <t>pnl-20k_77g2_7_0.54_0.511-hist.csv</t>
  </si>
  <si>
    <t>pnl-20k_77g2_7_0.54_0.5151-hist.csv</t>
  </si>
  <si>
    <t>pnl-20k_77g2_7_0.54_0.5152-hist.csv</t>
  </si>
  <si>
    <t>pnl-20k_77g2_7_0.54_0.521-hist.csv</t>
  </si>
  <si>
    <t>pnl-20k_77g2_7_0.54_0.522-hist.csv</t>
  </si>
  <si>
    <t>pnl-20k_77g2_7_0.55_0.5051-hist.csv</t>
  </si>
  <si>
    <t>pnl-20k_77g2_7_0.55_0.511-hist.csv</t>
  </si>
  <si>
    <t>pnl-20k_77g2_7_0.55_0.5151-hist.csv</t>
  </si>
  <si>
    <t>pnl-20k_77g2_7_0.55_0.521-hist.csv</t>
  </si>
  <si>
    <t>pnl-20k_77g2_8_0.54_0.512-hist.csv</t>
  </si>
  <si>
    <t>pnl-20k_77g2_8_0.54_0.5152-hist.csv</t>
  </si>
  <si>
    <t>pnl-20k_77g2_8_0.54_0.52-hist.csv</t>
  </si>
  <si>
    <t>pnl-20k_77g2_8_0.54_0.521-hist.csv</t>
  </si>
  <si>
    <t>pnl-20k_77g2_8_0.54_0.522-hist.csv</t>
  </si>
  <si>
    <t>pnl-20k_77g2_8_0.55_0.511-hist.csv</t>
  </si>
  <si>
    <t>pnl-20k_77g2_8_0.55_0.5151-hist.csv</t>
  </si>
  <si>
    <t>pnl-20k_77g2_8_0.55_0.5152-hist.csv</t>
  </si>
  <si>
    <t>pnl-20k_77g2_8_0.55_0.521-hist.csv</t>
  </si>
  <si>
    <t>pnl-20k_77g2_8_0.55_0.522-hist.csv</t>
  </si>
  <si>
    <t>pnl-30k_77d1_1_0.56_0.5051-hist.csv</t>
  </si>
  <si>
    <t>pnl-30k_77d1_1_0.56_0.51-hist.csv</t>
  </si>
  <si>
    <t>pnl-30k_77d1_1_0.56_0.511-hist.csv</t>
  </si>
  <si>
    <t>pnl-30k_77d1_1_0.57_0.5051-hist.csv</t>
  </si>
  <si>
    <t>pnl-30k_77d1_1_0.57_0.51-hist.csv</t>
  </si>
  <si>
    <t>pnl-30k_77d1_1_0.57_0.511-hist.csv</t>
  </si>
  <si>
    <t>pnl-30k_77d1_1_0.58_0.51-hist.csv</t>
  </si>
  <si>
    <t>pnl-30k_77d1_1_0.58_0.511-hist.csv</t>
  </si>
  <si>
    <t>pnl-30k_77d1_1_0.59_0.51-hist.csv</t>
  </si>
  <si>
    <t>pnl-30k_77d1_1_0.59_0.511-hist.csv</t>
  </si>
  <si>
    <t>pnl-30k_77d1_2_0.54_0.5051-hist.csv</t>
  </si>
  <si>
    <t>pnl-30k_77d1_2_0.54_0.51-hist.csv</t>
  </si>
  <si>
    <t>pnl-30k_77d1_2_0.54_0.511-hist.csv</t>
  </si>
  <si>
    <t>pnl-30k_77d1_2_0.54_0.512-hist.csv</t>
  </si>
  <si>
    <t>pnl-30k_77d1_2_0.54_0.5151-hist.csv</t>
  </si>
  <si>
    <t>pnl-30k_77d1_2_0.54_0.521-hist.csv</t>
  </si>
  <si>
    <t>pnl-30k_77d1_2_0.54_0.522-hist.csv</t>
  </si>
  <si>
    <t>pnl-30k_77d1_2_0.55_0.51-hist.csv</t>
  </si>
  <si>
    <t>pnl-30k_77d1_2_0.55_0.511-hist.csv</t>
  </si>
  <si>
    <t>pnl-30k_77d1_2_0.56_0.511-hist.csv</t>
  </si>
  <si>
    <t>pnl-30k_77d1_3_0.54_0.5051-hist.csv</t>
  </si>
  <si>
    <t>pnl-30k_77d1_3_0.54_0.51-hist.csv</t>
  </si>
  <si>
    <t>pnl-30k_77d1_3_0.54_0.511-hist.csv</t>
  </si>
  <si>
    <t>pnl-30k_77d1_3_0.54_0.5151-hist.csv</t>
  </si>
  <si>
    <t>pnl-30k_77d1_3_0.54_0.52-hist.csv</t>
  </si>
  <si>
    <t>pnl-30k_77d1_3_0.54_0.521-hist.csv</t>
  </si>
  <si>
    <t>pnl-30k_77d1_3_0.55_0.5051-hist.csv</t>
  </si>
  <si>
    <t>pnl-30k_77d1_3_0.55_0.51-hist.csv</t>
  </si>
  <si>
    <t>pnl-30k_77d1_3_0.55_0.511-hist.csv</t>
  </si>
  <si>
    <t>pnl-30k_77d1_3_0.55_0.5151-hist.csv</t>
  </si>
  <si>
    <t>pnl-30k_77d1_4_0.54_0.5051-hist.csv</t>
  </si>
  <si>
    <t>pnl-30k_77d1_4_0.54_0.511-hist.csv</t>
  </si>
  <si>
    <t>pnl-30k_77d1_4_0.54_0.5151-hist.csv</t>
  </si>
  <si>
    <t>pnl-30k_77d1_4_0.54_0.521-hist.csv</t>
  </si>
  <si>
    <t>pnl-30k_77d1_4_0.55_0.5051-hist.csv</t>
  </si>
  <si>
    <t>pnl-30k_77d1_4_0.55_0.511-hist.csv</t>
  </si>
  <si>
    <t>pnl-30k_77d1_4_0.55_0.5151-hist.csv</t>
  </si>
  <si>
    <t>pnl-30k_77d1_4_0.55_0.521-hist.csv</t>
  </si>
  <si>
    <t>pnl-30k_77d1_4_0.56_0.5051-hist.csv</t>
  </si>
  <si>
    <t>pnl-30k_77d1_4_0.56_0.511-hist.csv</t>
  </si>
  <si>
    <t>pnl-30k_77d2_5_0.54_0.5051-hist.csv</t>
  </si>
  <si>
    <t>pnl-30k_77d2_5_0.54_0.51-hist.csv</t>
  </si>
  <si>
    <t>pnl-30k_77d2_5_0.54_0.511-hist.csv</t>
  </si>
  <si>
    <t>pnl-30k_77d2_5_0.55_0.5051-hist.csv</t>
  </si>
  <si>
    <t>pnl-30k_77d2_5_0.55_0.51-hist.csv</t>
  </si>
  <si>
    <t>pnl-30k_77d2_5_0.55_0.511-hist.csv</t>
  </si>
  <si>
    <t>pnl-30k_77d2_5_0.56_0.5051-hist.csv</t>
  </si>
  <si>
    <t>pnl-30k_77d2_5_0.57_0.5051-hist.csv</t>
  </si>
  <si>
    <t>pnl-30k_77d2_5_0.58_0.5051-hist.csv</t>
  </si>
  <si>
    <t>pnl-30k_77d2_5_0.59_0.5051-hist.csv</t>
  </si>
  <si>
    <t>pnl-30k_77d2_6_0.54_0.5051-hist.csv</t>
  </si>
  <si>
    <t>pnl-30k_77d2_6_0.54_0.51-hist.csv</t>
  </si>
  <si>
    <t>pnl-30k_77d2_6_0.54_0.511-hist.csv</t>
  </si>
  <si>
    <t>pnl-30k_77d2_6_0.54_0.5151-hist.csv</t>
  </si>
  <si>
    <t>pnl-30k_77d2_6_0.54_0.521-hist.csv</t>
  </si>
  <si>
    <t>pnl-30k_77d2_6_0.55_0.5151-hist.csv</t>
  </si>
  <si>
    <t>pnl-30k_77d2_6_0.55_0.521-hist.csv</t>
  </si>
  <si>
    <t>pnl-30k_77d2_6_0.56_0.521-hist.csv</t>
  </si>
  <si>
    <t>pnl-30k_77d2_6_0.57_0.511-hist.csv</t>
  </si>
  <si>
    <t>pnl-30k_77d2_6_0.57_0.5151-hist.csv</t>
  </si>
  <si>
    <t>pnl-30k_77d2_7_0.54_0.5051-hist.csv</t>
  </si>
  <si>
    <t>pnl-30k_77d2_7_0.54_0.5052-hist.csv</t>
  </si>
  <si>
    <t>pnl-30k_77d2_7_0.54_0.51-hist.csv</t>
  </si>
  <si>
    <t>pnl-30k_77d2_7_0.54_0.511-hist.csv</t>
  </si>
  <si>
    <t>pnl-30k_77d2_7_0.54_0.512-hist.csv</t>
  </si>
  <si>
    <t>pnl-30k_77d2_7_0.54_0.5151-hist.csv</t>
  </si>
  <si>
    <t>pnl-30k_77d2_7_0.54_0.5152-hist.csv</t>
  </si>
  <si>
    <t>pnl-30k_77d2_7_0.54_0.52-hist.csv</t>
  </si>
  <si>
    <t>pnl-30k_77d2_7_0.54_0.521-hist.csv</t>
  </si>
  <si>
    <t>pnl-30k_77d2_7_0.55_0.51-hist.csv</t>
  </si>
  <si>
    <t>pnl-30k_77d2_8_0.54_0.5051-hist.csv</t>
  </si>
  <si>
    <t>pnl-30k_77d2_8_0.54_0.51-hist.csv</t>
  </si>
  <si>
    <t>pnl-30k_77d2_8_0.54_0.511-hist.csv</t>
  </si>
  <si>
    <t>pnl-30k_77d2_8_0.54_0.5151-hist.csv</t>
  </si>
  <si>
    <t>pnl-30k_77d2_8_0.54_0.521-hist.csv</t>
  </si>
  <si>
    <t>pnl-30k_77d2_8_0.54_0.522-hist.csv</t>
  </si>
  <si>
    <t>pnl-30k_77d2_8_0.55_0.5051-hist.csv</t>
  </si>
  <si>
    <t>pnl-30k_77d2_8_0.55_0.51-hist.csv</t>
  </si>
  <si>
    <t>pnl-30k_77d2_8_0.55_0.511-hist.csv</t>
  </si>
  <si>
    <t>pnl-30k_77d2_8_0.56_0.51-hist.csv</t>
  </si>
  <si>
    <t>pnl-50k_77e1_1_0.54_0.5051-hist.csv</t>
  </si>
  <si>
    <t>pnl-50k_77e1_1_0.54_0.51-hist.csv</t>
  </si>
  <si>
    <t>pnl-50k_77e1_1_0.54_0.5151-hist.csv</t>
  </si>
  <si>
    <t>pnl-50k_77e1_1_0.55_0.5051-hist.csv</t>
  </si>
  <si>
    <t>pnl-50k_77e1_1_0.55_0.51-hist.csv</t>
  </si>
  <si>
    <t>pnl-50k_77e1_1_0.55_0.5151-hist.csv</t>
  </si>
  <si>
    <t>pnl-50k_77e1_1_0.56_0.5151-hist.csv</t>
  </si>
  <si>
    <t>pnl-50k_77e1_1_0.57_0.5151-hist.csv</t>
  </si>
  <si>
    <t>pnl-50k_77e1_1_0.58_0.5151-hist.csv</t>
  </si>
  <si>
    <t>pnl-50k_77e1_1_0.59_0.5151-hist.csv</t>
  </si>
  <si>
    <t>pnl-50k_77e1_2_0.54_0.5051-hist.csv</t>
  </si>
  <si>
    <t>pnl-50k_77e1_2_0.54_0.51-hist.csv</t>
  </si>
  <si>
    <t>pnl-50k_77e1_2_0.54_0.511-hist.csv</t>
  </si>
  <si>
    <t>pnl-50k_77e1_2_0.54_0.5151-hist.csv</t>
  </si>
  <si>
    <t>pnl-50k_77e1_2_0.54_0.521-hist.csv</t>
  </si>
  <si>
    <t>pnl-50k_77e1_2_0.55_0.5051-hist.csv</t>
  </si>
  <si>
    <t>pnl-50k_77e1_2_0.55_0.51-hist.csv</t>
  </si>
  <si>
    <t>pnl-50k_77e1_2_0.55_0.511-hist.csv</t>
  </si>
  <si>
    <t>pnl-50k_77e1_2_0.56_0.51-hist.csv</t>
  </si>
  <si>
    <t>pnl-50k_77e1_2_0.56_0.511-hist.csv</t>
  </si>
  <si>
    <t>pnl-50k_77e1_3_0.54_0.5051-hist.csv</t>
  </si>
  <si>
    <t>pnl-50k_77e1_3_0.54_0.51-hist.csv</t>
  </si>
  <si>
    <t>pnl-50k_77e1_3_0.54_0.511-hist.csv</t>
  </si>
  <si>
    <t>pnl-50k_77e1_3_0.54_0.5151-hist.csv</t>
  </si>
  <si>
    <t>pnl-50k_77e1_3_0.54_0.521-hist.csv</t>
  </si>
  <si>
    <t>pnl-50k_77e1_3_0.55_0.5051-hist.csv</t>
  </si>
  <si>
    <t>pnl-50k_77e1_3_0.55_0.51-hist.csv</t>
  </si>
  <si>
    <t>pnl-50k_77e1_3_0.55_0.511-hist.csv</t>
  </si>
  <si>
    <t>pnl-50k_77e1_3_0.55_0.5151-hist.csv</t>
  </si>
  <si>
    <t>pnl-50k_77e1_3_0.55_0.521-hist.csv</t>
  </si>
  <si>
    <t>pnl-50k_77e1_4_0.54_0.5051-hist.csv</t>
  </si>
  <si>
    <t>pnl-50k_77e1_4_0.54_0.51-hist.csv</t>
  </si>
  <si>
    <t>pnl-50k_77e1_4_0.54_0.511-hist.csv</t>
  </si>
  <si>
    <t>pnl-50k_77e1_4_0.54_0.5151-hist.csv</t>
  </si>
  <si>
    <t>pnl-50k_77e1_4_0.54_0.521-hist.csv</t>
  </si>
  <si>
    <t>pnl-50k_77e1_4_0.55_0.5051-hist.csv</t>
  </si>
  <si>
    <t>pnl-50k_77e1_4_0.55_0.51-hist.csv</t>
  </si>
  <si>
    <t>pnl-50k_77e1_4_0.55_0.511-hist.csv</t>
  </si>
  <si>
    <t>pnl-50k_77e1_4_0.55_0.5151-hist.csv</t>
  </si>
  <si>
    <t>pnl-50k_77e1_4_0.55_0.521-hist.csv</t>
  </si>
  <si>
    <t>pnl-50k_77e2_5_0.54_0.5051-hist.csv</t>
  </si>
  <si>
    <t>pnl-50k_77e2_5_0.54_0.51-hist.csv</t>
  </si>
  <si>
    <t>pnl-50k_77e2_5_0.54_0.511-hist.csv</t>
  </si>
  <si>
    <t>pnl-50k_77e2_5_0.55_0.5051-hist.csv</t>
  </si>
  <si>
    <t>pnl-50k_77e2_5_0.55_0.51-hist.csv</t>
  </si>
  <si>
    <t>pnl-50k_77e2_5_0.55_0.511-hist.csv</t>
  </si>
  <si>
    <t>pnl-50k_77e2_5_0.56_0.51-hist.csv</t>
  </si>
  <si>
    <t>pnl-50k_77e2_5_0.57_0.51-hist.csv</t>
  </si>
  <si>
    <t>pnl-50k_77e2_5_0.58_0.51-hist.csv</t>
  </si>
  <si>
    <t>pnl-50k_77e2_5_0.59_0.51-hist.csv</t>
  </si>
  <si>
    <t>pnl-50k_77e2_6_0.54_0.5051-hist.csv</t>
  </si>
  <si>
    <t>pnl-50k_77e2_6_0.54_0.51-hist.csv</t>
  </si>
  <si>
    <t>pnl-50k_77e2_6_0.54_0.511-hist.csv</t>
  </si>
  <si>
    <t>pnl-50k_77e2_6_0.54_0.5151-hist.csv</t>
  </si>
  <si>
    <t>pnl-50k_77e2_6_0.54_0.521-hist.csv</t>
  </si>
  <si>
    <t>pnl-50k_77e2_6_0.55_0.5051-hist.csv</t>
  </si>
  <si>
    <t>pnl-50k_77e2_6_0.55_0.51-hist.csv</t>
  </si>
  <si>
    <t>pnl-50k_77e2_6_0.55_0.511-hist.csv</t>
  </si>
  <si>
    <t>pnl-50k_77e2_6_0.56_0.5051-hist.csv</t>
  </si>
  <si>
    <t>pnl-50k_77e2_6_0.56_0.511-hist.csv</t>
  </si>
  <si>
    <t>pnl-50k_77e2_7_0.54_0.5051-hist.csv</t>
  </si>
  <si>
    <t>pnl-50k_77e2_7_0.54_0.51-hist.csv</t>
  </si>
  <si>
    <t>pnl-50k_77e2_7_0.54_0.511-hist.csv</t>
  </si>
  <si>
    <t>pnl-50k_77e2_7_0.54_0.512-hist.csv</t>
  </si>
  <si>
    <t>pnl-50k_77e2_7_0.54_0.5151-hist.csv</t>
  </si>
  <si>
    <t>pnl-50k_77e2_7_0.54_0.521-hist.csv</t>
  </si>
  <si>
    <t>pnl-50k_77e2_7_0.55_0.5051-hist.csv</t>
  </si>
  <si>
    <t>pnl-50k_77e2_7_0.55_0.51-hist.csv</t>
  </si>
  <si>
    <t>pnl-50k_77e2_7_0.55_0.511-hist.csv</t>
  </si>
  <si>
    <t>pnl-50k_77e2_7_0.55_0.5151-hist.csv</t>
  </si>
  <si>
    <t>pnl-50k_77e2_8_0.54_0.5051-hist.csv</t>
  </si>
  <si>
    <t>pnl-50k_77e2_8_0.54_0.51-hist.csv</t>
  </si>
  <si>
    <t>pnl-50k_77e2_8_0.54_0.511-hist.csv</t>
  </si>
  <si>
    <t>pnl-50k_77e2_8_0.54_0.5151-hist.csv</t>
  </si>
  <si>
    <t>pnl-50k_77e2_8_0.54_0.5152-hist.csv</t>
  </si>
  <si>
    <t>pnl-50k_77e2_8_0.54_0.521-hist.csv</t>
  </si>
  <si>
    <t>pnl-50k_77e2_8_0.55_0.5151-hist.csv</t>
  </si>
  <si>
    <t>pnl-50k_77e2_8_0.55_0.521-hist.csv</t>
  </si>
  <si>
    <t>pnl-50k_77e2_8_0.56_0.5151-hist.csv</t>
  </si>
  <si>
    <t>pnl-50k_77e2_8_0.56_0.521-hist.csv</t>
  </si>
  <si>
    <t>Patterns</t>
  </si>
  <si>
    <t>00k_77f1_1</t>
  </si>
  <si>
    <t>00k_77f1_2</t>
  </si>
  <si>
    <t>00k_77f1_3</t>
  </si>
  <si>
    <t>00k_77f1_4</t>
  </si>
  <si>
    <t>00k_77f2_5</t>
  </si>
  <si>
    <t>00k_77f2_6</t>
  </si>
  <si>
    <t>00k_77f2_7</t>
  </si>
  <si>
    <t>00k_77f2_8</t>
  </si>
  <si>
    <t>01k_77a1_1</t>
  </si>
  <si>
    <t>01k_77a1_2</t>
  </si>
  <si>
    <t>01k_77a1_3</t>
  </si>
  <si>
    <t>01k_77a1_4</t>
  </si>
  <si>
    <t>01k_77a2_5</t>
  </si>
  <si>
    <t>01k_77a2_6</t>
  </si>
  <si>
    <t>01k_77a2_7</t>
  </si>
  <si>
    <t>01k_77a2_8</t>
  </si>
  <si>
    <t>01k_77i1_1</t>
  </si>
  <si>
    <t>01k_77i1_2</t>
  </si>
  <si>
    <t>01k_77i1_3</t>
  </si>
  <si>
    <t>01k_77i1_4</t>
  </si>
  <si>
    <t>01k_77i2_5</t>
  </si>
  <si>
    <t>01k_77i2_6</t>
  </si>
  <si>
    <t>01k_77i2_7</t>
  </si>
  <si>
    <t>01k_77i2_8</t>
  </si>
  <si>
    <t>01k_77i3_1</t>
  </si>
  <si>
    <t>01k_77i3_2</t>
  </si>
  <si>
    <t>01k_77i3_3</t>
  </si>
  <si>
    <t>01k_77i3_4</t>
  </si>
  <si>
    <t>01k_77j1_1</t>
  </si>
  <si>
    <t>05k_77b1_1</t>
  </si>
  <si>
    <t>05k_77b1_2</t>
  </si>
  <si>
    <t>05k_77b1_3</t>
  </si>
  <si>
    <t>05k_77b1_4</t>
  </si>
  <si>
    <t>05k_77b2_5</t>
  </si>
  <si>
    <t>05k_77b2_6</t>
  </si>
  <si>
    <t>05k_77b2_7</t>
  </si>
  <si>
    <t>05k_77b2_8</t>
  </si>
  <si>
    <t>10k_77c1_1</t>
  </si>
  <si>
    <t>10k_77c1_2</t>
  </si>
  <si>
    <t>10k_77c1_3</t>
  </si>
  <si>
    <t>10k_77c1_4</t>
  </si>
  <si>
    <t>10k_77c2_5</t>
  </si>
  <si>
    <t>10k_77c2_6</t>
  </si>
  <si>
    <t>10k_77c2_7</t>
  </si>
  <si>
    <t>10k_77c2_8</t>
  </si>
  <si>
    <t>10k_77h1_1</t>
  </si>
  <si>
    <t>10k_77h1_2</t>
  </si>
  <si>
    <t>10k_77h1_3</t>
  </si>
  <si>
    <t>10k_77h1_4</t>
  </si>
  <si>
    <t>10k_77h2_5</t>
  </si>
  <si>
    <t>10k_77h2_6</t>
  </si>
  <si>
    <t>10k_77h2_7</t>
  </si>
  <si>
    <t>10k_77h2_8</t>
  </si>
  <si>
    <t>20k_77g1_1</t>
  </si>
  <si>
    <t>20k_77g1_2</t>
  </si>
  <si>
    <t>20k_77g1_3</t>
  </si>
  <si>
    <t>20k_77g1_4</t>
  </si>
  <si>
    <t>20k_77g2_5</t>
  </si>
  <si>
    <t>20k_77g2_6</t>
  </si>
  <si>
    <t>20k_77g2_7</t>
  </si>
  <si>
    <t>20k_77g2_8</t>
  </si>
  <si>
    <t>20k_77k1_1</t>
  </si>
  <si>
    <t>30k_77d1_1</t>
  </si>
  <si>
    <t>30k_77d1_2</t>
  </si>
  <si>
    <t>30k_77d1_3</t>
  </si>
  <si>
    <t>30k_77d1_4</t>
  </si>
  <si>
    <t>30k_77d2_5</t>
  </si>
  <si>
    <t>30k_77d2_6</t>
  </si>
  <si>
    <t>30k_77d2_7</t>
  </si>
  <si>
    <t>30k_77d2_8</t>
  </si>
  <si>
    <t>50k_77e1_1</t>
  </si>
  <si>
    <t>50k_77e1_2</t>
  </si>
  <si>
    <t>50k_77e1_3</t>
  </si>
  <si>
    <t>50k_77e1_4</t>
  </si>
  <si>
    <t>50k_77e2_5</t>
  </si>
  <si>
    <t>50k_77e2_6</t>
  </si>
  <si>
    <t>50k_77e2_7</t>
  </si>
  <si>
    <t>50k_77e2_8</t>
  </si>
  <si>
    <t>01k_05m1_1</t>
  </si>
  <si>
    <t>01k_05m1_2</t>
  </si>
  <si>
    <t>01k_05m1_3</t>
  </si>
  <si>
    <t>01k_05m1_4</t>
  </si>
  <si>
    <t>01k_05m1_5</t>
  </si>
  <si>
    <t>01k_05m1_6</t>
  </si>
  <si>
    <t>01k_05m1_7</t>
  </si>
  <si>
    <t>01k_05m1_8</t>
  </si>
  <si>
    <t>01k_05m1_9</t>
  </si>
  <si>
    <t>01k_05m2_1</t>
  </si>
  <si>
    <t>01k_05m2_2</t>
  </si>
  <si>
    <t>01k_10h1_1</t>
  </si>
  <si>
    <t>01k_10h1_2</t>
  </si>
  <si>
    <t>01k_10i1_2</t>
  </si>
  <si>
    <t>01k_10j1_1</t>
  </si>
  <si>
    <t>01k_10j1_2</t>
  </si>
  <si>
    <t>01k_10j1_3</t>
  </si>
  <si>
    <t>01k_10j1_4</t>
  </si>
  <si>
    <t>01k_10j1_5</t>
  </si>
  <si>
    <t>01k_10j2_1</t>
  </si>
  <si>
    <t>01k_10j2_2</t>
  </si>
  <si>
    <t>01k_10j2_3</t>
  </si>
  <si>
    <t>01k_10j2_4</t>
  </si>
  <si>
    <t>01k_10j2_5</t>
  </si>
  <si>
    <t>05k_10b3_3</t>
  </si>
  <si>
    <t>05k_10b4_4</t>
  </si>
  <si>
    <t>05k_10d1_1</t>
  </si>
  <si>
    <t>05k_10d2_2</t>
  </si>
  <si>
    <t>05k_10d3_3</t>
  </si>
  <si>
    <t>05k_10e1_1</t>
  </si>
  <si>
    <t>05k_10e2_2</t>
  </si>
  <si>
    <t>05k_10f1_1</t>
  </si>
  <si>
    <t>05k_10f1_2</t>
  </si>
  <si>
    <t>05k_10f1_3</t>
  </si>
  <si>
    <t>05k_10f1_4</t>
  </si>
  <si>
    <t>05k_10g1_1</t>
  </si>
  <si>
    <t>10k_10b1_1</t>
  </si>
  <si>
    <t>10k_10b2_2</t>
  </si>
  <si>
    <t>20k_10a1_1</t>
  </si>
  <si>
    <t>20k_10a2_2</t>
  </si>
  <si>
    <t>20k_10a3_3</t>
  </si>
  <si>
    <t>20k_10a4_4</t>
  </si>
  <si>
    <t>20k_10c1_1</t>
  </si>
  <si>
    <t>20k_10c1_2</t>
  </si>
  <si>
    <t>pnl-01k_10h1_1_0.54_0.5051-hist.csv</t>
  </si>
  <si>
    <t>pnl-01k_10h1_1_0.54_0.5052-hist.csv</t>
  </si>
  <si>
    <t>pnl-01k_10h1_1_0.54_0.511-hist.csv</t>
  </si>
  <si>
    <t>pnl-01k_10h1_1_0.54_0.512-hist.csv</t>
  </si>
  <si>
    <t>pnl-01k_10h1_1_0.54_0.5151-hist.csv</t>
  </si>
  <si>
    <t>pnl-01k_10h1_1_0.54_0.5152-hist.csv</t>
  </si>
  <si>
    <t>pnl-01k_10h1_1_0.54_0.521-hist.csv</t>
  </si>
  <si>
    <t>pnl-01k_10h1_1_0.55_0.5051-hist.csv</t>
  </si>
  <si>
    <t>pnl-01k_10h1_1_0.55_0.511-hist.csv</t>
  </si>
  <si>
    <t>pnl-01k_10h1_1_0.55_0.5151-hist.csv</t>
  </si>
  <si>
    <t>pnl-01k_10h1_2_0.54_0.5051-hist.csv</t>
  </si>
  <si>
    <t>pnl-01k_10h1_2_0.54_0.5053-hist.csv</t>
  </si>
  <si>
    <t>pnl-01k_10h1_2_0.54_0.511-hist.csv</t>
  </si>
  <si>
    <t>pnl-01k_10h1_2_0.54_0.5151-hist.csv</t>
  </si>
  <si>
    <t>pnl-01k_10h1_2_0.54_0.5152-hist.csv</t>
  </si>
  <si>
    <t>pnl-01k_10h1_2_0.54_0.5153-hist.csv</t>
  </si>
  <si>
    <t>pnl-01k_10h1_2_0.54_0.521-hist.csv</t>
  </si>
  <si>
    <t>pnl-01k_10h1_2_0.55_0.5051-hist.csv</t>
  </si>
  <si>
    <t>pnl-01k_10h1_2_0.55_0.5151-hist.csv</t>
  </si>
  <si>
    <t>pnl-01k_10h1_2_0.55_0.521-hist.csv</t>
  </si>
  <si>
    <t>pnl-01k_10i1_2_0.54_0.51-hist.csv</t>
  </si>
  <si>
    <t>pnl-01k_10i1_2_0.54_0.514-hist.csv</t>
  </si>
  <si>
    <t>pnl-01k_10i1_2_0.54_0.5151-hist.csv</t>
  </si>
  <si>
    <t>pnl-01k_10i1_2_0.54_0.5153-hist.csv</t>
  </si>
  <si>
    <t>pnl-01k_10i1_2_0.55_0.5151-hist.csv</t>
  </si>
  <si>
    <t>pnl-01k_10i1_2_0.55_0.5152-hist.csv</t>
  </si>
  <si>
    <t>pnl-01k_10i1_2_0.56_0.5151-hist.csv</t>
  </si>
  <si>
    <t>pnl-01k_10i1_2_0.56_0.5152-hist.csv</t>
  </si>
  <si>
    <t>pnl-01k_10i1_2_0.56_0.521-hist.csv</t>
  </si>
  <si>
    <t>pnl-01k_10i1_2_0.57_0.5151-hist.csv</t>
  </si>
  <si>
    <t>pnl-01k_10j1_1_0.54_0.5051-hist.csv</t>
  </si>
  <si>
    <t>pnl-01k_10j1_1_0.54_0.5052-hist.csv</t>
  </si>
  <si>
    <t>pnl-01k_10j1_1_0.54_0.51-hist.csv</t>
  </si>
  <si>
    <t>pnl-01k_10j1_1_0.54_0.511-hist.csv</t>
  </si>
  <si>
    <t>pnl-01k_10j1_1_0.54_0.512-hist.csv</t>
  </si>
  <si>
    <t>pnl-01k_10j1_1_0.54_0.5151-hist.csv</t>
  </si>
  <si>
    <t>pnl-01k_10j1_1_0.54_0.52-hist.csv</t>
  </si>
  <si>
    <t>pnl-01k_10j1_1_0.54_0.53-hist.csv</t>
  </si>
  <si>
    <t>pnl-01k_10j1_1_0.54_0.55-hist.csv</t>
  </si>
  <si>
    <t>pnl-01k_10j1_1_0.55_0.51-hist.csv</t>
  </si>
  <si>
    <t>pnl-01k_10j1_2_0.54_0.5055-hist.csv</t>
  </si>
  <si>
    <t>pnl-01k_10j1_2_0.54_0.5056-hist.csv</t>
  </si>
  <si>
    <t>pnl-01k_10j1_2_0.54_0.511-hist.csv</t>
  </si>
  <si>
    <t>pnl-01k_10j1_2_0.54_0.512-hist.csv</t>
  </si>
  <si>
    <t>pnl-01k_10j1_2_0.54_0.513-hist.csv</t>
  </si>
  <si>
    <t>pnl-01k_10j1_2_0.54_0.514-hist.csv</t>
  </si>
  <si>
    <t>pnl-01k_10j1_2_0.54_0.56-hist.csv</t>
  </si>
  <si>
    <t>pnl-01k_10j1_2_0.55_0.511-hist.csv</t>
  </si>
  <si>
    <t>pnl-01k_10j1_2_0.55_0.512-hist.csv</t>
  </si>
  <si>
    <t>pnl-01k_10j1_2_0.56_0.511-hist.csv</t>
  </si>
  <si>
    <t>pnl-01k_10j1_3_0.54_0.5051-hist.csv</t>
  </si>
  <si>
    <t>pnl-01k_10j1_3_0.54_0.5052-hist.csv</t>
  </si>
  <si>
    <t>pnl-01k_10j1_3_0.54_0.511-hist.csv</t>
  </si>
  <si>
    <t>pnl-01k_10j1_3_0.54_0.512-hist.csv</t>
  </si>
  <si>
    <t>pnl-01k_10j1_3_0.54_0.513-hist.csv</t>
  </si>
  <si>
    <t>pnl-01k_10j1_3_0.54_0.5151-hist.csv</t>
  </si>
  <si>
    <t>pnl-01k_10j1_3_0.54_0.52-hist.csv</t>
  </si>
  <si>
    <t>pnl-01k_10j1_3_0.55_0.5051-hist.csv</t>
  </si>
  <si>
    <t>pnl-01k_10j1_3_0.55_0.511-hist.csv</t>
  </si>
  <si>
    <t>pnl-01k_10j1_3_0.56_0.511-hist.csv</t>
  </si>
  <si>
    <t>pnl-01k_10j1_4_0.54_0.5051-hist.csv</t>
  </si>
  <si>
    <t>pnl-01k_10j1_4_0.54_0.5052-hist.csv</t>
  </si>
  <si>
    <t>pnl-01k_10j1_4_0.54_0.5053-hist.csv</t>
  </si>
  <si>
    <t>pnl-01k_10j1_4_0.54_0.511-hist.csv</t>
  </si>
  <si>
    <t>pnl-01k_10j1_4_0.54_0.512-hist.csv</t>
  </si>
  <si>
    <t>pnl-01k_10j1_4_0.54_0.513-hist.csv</t>
  </si>
  <si>
    <t>pnl-01k_10j1_4_0.54_0.5151-hist.csv</t>
  </si>
  <si>
    <t>pnl-01k_10j1_4_0.54_0.5152-hist.csv</t>
  </si>
  <si>
    <t>pnl-01k_10j1_4_0.54_0.521-hist.csv</t>
  </si>
  <si>
    <t>pnl-01k_10j1_4_0.55_0.5151-hist.csv</t>
  </si>
  <si>
    <t>pnl-01k_10j1_5_0.54_0.5051-hist.csv</t>
  </si>
  <si>
    <t>pnl-01k_10j1_5_0.54_0.5052-hist.csv</t>
  </si>
  <si>
    <t>pnl-01k_10j1_5_0.54_0.5053-hist.csv</t>
  </si>
  <si>
    <t>pnl-01k_10j1_5_0.54_0.5054-hist.csv</t>
  </si>
  <si>
    <t>pnl-01k_10j1_5_0.54_0.512-hist.csv</t>
  </si>
  <si>
    <t>pnl-01k_10j1_5_0.54_0.5151-hist.csv</t>
  </si>
  <si>
    <t>pnl-01k_10j1_5_0.55_0.5051-hist.csv</t>
  </si>
  <si>
    <t>pnl-01k_10j1_5_0.55_0.5052-hist.csv</t>
  </si>
  <si>
    <t>pnl-01k_10j1_5_0.55_0.511-hist.csv</t>
  </si>
  <si>
    <t>pnl-01k_10j1_5_0.56_0.5051-hist.csv</t>
  </si>
  <si>
    <t>pnl-01k_10j2_1_0.54_0.5051-hist.csv</t>
  </si>
  <si>
    <t>pnl-01k_10j2_1_0.54_0.5052-hist.csv</t>
  </si>
  <si>
    <t>pnl-01k_10j2_1_0.54_0.511-hist.csv</t>
  </si>
  <si>
    <t>pnl-01k_10j2_1_0.54_0.512-hist.csv</t>
  </si>
  <si>
    <t>pnl-01k_10j2_1_0.55_0.5051-hist.csv</t>
  </si>
  <si>
    <t>pnl-01k_10j2_1_0.55_0.5052-hist.csv</t>
  </si>
  <si>
    <t>pnl-01k_10j2_1_0.55_0.511-hist.csv</t>
  </si>
  <si>
    <t>pnl-01k_10j2_1_0.56_0.511-hist.csv</t>
  </si>
  <si>
    <t>pnl-01k_10j2_1_0.57_0.5051-hist.csv</t>
  </si>
  <si>
    <t>pnl-01k_10j2_1_0.57_0.51-hist.csv</t>
  </si>
  <si>
    <t>pnl-01k_10j2_2_0.54_0.5051-hist.csv</t>
  </si>
  <si>
    <t>pnl-01k_10j2_2_0.54_0.5052-hist.csv</t>
  </si>
  <si>
    <t>pnl-01k_10j2_2_0.54_0.51-hist.csv</t>
  </si>
  <si>
    <t>pnl-01k_10j2_2_0.54_0.511-hist.csv</t>
  </si>
  <si>
    <t>pnl-01k_10j2_2_0.54_0.512-hist.csv</t>
  </si>
  <si>
    <t>pnl-01k_10j2_2_0.54_0.514-hist.csv</t>
  </si>
  <si>
    <t>pnl-01k_10j2_2_0.54_0.5151-hist.csv</t>
  </si>
  <si>
    <t>pnl-01k_10j2_2_0.54_0.5152-hist.csv</t>
  </si>
  <si>
    <t>pnl-01k_10j2_2_0.55_0.511-hist.csv</t>
  </si>
  <si>
    <t>pnl-01k_10j2_2_0.55_0.5151-hist.csv</t>
  </si>
  <si>
    <t>pnl-01k_10j2_3_0.54_0.51-hist.csv</t>
  </si>
  <si>
    <t>pnl-01k_10j2_3_0.54_0.511-hist.csv</t>
  </si>
  <si>
    <t>pnl-01k_10j2_3_0.54_0.512-hist.csv</t>
  </si>
  <si>
    <t>pnl-01k_10j2_3_0.54_0.513-hist.csv</t>
  </si>
  <si>
    <t>pnl-01k_10j2_3_0.54_0.5151-hist.csv</t>
  </si>
  <si>
    <t>pnl-01k_10j2_3_0.54_0.52-hist.csv</t>
  </si>
  <si>
    <t>pnl-01k_10j2_3_0.54_0.53-hist.csv</t>
  </si>
  <si>
    <t>pnl-01k_10j2_3_0.55_0.511-hist.csv</t>
  </si>
  <si>
    <t>pnl-01k_10j2_3_0.55_0.52-hist.csv</t>
  </si>
  <si>
    <t>pnl-01k_10j2_3_0.56_0.5051-hist.csv</t>
  </si>
  <si>
    <t>pnl-01k_10j2_4_0.54_0.511-hist.csv</t>
  </si>
  <si>
    <t>pnl-01k_10j2_4_0.54_0.513-hist.csv</t>
  </si>
  <si>
    <t>pnl-01k_10j2_4_0.54_0.5151-hist.csv</t>
  </si>
  <si>
    <t>pnl-01k_10j2_4_0.54_0.5152-hist.csv</t>
  </si>
  <si>
    <t>pnl-01k_10j2_4_0.54_0.53-hist.csv</t>
  </si>
  <si>
    <t>pnl-01k_10j2_4_0.55_0.5051-hist.csv</t>
  </si>
  <si>
    <t>pnl-01k_10j2_4_0.55_0.51-hist.csv</t>
  </si>
  <si>
    <t>pnl-01k_10j2_4_0.55_0.511-hist.csv</t>
  </si>
  <si>
    <t>pnl-01k_10j2_4_0.55_0.5151-hist.csv</t>
  </si>
  <si>
    <t>pnl-01k_10j2_4_0.56_0.511-hist.csv</t>
  </si>
  <si>
    <t>pnl-01k_10j2_5_0.54_0.5052-hist.csv</t>
  </si>
  <si>
    <t>pnl-01k_10j2_5_0.54_0.5053-hist.csv</t>
  </si>
  <si>
    <t>pnl-01k_10j2_5_0.54_0.5054-hist.csv</t>
  </si>
  <si>
    <t>pnl-01k_10j2_5_0.54_0.511-hist.csv</t>
  </si>
  <si>
    <t>pnl-01k_10j2_5_0.54_0.512-hist.csv</t>
  </si>
  <si>
    <t>pnl-01k_10j2_5_0.54_0.513-hist.csv</t>
  </si>
  <si>
    <t>pnl-01k_10j2_5_0.55_0.5052-hist.csv</t>
  </si>
  <si>
    <t>pnl-01k_10j2_5_0.55_0.511-hist.csv</t>
  </si>
  <si>
    <t>pnl-01k_10j2_5_0.56_0.5051-hist.csv</t>
  </si>
  <si>
    <t>pnl-01k_10j2_5_0.58_0.511-hist.csv</t>
  </si>
  <si>
    <t>pnl-05k_10b3_3_0.54_0.50529-hist.csv</t>
  </si>
  <si>
    <t>pnl-05k_10b3_3_0.54_0.55-hist.csv</t>
  </si>
  <si>
    <t>pnl-05k_10b3_3_0.54_0.56-hist.csv</t>
  </si>
  <si>
    <t>pnl-05k_10b3_3_0.55_0.54-hist.csv</t>
  </si>
  <si>
    <t>pnl-05k_10b3_3_0.55_0.55-hist.csv</t>
  </si>
  <si>
    <t>pnl-05k_10b3_3_0.57_0.5110-hist.csv</t>
  </si>
  <si>
    <t>pnl-05k_10b3_3_0.57_0.5111-hist.csv</t>
  </si>
  <si>
    <t>pnl-05k_10b3_3_0.57_0.5112-hist.csv</t>
  </si>
  <si>
    <t>pnl-05k_10b3_3_0.57_0.5113-hist.csv</t>
  </si>
  <si>
    <t>pnl-05k_10b3_3_0.57_0.515-hist.csv</t>
  </si>
  <si>
    <t>pnl-05k_10b4_4_0.54_0.5151-hist.csv</t>
  </si>
  <si>
    <t>pnl-05k_10b4_4_0.55_0.5051-hist.csv</t>
  </si>
  <si>
    <t>pnl-05k_10b4_4_0.55_0.51-hist.csv</t>
  </si>
  <si>
    <t>pnl-05k_10b4_4_0.55_0.514-hist.csv</t>
  </si>
  <si>
    <t>pnl-05k_10b4_4_0.55_0.515-hist.csv</t>
  </si>
  <si>
    <t>pnl-05k_10b4_4_0.55_0.5151-hist.csv</t>
  </si>
  <si>
    <t>pnl-05k_10b4_4_0.56_0.5051-hist.csv</t>
  </si>
  <si>
    <t>pnl-05k_10b4_4_0.56_0.51-hist.csv</t>
  </si>
  <si>
    <t>pnl-05k_10b4_4_0.58_0.513-hist.csv</t>
  </si>
  <si>
    <t>pnl-05k_10b4_4_0.6_0.52-hist.csv</t>
  </si>
  <si>
    <t>pnl-05k_10d1_1_0.54_0.5051-hist.csv</t>
  </si>
  <si>
    <t>pnl-05k_10d1_1_0.54_0.5052-hist.csv</t>
  </si>
  <si>
    <t>pnl-05k_10d1_1_0.54_0.51-hist.csv</t>
  </si>
  <si>
    <t>pnl-05k_10d1_1_0.54_0.511-hist.csv</t>
  </si>
  <si>
    <t>pnl-05k_10d1_1_0.54_0.5151-hist.csv</t>
  </si>
  <si>
    <t>pnl-05k_10d1_1_0.54_0.52-hist.csv</t>
  </si>
  <si>
    <t>pnl-05k_10d1_1_0.55_0.5051-hist.csv</t>
  </si>
  <si>
    <t>pnl-05k_10d1_1_0.55_0.511-hist.csv</t>
  </si>
  <si>
    <t>pnl-05k_10d1_1_0.55_0.5151-hist.csv</t>
  </si>
  <si>
    <t>pnl-05k_10d1_1_0.56_0.5051-hist.csv</t>
  </si>
  <si>
    <t>pnl-05k_10d2_2_0.54_0.5051-hist.csv</t>
  </si>
  <si>
    <t>pnl-05k_10d2_2_0.54_0.511-hist.csv</t>
  </si>
  <si>
    <t>pnl-05k_10d2_2_0.54_0.5151-hist.csv</t>
  </si>
  <si>
    <t>pnl-05k_10d2_2_0.55_0.5051-hist.csv</t>
  </si>
  <si>
    <t>pnl-05k_10d2_2_0.55_0.51-hist.csv</t>
  </si>
  <si>
    <t>pnl-05k_10d2_2_0.55_0.5151-hist.csv</t>
  </si>
  <si>
    <t>pnl-05k_10d2_2_0.55_0.521-hist.csv</t>
  </si>
  <si>
    <t>pnl-05k_10d2_2_0.56_0.5051-hist.csv</t>
  </si>
  <si>
    <t>pnl-05k_10d2_2_0.56_0.51-hist.csv</t>
  </si>
  <si>
    <t>pnl-05k_10d2_2_0.56_0.5151-hist.csv</t>
  </si>
  <si>
    <t>pnl-05k_10d3_3_0.54_0.5051-hist.csv</t>
  </si>
  <si>
    <t>pnl-05k_10d3_3_0.54_0.5052-hist.csv</t>
  </si>
  <si>
    <t>pnl-05k_10d3_3_0.54_0.51-hist.csv</t>
  </si>
  <si>
    <t>pnl-05k_10d3_3_0.54_0.511-hist.csv</t>
  </si>
  <si>
    <t>pnl-05k_10d3_3_0.54_0.512-hist.csv</t>
  </si>
  <si>
    <t>pnl-05k_10d3_3_0.54_0.5151-hist.csv</t>
  </si>
  <si>
    <t>pnl-05k_10d3_3_0.54_0.52-hist.csv</t>
  </si>
  <si>
    <t>pnl-05k_10d3_3_0.55_0.5051-hist.csv</t>
  </si>
  <si>
    <t>pnl-05k_10d3_3_0.55_0.51-hist.csv</t>
  </si>
  <si>
    <t>pnl-05k_10d3_3_0.55_0.511-hist.csv</t>
  </si>
  <si>
    <t>pnl-05k_10e1_1_0.54_0.5057-hist.csv</t>
  </si>
  <si>
    <t>pnl-05k_10e1_1_0.54_0.511-hist.csv</t>
  </si>
  <si>
    <t>pnl-05k_10e1_1_0.54_0.57-hist.csv</t>
  </si>
  <si>
    <t>pnl-05k_10e1_1_0.55_0.5057-hist.csv</t>
  </si>
  <si>
    <t>pnl-05k_10e1_1_0.55_0.511-hist.csv</t>
  </si>
  <si>
    <t>pnl-05k_10e1_1_0.55_0.57-hist.csv</t>
  </si>
  <si>
    <t>pnl-05k_10e1_1_0.56_0.50533-hist.csv</t>
  </si>
  <si>
    <t>pnl-05k_10e1_1_0.57_0.50533-hist.csv</t>
  </si>
  <si>
    <t>pnl-05k_10e1_1_0.58_0.50533-hist.csv</t>
  </si>
  <si>
    <t>pnl-05k_10e1_1_0.59_0.50533-hist.csv</t>
  </si>
  <si>
    <t>pnl-05k_10e2_2_0.54_0.538-hist.csv</t>
  </si>
  <si>
    <t>pnl-05k_10e2_2_0.55_0.538-hist.csv</t>
  </si>
  <si>
    <t>pnl-05k_10e2_2_0.56_0.534-hist.csv</t>
  </si>
  <si>
    <t>pnl-05k_10e2_2_0.56_0.535-hist.csv</t>
  </si>
  <si>
    <t>pnl-05k_10e2_2_0.57_0.534-hist.csv</t>
  </si>
  <si>
    <t>pnl-05k_10e2_2_0.57_0.535-hist.csv</t>
  </si>
  <si>
    <t>pnl-05k_10e2_2_0.58_0.534-hist.csv</t>
  </si>
  <si>
    <t>pnl-05k_10e2_2_0.58_0.535-hist.csv</t>
  </si>
  <si>
    <t>pnl-05k_10e2_2_0.59_0.534-hist.csv</t>
  </si>
  <si>
    <t>pnl-05k_10e2_2_0.59_0.535-hist.csv</t>
  </si>
  <si>
    <t>pnl-05k_10f1_1_0.54_0.59-hist.csv</t>
  </si>
  <si>
    <t>pnl-05k_10f1_1_0.59_0.511-hist.csv</t>
  </si>
  <si>
    <t>pnl-05k_10f1_1_0.61_0.5051-hist.csv</t>
  </si>
  <si>
    <t>pnl-05k_10f1_1_0.61_0.51-hist.csv</t>
  </si>
  <si>
    <t>pnl-05k_10f1_1_0.61_0.511-hist.csv</t>
  </si>
  <si>
    <t>pnl-05k_10f1_1_0.61_0.53-hist.csv</t>
  </si>
  <si>
    <t>pnl-05k_10f1_1_0.62_0.51-hist.csv</t>
  </si>
  <si>
    <t>pnl-05k_10f1_1_0.62_0.511-hist.csv</t>
  </si>
  <si>
    <t>pnl-05k_10f1_1_0.63_0.511-hist.csv</t>
  </si>
  <si>
    <t>pnl-05k_10f1_1_0.6_0.511-hist.csv</t>
  </si>
  <si>
    <t>pnl-05k_10f1_2_0.54_0.50547-hist.csv</t>
  </si>
  <si>
    <t>pnl-05k_10f1_2_0.54_0.549-hist.csv</t>
  </si>
  <si>
    <t>pnl-05k_10f1_2_0.54_0.550-hist.csv</t>
  </si>
  <si>
    <t>pnl-05k_10f1_2_0.54_0.551-hist.csv</t>
  </si>
  <si>
    <t>pnl-05k_10f1_2_0.57_0.50529-hist.csv</t>
  </si>
  <si>
    <t>pnl-05k_10f1_2_0.57_0.50535-hist.csv</t>
  </si>
  <si>
    <t>pnl-05k_10f1_2_0.57_0.533-hist.csv</t>
  </si>
  <si>
    <t>pnl-05k_10f1_2_0.58_0.515-hist.csv</t>
  </si>
  <si>
    <t>pnl-05k_10f1_2_0.58_0.516-hist.csv</t>
  </si>
  <si>
    <t>pnl-05k_10f1_2_0.6_0.512-hist.csv</t>
  </si>
  <si>
    <t>pnl-05k_10f1_3_0.54_0.511-hist.csv</t>
  </si>
  <si>
    <t>pnl-05k_10f1_3_0.54_0.512-hist.csv</t>
  </si>
  <si>
    <t>pnl-05k_10f1_3_0.54_0.5151-hist.csv</t>
  </si>
  <si>
    <t>pnl-05k_10f1_3_0.55_0.511-hist.csv</t>
  </si>
  <si>
    <t>pnl-05k_10f1_3_0.55_0.54-hist.csv</t>
  </si>
  <si>
    <t>pnl-05k_10f1_3_0.56_0.511-hist.csv</t>
  </si>
  <si>
    <t>pnl-05k_10f1_3_0.56_0.54-hist.csv</t>
  </si>
  <si>
    <t>pnl-05k_10f1_3_0.57_0.5054-hist.csv</t>
  </si>
  <si>
    <t>pnl-05k_10f1_3_0.61_0.515-hist.csv</t>
  </si>
  <si>
    <t>pnl-05k_10f1_3_0.6_0.515-hist.csv</t>
  </si>
  <si>
    <t>pnl-05k_10f1_4_0.54_0.512-hist.csv</t>
  </si>
  <si>
    <t>pnl-05k_10f1_4_0.55_0.5053-hist.csv</t>
  </si>
  <si>
    <t>pnl-05k_10f1_4_0.55_0.5055-hist.csv</t>
  </si>
  <si>
    <t>pnl-05k_10f1_4_0.55_0.511-hist.csv</t>
  </si>
  <si>
    <t>pnl-05k_10f1_4_0.55_0.53-hist.csv</t>
  </si>
  <si>
    <t>pnl-05k_10f1_4_0.55_0.55-hist.csv</t>
  </si>
  <si>
    <t>pnl-05k_10f1_4_0.56_0.5053-hist.csv</t>
  </si>
  <si>
    <t>pnl-05k_10f1_4_0.56_0.5055-hist.csv</t>
  </si>
  <si>
    <t>pnl-05k_10f1_4_0.56_0.511-hist.csv</t>
  </si>
  <si>
    <t>pnl-05k_10f1_4_0.56_0.53-hist.csv</t>
  </si>
  <si>
    <t>pnl-05k_10g1_1_0.54_0.5051-hist.csv</t>
  </si>
  <si>
    <t>pnl-05k_10g1_1_0.54_0.5052-hist.csv</t>
  </si>
  <si>
    <t>pnl-05k_10g1_1_0.54_0.511-hist.csv</t>
  </si>
  <si>
    <t>pnl-05k_10g1_1_0.54_0.512-hist.csv</t>
  </si>
  <si>
    <t>pnl-05k_10g1_1_0.54_0.5151-hist.csv</t>
  </si>
  <si>
    <t>pnl-05k_10g1_1_0.54_0.521-hist.csv</t>
  </si>
  <si>
    <t>pnl-05k_10g1_1_0.55_0.5051-hist.csv</t>
  </si>
  <si>
    <t>pnl-05k_10g1_1_0.55_0.511-hist.csv</t>
  </si>
  <si>
    <t>pnl-05k_10g1_1_0.55_0.5151-hist.csv</t>
  </si>
  <si>
    <t>pnl-05k_10g1_1_0.56_0.5151-hist.csv</t>
  </si>
  <si>
    <t>pnl-10k_10b1_1_0.57_0.50531-hist.csv</t>
  </si>
  <si>
    <t>pnl-10k_10b1_1_0.57_0.50533-hist.csv</t>
  </si>
  <si>
    <t>pnl-10k_10b1_1_0.57_0.50534-hist.csv</t>
  </si>
  <si>
    <t>pnl-10k_10b1_1_0.57_0.532-hist.csv</t>
  </si>
  <si>
    <t>pnl-10k_10b1_1_0.57_0.533-hist.csv</t>
  </si>
  <si>
    <t>pnl-10k_10b1_1_0.57_0.534-hist.csv</t>
  </si>
  <si>
    <t>pnl-10k_10b1_1_0.57_0.535-hist.csv</t>
  </si>
  <si>
    <t>pnl-10k_10b1_1_0.58_0.5051-hist.csv</t>
  </si>
  <si>
    <t>pnl-10k_10b1_1_0.58_0.51-hist.csv</t>
  </si>
  <si>
    <t>pnl-10k_10b1_1_0.59_0.511-hist.csv</t>
  </si>
  <si>
    <t>pnl-10k_10b2_2_0.54_0.5151-hist.csv</t>
  </si>
  <si>
    <t>pnl-10k_10b2_2_0.55_0.511-hist.csv</t>
  </si>
  <si>
    <t>pnl-10k_10b2_2_0.55_0.514-hist.csv</t>
  </si>
  <si>
    <t>pnl-10k_10b2_2_0.55_0.5151-hist.csv</t>
  </si>
  <si>
    <t>pnl-10k_10b2_2_0.56_0.511-hist.csv</t>
  </si>
  <si>
    <t>pnl-10k_10b2_2_0.56_0.512-hist.csv</t>
  </si>
  <si>
    <t>pnl-10k_10b2_2_0.56_0.54-hist.csv</t>
  </si>
  <si>
    <t>pnl-10k_10b2_2_0.57_0.50519-hist.csv</t>
  </si>
  <si>
    <t>pnl-10k_10b2_2_0.57_0.511-hist.csv</t>
  </si>
  <si>
    <t>pnl-10k_10b2_2_0.58_0.511-hist.csv</t>
  </si>
  <si>
    <t>pnl-20k_10a1_1_0.54_0.50511-hist.csv</t>
  </si>
  <si>
    <t>pnl-20k_10a1_1_0.62_0.5154-hist.csv</t>
  </si>
  <si>
    <t>pnl-20k_10a1_1_0.63_0.5054-hist.csv</t>
  </si>
  <si>
    <t>pnl-20k_10a1_1_0.63_0.5055-hist.csv</t>
  </si>
  <si>
    <t>pnl-20k_10a1_1_0.63_0.515-hist.csv</t>
  </si>
  <si>
    <t>pnl-20k_10a1_1_0.63_0.5153-hist.csv</t>
  </si>
  <si>
    <t>pnl-20k_10a1_1_0.63_0.5154-hist.csv</t>
  </si>
  <si>
    <t>pnl-20k_10a1_1_0.63_0.55-hist.csv</t>
  </si>
  <si>
    <t>pnl-20k_10a1_1_0.64_0.5151-hist.csv</t>
  </si>
  <si>
    <t>pnl-20k_10a1_1_0.65_0.5151-hist.csv</t>
  </si>
  <si>
    <t>pnl-20k_10a2_2_0.54_0.5152-hist.csv</t>
  </si>
  <si>
    <t>pnl-20k_10a2_2_0.54_0.5153-hist.csv</t>
  </si>
  <si>
    <t>pnl-20k_10a2_2_0.54_0.5154-hist.csv</t>
  </si>
  <si>
    <t>pnl-20k_10a2_2_0.54_0.5155-hist.csv</t>
  </si>
  <si>
    <t>pnl-20k_10a2_2_0.54_0.5156-hist.csv</t>
  </si>
  <si>
    <t>pnl-20k_10a2_2_0.54_0.519-hist.csv</t>
  </si>
  <si>
    <t>pnl-20k_10a2_2_0.55_0.5153-hist.csv</t>
  </si>
  <si>
    <t>pnl-20k_10a2_2_0.55_0.521-hist.csv</t>
  </si>
  <si>
    <t>pnl-20k_10a2_2_0.64_0.511-hist.csv</t>
  </si>
  <si>
    <t>pnl-20k_10a2_2_0.64_0.5151-hist.csv</t>
  </si>
  <si>
    <t>pnl-20k_10a3_3_0.54_0.58-hist.csv</t>
  </si>
  <si>
    <t>pnl-20k_10a3_3_0.55_0.51-hist.csv</t>
  </si>
  <si>
    <t>pnl-20k_10a3_3_0.55_0.511-hist.csv</t>
  </si>
  <si>
    <t>pnl-20k_10a3_3_0.56_0.511-hist.csv</t>
  </si>
  <si>
    <t>pnl-20k_10a3_3_0.57_0.50517-hist.csv</t>
  </si>
  <si>
    <t>pnl-20k_10a3_3_0.57_0.50518-hist.csv</t>
  </si>
  <si>
    <t>pnl-20k_10a3_3_0.57_0.50519-hist.csv</t>
  </si>
  <si>
    <t>pnl-20k_10a3_3_0.57_0.518-hist.csv</t>
  </si>
  <si>
    <t>pnl-20k_10a3_3_0.57_0.520-hist.csv</t>
  </si>
  <si>
    <t>pnl-20k_10a3_3_0.57_0.522-hist.csv</t>
  </si>
  <si>
    <t>pnl-20k_10a4_4_0.54_0.511-hist.csv</t>
  </si>
  <si>
    <t>pnl-20k_10a4_4_0.54_0.516-hist.csv</t>
  </si>
  <si>
    <t>pnl-20k_10a4_4_0.55_0.5051-hist.csv</t>
  </si>
  <si>
    <t>pnl-20k_10a4_4_0.55_0.511-hist.csv</t>
  </si>
  <si>
    <t>pnl-20k_10a4_4_0.55_0.5151-hist.csv</t>
  </si>
  <si>
    <t>pnl-20k_10a4_4_0.57_0.5051-hist.csv</t>
  </si>
  <si>
    <t>pnl-20k_10a4_4_0.57_0.50513-hist.csv</t>
  </si>
  <si>
    <t>pnl-20k_10a4_4_0.57_0.50514-hist.csv</t>
  </si>
  <si>
    <t>pnl-20k_10a4_4_0.57_0.514-hist.csv</t>
  </si>
  <si>
    <t>pnl-20k_10a4_4_0.57_0.515-hist.csv</t>
  </si>
  <si>
    <t>pnl-20k_10c1_1_0.54_0.5051-hist.csv</t>
  </si>
  <si>
    <t>pnl-20k_10c1_1_0.54_0.511-hist.csv</t>
  </si>
  <si>
    <t>pnl-20k_10c1_1_0.54_0.5151-hist.csv</t>
  </si>
  <si>
    <t>pnl-20k_10c1_1_0.54_0.521-hist.csv</t>
  </si>
  <si>
    <t>pnl-20k_10c1_1_0.54_0.523-hist.csv</t>
  </si>
  <si>
    <t>pnl-20k_10c1_1_0.54_0.5251-hist.csv</t>
  </si>
  <si>
    <t>pnl-20k_10c1_1_0.54_0.531-hist.csv</t>
  </si>
  <si>
    <t>pnl-20k_10c1_1_0.56_0.5051-hist.csv</t>
  </si>
  <si>
    <t>pnl-20k_10c1_1_0.56_0.51-hist.csv</t>
  </si>
  <si>
    <t>pnl-20k_10c1_1_0.56_0.5251-hist.csv</t>
  </si>
  <si>
    <t>pnl-20k_10c1_2_0.54_0.511-hist.csv</t>
  </si>
  <si>
    <t>pnl-20k_10c1_2_0.54_0.512-hist.csv</t>
  </si>
  <si>
    <t>pnl-20k_10c1_2_0.54_0.5151-hist.csv</t>
  </si>
  <si>
    <t>pnl-20k_10c1_2_0.54_0.5152-hist.csv</t>
  </si>
  <si>
    <t>pnl-20k_10c1_2_0.54_0.521-hist.csv</t>
  </si>
  <si>
    <t>pnl-20k_10c1_2_0.55_0.511-hist.csv</t>
  </si>
  <si>
    <t>pnl-20k_10c1_2_0.55_0.5151-hist.csv</t>
  </si>
  <si>
    <t>pnl-20k_10c1_2_0.56_0.511-hist.csv</t>
  </si>
  <si>
    <t>pnl-20k_10c1_2_0.56_0.5151-hist.csv</t>
  </si>
  <si>
    <t>pnl-20k_10c1_2_0.57_0.5151-hist.csv</t>
  </si>
  <si>
    <t>Pattern</t>
  </si>
  <si>
    <t>Files count</t>
  </si>
  <si>
    <t>Timeframe</t>
  </si>
  <si>
    <t>FDA Trail Period</t>
  </si>
  <si>
    <t>Lines</t>
  </si>
  <si>
    <t>Instrument</t>
  </si>
  <si>
    <t>Agents per Model</t>
  </si>
  <si>
    <t>Trading days</t>
  </si>
  <si>
    <t>Total PnL</t>
  </si>
  <si>
    <t>Profit/day</t>
  </si>
  <si>
    <t>Profit/week</t>
  </si>
  <si>
    <t>Profit/Month</t>
  </si>
  <si>
    <t>Best FDA</t>
  </si>
  <si>
    <t>Best FDA Total</t>
  </si>
  <si>
    <t>Majority</t>
  </si>
  <si>
    <t>pattern</t>
  </si>
  <si>
    <t>fda</t>
  </si>
  <si>
    <t>maj</t>
  </si>
  <si>
    <t>all fda</t>
  </si>
  <si>
    <t>pnl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</si>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</sst>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0" fontId="8" fillId="4" borderId="0" xfId="8"/>
    <xf numFmtId="0" fontId="6" fillId="2" borderId="0" xfId="6"/>
    <xf numFmtId="0" fontId="0" fillId="0" borderId="0" xfId="0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cmp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O122"/>
  <sheetViews>
    <sheetView tabSelected="1" workbookViewId="0">
      <selection activeCell="M41" sqref="M41"/>
    </sheetView>
  </sheetViews>
  <sheetFormatPr defaultColWidth="11.6640625" defaultRowHeight="13.2" customHeight="1" x14ac:dyDescent="0.3"/>
  <cols>
    <col min="2" max="2" width="10.109375" customWidth="1"/>
    <col min="3" max="3" width="9.5546875" customWidth="1"/>
    <col min="4" max="4" width="14.44140625" customWidth="1"/>
    <col min="5" max="5" width="7.5546875" customWidth="1"/>
    <col min="6" max="6" width="11.5546875" customWidth="1"/>
    <col min="7" max="7" width="16" customWidth="1"/>
    <col min="12" max="12" width="14.44140625" customWidth="1"/>
    <col min="14" max="14" width="13.88671875" customWidth="1"/>
  </cols>
  <sheetData>
    <row r="1" spans="1:15" s="1" customFormat="1" ht="13.2" customHeight="1" x14ac:dyDescent="0.3">
      <c r="A1" s="1" t="s">
        <v>1334</v>
      </c>
      <c r="B1" s="1" t="s">
        <v>1335</v>
      </c>
      <c r="C1" s="1" t="s">
        <v>1336</v>
      </c>
      <c r="D1" s="1" t="s">
        <v>1337</v>
      </c>
      <c r="E1" s="1" t="s">
        <v>1338</v>
      </c>
      <c r="F1" s="1" t="s">
        <v>1339</v>
      </c>
      <c r="G1" s="1" t="s">
        <v>1340</v>
      </c>
      <c r="H1" s="1" t="s">
        <v>1341</v>
      </c>
      <c r="I1" s="1" t="s">
        <v>1342</v>
      </c>
      <c r="J1" s="1" t="s">
        <v>1343</v>
      </c>
      <c r="K1" s="1" t="s">
        <v>1344</v>
      </c>
      <c r="L1" s="1" t="s">
        <v>1345</v>
      </c>
      <c r="M1" s="1" t="s">
        <v>1346</v>
      </c>
      <c r="N1" s="1" t="s">
        <v>1347</v>
      </c>
      <c r="O1" s="1" t="s">
        <v>1348</v>
      </c>
    </row>
    <row r="2" spans="1:15" ht="13.2" hidden="1" customHeight="1" x14ac:dyDescent="0.3">
      <c r="A2" s="4" t="s">
        <v>982</v>
      </c>
      <c r="B2" s="4">
        <v>100</v>
      </c>
      <c r="C2" s="4">
        <v>1</v>
      </c>
      <c r="D2" s="4">
        <v>100</v>
      </c>
      <c r="E2" s="4">
        <v>63900</v>
      </c>
      <c r="H2">
        <v>44.375</v>
      </c>
      <c r="I2">
        <v>38.651000000000003</v>
      </c>
      <c r="J2">
        <v>0.87100845070422539</v>
      </c>
      <c r="K2">
        <v>4.3550422535211268</v>
      </c>
      <c r="L2">
        <v>17.420169014084507</v>
      </c>
      <c r="M2">
        <v>0.55000000000000004</v>
      </c>
      <c r="N2">
        <v>0.51</v>
      </c>
      <c r="O2">
        <v>1</v>
      </c>
    </row>
    <row r="3" spans="1:15" ht="13.2" hidden="1" customHeight="1" x14ac:dyDescent="0.3">
      <c r="A3" s="4" t="s">
        <v>976</v>
      </c>
      <c r="B3" s="4">
        <v>100</v>
      </c>
      <c r="C3" s="4">
        <v>1</v>
      </c>
      <c r="D3" s="4">
        <v>100</v>
      </c>
      <c r="E3" s="4">
        <v>63900</v>
      </c>
      <c r="H3">
        <v>44.375</v>
      </c>
      <c r="I3">
        <v>22.565000000000001</v>
      </c>
      <c r="J3">
        <v>0.50850704225352117</v>
      </c>
      <c r="K3">
        <v>2.5425352112676061</v>
      </c>
      <c r="L3">
        <v>10.170140845070424</v>
      </c>
      <c r="M3">
        <v>0.54</v>
      </c>
      <c r="N3">
        <v>0.51</v>
      </c>
      <c r="O3">
        <v>1</v>
      </c>
    </row>
    <row r="4" spans="1:15" ht="13.2" hidden="1" customHeight="1" x14ac:dyDescent="0.3">
      <c r="A4" s="4" t="s">
        <v>979</v>
      </c>
      <c r="B4" s="4">
        <v>100</v>
      </c>
      <c r="C4" s="4">
        <v>1</v>
      </c>
      <c r="D4" s="4">
        <v>100</v>
      </c>
      <c r="E4" s="4">
        <v>63900</v>
      </c>
      <c r="H4">
        <v>44.375</v>
      </c>
      <c r="I4">
        <v>19.620999999999999</v>
      </c>
      <c r="J4">
        <v>0.44216338028169011</v>
      </c>
      <c r="K4">
        <v>2.2108169014084504</v>
      </c>
      <c r="L4">
        <v>8.8432676056338018</v>
      </c>
      <c r="M4">
        <v>0.54</v>
      </c>
      <c r="N4">
        <v>0.505</v>
      </c>
      <c r="O4">
        <v>1</v>
      </c>
    </row>
    <row r="5" spans="1:15" ht="13.2" hidden="1" customHeight="1" x14ac:dyDescent="0.3">
      <c r="A5" s="4" t="s">
        <v>963</v>
      </c>
      <c r="B5" s="4">
        <v>100</v>
      </c>
      <c r="C5" s="4">
        <v>5</v>
      </c>
      <c r="D5" s="4">
        <v>100</v>
      </c>
      <c r="E5" s="4">
        <v>64400</v>
      </c>
      <c r="H5">
        <v>223.61111111111111</v>
      </c>
      <c r="I5">
        <v>98.61</v>
      </c>
      <c r="J5">
        <v>0.44098881987577637</v>
      </c>
      <c r="K5">
        <v>2.2049440993788818</v>
      </c>
      <c r="L5">
        <v>8.8197763975155272</v>
      </c>
      <c r="M5">
        <v>0.54</v>
      </c>
      <c r="N5">
        <v>0.51</v>
      </c>
      <c r="O5">
        <v>2</v>
      </c>
    </row>
    <row r="6" spans="1:15" ht="13.2" hidden="1" customHeight="1" x14ac:dyDescent="0.3">
      <c r="A6" s="4" t="s">
        <v>967</v>
      </c>
      <c r="B6" s="4">
        <v>100</v>
      </c>
      <c r="C6" s="4">
        <v>5</v>
      </c>
      <c r="D6" s="4">
        <v>100</v>
      </c>
      <c r="E6" s="4">
        <v>64400</v>
      </c>
      <c r="H6">
        <v>223.61111111111111</v>
      </c>
      <c r="I6">
        <v>85.832999999999998</v>
      </c>
      <c r="J6">
        <v>0.38384944099378882</v>
      </c>
      <c r="K6">
        <v>1.919247204968944</v>
      </c>
      <c r="L6">
        <v>7.6769888198757759</v>
      </c>
      <c r="M6">
        <v>0.54</v>
      </c>
      <c r="N6">
        <v>0.51</v>
      </c>
      <c r="O6">
        <v>1</v>
      </c>
    </row>
    <row r="7" spans="1:15" ht="13.2" hidden="1" customHeight="1" x14ac:dyDescent="0.3">
      <c r="A7" s="4" t="s">
        <v>981</v>
      </c>
      <c r="B7" s="4">
        <v>100</v>
      </c>
      <c r="C7" s="4">
        <v>1</v>
      </c>
      <c r="D7" s="4">
        <v>100</v>
      </c>
      <c r="E7" s="4">
        <v>63900</v>
      </c>
      <c r="H7">
        <v>44.375</v>
      </c>
      <c r="I7">
        <v>16.030999999999999</v>
      </c>
      <c r="J7">
        <v>0.36126197183098591</v>
      </c>
      <c r="K7">
        <v>1.8063098591549296</v>
      </c>
      <c r="L7">
        <v>7.2252394366197183</v>
      </c>
      <c r="M7">
        <v>0.54</v>
      </c>
      <c r="N7">
        <v>0.51</v>
      </c>
      <c r="O7">
        <v>1</v>
      </c>
    </row>
    <row r="8" spans="1:15" ht="13.2" hidden="1" customHeight="1" x14ac:dyDescent="0.3">
      <c r="A8" s="4" t="s">
        <v>974</v>
      </c>
      <c r="B8" s="4">
        <v>100</v>
      </c>
      <c r="C8" s="4">
        <v>1</v>
      </c>
      <c r="D8" s="4">
        <v>100</v>
      </c>
      <c r="E8" s="4">
        <v>63900</v>
      </c>
      <c r="H8">
        <v>44.375</v>
      </c>
      <c r="I8">
        <v>15.725</v>
      </c>
      <c r="J8">
        <v>0.35436619718309859</v>
      </c>
      <c r="K8">
        <v>1.7718309859154928</v>
      </c>
      <c r="L8">
        <v>7.0873239436619713</v>
      </c>
      <c r="M8">
        <v>0.54</v>
      </c>
      <c r="N8">
        <v>0.5</v>
      </c>
      <c r="O8">
        <v>1</v>
      </c>
    </row>
    <row r="9" spans="1:15" ht="13.2" hidden="1" customHeight="1" x14ac:dyDescent="0.3">
      <c r="A9" s="4" t="s">
        <v>960</v>
      </c>
      <c r="B9" s="4">
        <v>100</v>
      </c>
      <c r="C9" s="4">
        <v>5</v>
      </c>
      <c r="D9" s="4">
        <v>100</v>
      </c>
      <c r="E9" s="4">
        <v>64400</v>
      </c>
      <c r="H9">
        <v>223.61111111111111</v>
      </c>
      <c r="I9">
        <v>56.841999999999999</v>
      </c>
      <c r="J9">
        <v>0.25420024844720496</v>
      </c>
      <c r="K9">
        <v>1.2710012422360248</v>
      </c>
      <c r="L9">
        <v>5.0840049689440994</v>
      </c>
      <c r="M9">
        <v>0.55000000000000004</v>
      </c>
      <c r="N9">
        <v>0.505</v>
      </c>
      <c r="O9">
        <v>1</v>
      </c>
    </row>
    <row r="10" spans="1:15" ht="13.2" hidden="1" customHeight="1" x14ac:dyDescent="0.3">
      <c r="A10" s="4" t="s">
        <v>965</v>
      </c>
      <c r="B10" s="4">
        <v>100</v>
      </c>
      <c r="C10" s="4">
        <v>5</v>
      </c>
      <c r="D10" s="4">
        <v>100</v>
      </c>
      <c r="E10" s="4">
        <v>64400</v>
      </c>
      <c r="H10">
        <v>223.61111111111111</v>
      </c>
      <c r="I10">
        <v>46.893999999999998</v>
      </c>
      <c r="J10">
        <v>0.20971229813664596</v>
      </c>
      <c r="K10">
        <v>1.0485614906832299</v>
      </c>
      <c r="L10">
        <v>4.1942459627329196</v>
      </c>
      <c r="M10">
        <v>0.54</v>
      </c>
      <c r="N10">
        <v>0.51</v>
      </c>
      <c r="O10">
        <v>1</v>
      </c>
    </row>
    <row r="11" spans="1:15" ht="13.2" hidden="1" customHeight="1" x14ac:dyDescent="0.3">
      <c r="A11" s="4" t="s">
        <v>973</v>
      </c>
      <c r="B11" s="4">
        <v>100</v>
      </c>
      <c r="C11" s="4">
        <v>1</v>
      </c>
      <c r="D11" s="4">
        <v>100</v>
      </c>
      <c r="E11" s="4">
        <v>64901</v>
      </c>
      <c r="H11">
        <v>45.070138888888891</v>
      </c>
      <c r="I11">
        <v>8.9079999999999995</v>
      </c>
      <c r="J11">
        <v>0.19764749387528696</v>
      </c>
      <c r="K11">
        <v>0.98823746937643486</v>
      </c>
      <c r="L11">
        <v>3.9529498775057395</v>
      </c>
      <c r="M11">
        <v>0.54</v>
      </c>
      <c r="N11">
        <v>0.51</v>
      </c>
      <c r="O11">
        <v>4</v>
      </c>
    </row>
    <row r="12" spans="1:15" ht="13.2" hidden="1" customHeight="1" x14ac:dyDescent="0.3">
      <c r="A12" s="4" t="s">
        <v>962</v>
      </c>
      <c r="B12" s="4">
        <v>100</v>
      </c>
      <c r="C12" s="4">
        <v>5</v>
      </c>
      <c r="D12" s="4">
        <v>100</v>
      </c>
      <c r="E12" s="4">
        <v>64400</v>
      </c>
      <c r="H12">
        <v>223.61111111111111</v>
      </c>
      <c r="I12">
        <v>37.881999999999998</v>
      </c>
      <c r="J12">
        <v>0.16941018633540372</v>
      </c>
      <c r="K12">
        <v>0.84705093167701861</v>
      </c>
      <c r="L12">
        <v>3.3882037267080745</v>
      </c>
      <c r="M12">
        <v>0.54</v>
      </c>
      <c r="N12">
        <v>0.51500000000000001</v>
      </c>
      <c r="O12">
        <v>1</v>
      </c>
    </row>
    <row r="13" spans="1:15" ht="13.2" hidden="1" customHeight="1" x14ac:dyDescent="0.3">
      <c r="A13" s="4" t="s">
        <v>970</v>
      </c>
      <c r="B13" s="4">
        <v>100</v>
      </c>
      <c r="C13" s="4">
        <v>5</v>
      </c>
      <c r="D13" s="4">
        <v>100</v>
      </c>
      <c r="E13" s="4">
        <v>64400</v>
      </c>
      <c r="H13">
        <v>223.61111111111111</v>
      </c>
      <c r="I13">
        <v>18.009</v>
      </c>
      <c r="J13">
        <v>8.0537142857142863E-2</v>
      </c>
      <c r="K13">
        <v>0.40268571428571431</v>
      </c>
      <c r="L13">
        <v>1.6107428571428573</v>
      </c>
      <c r="M13">
        <v>0.56000000000000005</v>
      </c>
      <c r="N13">
        <v>0.505</v>
      </c>
      <c r="O13">
        <v>1</v>
      </c>
    </row>
    <row r="14" spans="1:15" ht="13.2" hidden="1" customHeight="1" x14ac:dyDescent="0.3">
      <c r="A14" s="4" t="s">
        <v>989</v>
      </c>
      <c r="B14" s="4">
        <v>100</v>
      </c>
      <c r="C14" s="4">
        <v>240</v>
      </c>
      <c r="D14" s="4">
        <v>10</v>
      </c>
      <c r="E14" s="4">
        <v>14900</v>
      </c>
      <c r="H14">
        <v>2483.3333333333335</v>
      </c>
      <c r="I14">
        <v>46.779000000000003</v>
      </c>
      <c r="J14">
        <v>1.883718120805369E-2</v>
      </c>
      <c r="K14">
        <v>9.4185906040268455E-2</v>
      </c>
      <c r="L14">
        <v>0.37674362416107382</v>
      </c>
      <c r="M14">
        <v>0.54</v>
      </c>
      <c r="N14">
        <v>0.5</v>
      </c>
      <c r="O14">
        <v>7</v>
      </c>
    </row>
    <row r="15" spans="1:15" ht="13.2" hidden="1" customHeight="1" x14ac:dyDescent="0.3">
      <c r="A15" s="4" t="s">
        <v>993</v>
      </c>
      <c r="B15" s="4">
        <v>100</v>
      </c>
      <c r="C15" s="4">
        <v>240</v>
      </c>
      <c r="D15" s="4">
        <v>25</v>
      </c>
      <c r="E15" s="4">
        <v>14900</v>
      </c>
      <c r="H15">
        <v>2483.3333333333335</v>
      </c>
      <c r="I15">
        <v>46.045000000000002</v>
      </c>
      <c r="J15">
        <v>1.8541610738255034E-2</v>
      </c>
      <c r="K15">
        <v>9.2708053691275161E-2</v>
      </c>
      <c r="L15">
        <v>0.37083221476510064</v>
      </c>
      <c r="M15">
        <v>0.54</v>
      </c>
      <c r="N15">
        <v>0.51</v>
      </c>
      <c r="O15">
        <v>1</v>
      </c>
    </row>
    <row r="16" spans="1:15" ht="13.2" hidden="1" customHeight="1" x14ac:dyDescent="0.3">
      <c r="A16" s="4" t="s">
        <v>990</v>
      </c>
      <c r="B16" s="4">
        <v>100</v>
      </c>
      <c r="C16" s="4">
        <v>240</v>
      </c>
      <c r="D16" s="4">
        <v>10</v>
      </c>
      <c r="E16" s="4">
        <v>14900</v>
      </c>
      <c r="H16">
        <v>2483.3333333333335</v>
      </c>
      <c r="I16">
        <v>42.673999999999999</v>
      </c>
      <c r="J16">
        <v>1.7184161073825501E-2</v>
      </c>
      <c r="K16">
        <v>8.5920805369127509E-2</v>
      </c>
      <c r="L16">
        <v>0.34368322147651004</v>
      </c>
      <c r="M16">
        <v>0.56000000000000005</v>
      </c>
      <c r="N16">
        <v>0.5</v>
      </c>
      <c r="O16">
        <v>34</v>
      </c>
    </row>
    <row r="17" spans="1:15" ht="13.2" hidden="1" customHeight="1" x14ac:dyDescent="0.3">
      <c r="A17" s="4" t="s">
        <v>991</v>
      </c>
      <c r="B17" s="4">
        <v>100</v>
      </c>
      <c r="C17" s="4">
        <v>240</v>
      </c>
      <c r="D17" s="4">
        <v>50</v>
      </c>
      <c r="E17" s="4">
        <v>14900</v>
      </c>
      <c r="H17">
        <v>2483.3333333333335</v>
      </c>
      <c r="I17">
        <v>36.661000000000001</v>
      </c>
      <c r="J17">
        <v>1.4762818791946308E-2</v>
      </c>
      <c r="K17">
        <v>7.3814093959731542E-2</v>
      </c>
      <c r="L17">
        <v>0.29525637583892617</v>
      </c>
      <c r="M17">
        <v>0.61</v>
      </c>
      <c r="N17">
        <v>0.51</v>
      </c>
      <c r="O17">
        <v>1</v>
      </c>
    </row>
    <row r="18" spans="1:15" ht="13.2" hidden="1" customHeight="1" x14ac:dyDescent="0.3">
      <c r="A18" s="4" t="s">
        <v>985</v>
      </c>
      <c r="B18" s="4">
        <v>100</v>
      </c>
      <c r="C18" s="4">
        <v>240</v>
      </c>
      <c r="D18" s="4">
        <v>100</v>
      </c>
      <c r="E18" s="4">
        <v>14900</v>
      </c>
      <c r="H18">
        <v>2483.3333333333335</v>
      </c>
      <c r="I18">
        <v>36.091000000000001</v>
      </c>
      <c r="J18">
        <v>1.4533288590604026E-2</v>
      </c>
      <c r="K18">
        <v>7.2666442953020133E-2</v>
      </c>
      <c r="L18">
        <v>0.29066577181208053</v>
      </c>
      <c r="M18">
        <v>0.54</v>
      </c>
      <c r="N18">
        <v>0.51500000000000001</v>
      </c>
      <c r="O18">
        <v>1</v>
      </c>
    </row>
    <row r="19" spans="1:15" ht="13.2" hidden="1" customHeight="1" x14ac:dyDescent="0.3">
      <c r="A19" s="4" t="s">
        <v>994</v>
      </c>
      <c r="B19" s="4">
        <v>100</v>
      </c>
      <c r="C19" s="4">
        <v>240</v>
      </c>
      <c r="D19" s="4">
        <v>25</v>
      </c>
      <c r="E19" s="4">
        <v>14900</v>
      </c>
      <c r="H19">
        <v>2483.3333333333335</v>
      </c>
      <c r="I19">
        <v>34.338000000000001</v>
      </c>
      <c r="J19">
        <v>1.382738255033557E-2</v>
      </c>
      <c r="K19">
        <v>6.9136912751677854E-2</v>
      </c>
      <c r="L19">
        <v>0.27654765100671141</v>
      </c>
      <c r="M19">
        <v>0.55000000000000004</v>
      </c>
      <c r="N19">
        <v>0.505</v>
      </c>
      <c r="O19">
        <v>3</v>
      </c>
    </row>
    <row r="20" spans="1:15" ht="13.2" hidden="1" customHeight="1" x14ac:dyDescent="0.3">
      <c r="A20" s="4" t="s">
        <v>977</v>
      </c>
      <c r="B20" s="4">
        <v>100</v>
      </c>
      <c r="C20" s="4">
        <v>1</v>
      </c>
      <c r="D20" s="4">
        <v>100</v>
      </c>
      <c r="E20" s="4">
        <v>63900</v>
      </c>
      <c r="H20">
        <v>44.375</v>
      </c>
      <c r="I20">
        <v>0.59401999999999999</v>
      </c>
      <c r="J20">
        <v>1.3386366197183098E-2</v>
      </c>
      <c r="K20">
        <v>6.6931830985915486E-2</v>
      </c>
      <c r="L20">
        <v>0.26772732394366194</v>
      </c>
      <c r="M20">
        <v>0.54</v>
      </c>
      <c r="N20">
        <v>0.51500000000000001</v>
      </c>
      <c r="O20">
        <v>1</v>
      </c>
    </row>
    <row r="21" spans="1:15" ht="13.2" hidden="1" customHeight="1" x14ac:dyDescent="0.3">
      <c r="A21" s="4" t="s">
        <v>997</v>
      </c>
      <c r="B21" s="4">
        <v>100</v>
      </c>
      <c r="C21" s="4">
        <v>240</v>
      </c>
      <c r="D21" s="4">
        <v>100</v>
      </c>
      <c r="E21" s="4">
        <v>14900</v>
      </c>
      <c r="H21">
        <v>2483.3333333333335</v>
      </c>
      <c r="I21">
        <v>32.091999999999999</v>
      </c>
      <c r="J21">
        <v>1.2922953020134227E-2</v>
      </c>
      <c r="K21">
        <v>6.4614765100671129E-2</v>
      </c>
      <c r="L21">
        <v>0.25845906040268452</v>
      </c>
      <c r="M21">
        <v>0.56000000000000005</v>
      </c>
      <c r="N21">
        <v>0.51</v>
      </c>
      <c r="O21">
        <v>1</v>
      </c>
    </row>
    <row r="22" spans="1:15" ht="13.2" hidden="1" customHeight="1" x14ac:dyDescent="0.3">
      <c r="A22" s="4" t="s">
        <v>996</v>
      </c>
      <c r="B22" s="4">
        <v>100</v>
      </c>
      <c r="C22" s="4">
        <v>240</v>
      </c>
      <c r="D22" s="4">
        <v>100</v>
      </c>
      <c r="E22" s="4">
        <v>14900</v>
      </c>
      <c r="H22">
        <v>2483.3333333333335</v>
      </c>
      <c r="I22">
        <v>30.05</v>
      </c>
      <c r="J22">
        <v>1.2100671140939597E-2</v>
      </c>
      <c r="K22">
        <v>6.0503355704697989E-2</v>
      </c>
      <c r="L22">
        <v>0.24201342281879196</v>
      </c>
      <c r="M22">
        <v>0.57999999999999996</v>
      </c>
      <c r="N22">
        <v>0.5</v>
      </c>
      <c r="O22">
        <v>1</v>
      </c>
    </row>
    <row r="23" spans="1:15" ht="13.2" hidden="1" customHeight="1" x14ac:dyDescent="0.3">
      <c r="A23" s="4" t="s">
        <v>980</v>
      </c>
      <c r="B23" s="4">
        <v>100</v>
      </c>
      <c r="C23" s="4">
        <v>1</v>
      </c>
      <c r="D23" s="4">
        <v>100</v>
      </c>
      <c r="E23" s="4">
        <v>63900</v>
      </c>
      <c r="H23">
        <v>44.375</v>
      </c>
      <c r="I23">
        <v>0.44161</v>
      </c>
      <c r="J23">
        <v>9.9517746478873237E-3</v>
      </c>
      <c r="K23">
        <v>4.9758873239436618E-2</v>
      </c>
      <c r="L23">
        <v>0.19903549295774647</v>
      </c>
      <c r="M23">
        <v>0.54</v>
      </c>
      <c r="N23">
        <v>0.51500000000000001</v>
      </c>
      <c r="O23">
        <v>1</v>
      </c>
    </row>
    <row r="24" spans="1:15" ht="13.2" hidden="1" customHeight="1" x14ac:dyDescent="0.3">
      <c r="A24" s="4" t="s">
        <v>992</v>
      </c>
      <c r="B24" s="4">
        <v>100</v>
      </c>
      <c r="C24" s="4">
        <v>240</v>
      </c>
      <c r="D24" s="4">
        <v>50</v>
      </c>
      <c r="E24" s="4">
        <v>14900</v>
      </c>
      <c r="H24">
        <v>2483.3333333333335</v>
      </c>
      <c r="I24">
        <v>23.242000000000001</v>
      </c>
      <c r="J24">
        <v>9.3591946308724822E-3</v>
      </c>
      <c r="K24">
        <v>4.6795973154362409E-2</v>
      </c>
      <c r="L24">
        <v>0.18718389261744964</v>
      </c>
      <c r="M24">
        <v>0.6</v>
      </c>
      <c r="N24">
        <v>0.51</v>
      </c>
      <c r="O24">
        <v>2</v>
      </c>
    </row>
    <row r="25" spans="1:15" ht="13.2" hidden="1" customHeight="1" x14ac:dyDescent="0.3">
      <c r="A25" s="4" t="s">
        <v>984</v>
      </c>
      <c r="B25" s="4">
        <v>100</v>
      </c>
      <c r="C25" s="4">
        <v>240</v>
      </c>
      <c r="D25" s="4">
        <v>100</v>
      </c>
      <c r="E25" s="4">
        <v>14900</v>
      </c>
      <c r="H25">
        <v>2483.3333333333335</v>
      </c>
      <c r="I25">
        <v>21.460999999999999</v>
      </c>
      <c r="J25">
        <v>8.6420134228187909E-3</v>
      </c>
      <c r="K25">
        <v>4.3210067114093954E-2</v>
      </c>
      <c r="L25">
        <v>0.17284026845637582</v>
      </c>
      <c r="M25">
        <v>0.54</v>
      </c>
      <c r="N25">
        <v>0.5</v>
      </c>
      <c r="O25">
        <v>5</v>
      </c>
    </row>
    <row r="26" spans="1:15" ht="13.2" hidden="1" customHeight="1" x14ac:dyDescent="0.3">
      <c r="A26" s="4" t="s">
        <v>1001</v>
      </c>
      <c r="B26" s="4">
        <v>100</v>
      </c>
      <c r="C26" s="4">
        <v>240</v>
      </c>
      <c r="D26" s="4">
        <v>100</v>
      </c>
      <c r="E26" s="4">
        <v>14900</v>
      </c>
      <c r="H26">
        <v>2483.3333333333335</v>
      </c>
      <c r="I26">
        <v>20.431999999999999</v>
      </c>
      <c r="J26">
        <v>8.2276510067114082E-3</v>
      </c>
      <c r="K26">
        <v>4.1138255033557045E-2</v>
      </c>
      <c r="L26">
        <v>0.16455302013422818</v>
      </c>
      <c r="M26">
        <v>0.55000000000000004</v>
      </c>
      <c r="N26">
        <v>0.51</v>
      </c>
      <c r="O26">
        <v>1</v>
      </c>
    </row>
    <row r="27" spans="1:15" ht="13.2" hidden="1" customHeight="1" x14ac:dyDescent="0.3">
      <c r="A27" s="4" t="s">
        <v>978</v>
      </c>
      <c r="B27" s="4">
        <v>100</v>
      </c>
      <c r="C27" s="4">
        <v>1</v>
      </c>
      <c r="D27" s="4">
        <v>100</v>
      </c>
      <c r="E27" s="4">
        <v>63900</v>
      </c>
      <c r="H27">
        <v>44.375</v>
      </c>
      <c r="I27">
        <v>0.34188000000000002</v>
      </c>
      <c r="J27">
        <v>7.7043380281690147E-3</v>
      </c>
      <c r="K27">
        <v>3.8521690140845076E-2</v>
      </c>
      <c r="L27">
        <v>0.1540867605633803</v>
      </c>
      <c r="M27">
        <v>0.54</v>
      </c>
      <c r="N27">
        <v>0.505</v>
      </c>
      <c r="O27">
        <v>1</v>
      </c>
    </row>
    <row r="28" spans="1:15" ht="13.2" hidden="1" customHeight="1" x14ac:dyDescent="0.3">
      <c r="A28" s="4" t="s">
        <v>1000</v>
      </c>
      <c r="B28" s="4">
        <v>100</v>
      </c>
      <c r="C28" s="4">
        <v>240</v>
      </c>
      <c r="D28" s="4">
        <v>100</v>
      </c>
      <c r="E28" s="4">
        <v>14900</v>
      </c>
      <c r="H28">
        <v>2483.3333333333335</v>
      </c>
      <c r="I28">
        <v>19.085000000000001</v>
      </c>
      <c r="J28">
        <v>7.6852348993288588E-3</v>
      </c>
      <c r="K28">
        <v>3.8426174496644296E-2</v>
      </c>
      <c r="L28">
        <v>0.15370469798657718</v>
      </c>
      <c r="M28">
        <v>0.55000000000000004</v>
      </c>
      <c r="N28">
        <v>0.51</v>
      </c>
      <c r="O28">
        <v>1</v>
      </c>
    </row>
    <row r="29" spans="1:15" ht="13.2" hidden="1" customHeight="1" x14ac:dyDescent="0.3">
      <c r="A29" s="4" t="s">
        <v>961</v>
      </c>
      <c r="B29" s="4">
        <v>100</v>
      </c>
      <c r="C29" s="4">
        <v>5</v>
      </c>
      <c r="D29" s="4">
        <v>100</v>
      </c>
      <c r="E29" s="4">
        <v>64400</v>
      </c>
      <c r="H29">
        <v>223.61111111111111</v>
      </c>
      <c r="I29">
        <v>1.3033699999999999</v>
      </c>
      <c r="J29">
        <v>5.8287354037267073E-3</v>
      </c>
      <c r="K29">
        <v>2.9143677018633535E-2</v>
      </c>
      <c r="L29">
        <v>0.11657470807453414</v>
      </c>
      <c r="M29">
        <v>0.54</v>
      </c>
      <c r="N29">
        <v>0.51500000000000001</v>
      </c>
      <c r="O29">
        <v>1</v>
      </c>
    </row>
    <row r="30" spans="1:15" ht="13.2" hidden="1" customHeight="1" x14ac:dyDescent="0.3">
      <c r="A30" s="4" t="s">
        <v>968</v>
      </c>
      <c r="B30" s="4">
        <v>100</v>
      </c>
      <c r="C30" s="4">
        <v>5</v>
      </c>
      <c r="D30" s="4">
        <v>100</v>
      </c>
      <c r="E30" s="4">
        <v>64400</v>
      </c>
      <c r="H30">
        <v>223.61111111111111</v>
      </c>
      <c r="I30">
        <v>1.2853600000000001</v>
      </c>
      <c r="J30">
        <v>5.7481937888198761E-3</v>
      </c>
      <c r="K30">
        <v>2.8740968944099381E-2</v>
      </c>
      <c r="L30">
        <v>0.11496387577639752</v>
      </c>
      <c r="M30">
        <v>0.54</v>
      </c>
      <c r="N30">
        <v>0.51500000000000001</v>
      </c>
      <c r="O30">
        <v>1</v>
      </c>
    </row>
    <row r="31" spans="1:15" ht="13.2" hidden="1" customHeight="1" x14ac:dyDescent="0.3">
      <c r="A31" s="4" t="s">
        <v>969</v>
      </c>
      <c r="B31" s="4">
        <v>100</v>
      </c>
      <c r="C31" s="4">
        <v>5</v>
      </c>
      <c r="D31" s="4">
        <v>100</v>
      </c>
      <c r="E31" s="4">
        <v>64400</v>
      </c>
      <c r="H31">
        <v>223.61111111111111</v>
      </c>
      <c r="I31">
        <v>1.05253</v>
      </c>
      <c r="J31">
        <v>4.7069664596273292E-3</v>
      </c>
      <c r="K31">
        <v>2.3534832298136646E-2</v>
      </c>
      <c r="L31">
        <v>9.4139329192546584E-2</v>
      </c>
      <c r="M31">
        <v>0.54</v>
      </c>
      <c r="N31">
        <v>0.51500000000000001</v>
      </c>
      <c r="O31">
        <v>2</v>
      </c>
    </row>
    <row r="32" spans="1:15" ht="13.2" hidden="1" customHeight="1" x14ac:dyDescent="0.3">
      <c r="A32" s="4" t="s">
        <v>971</v>
      </c>
      <c r="B32" s="4">
        <v>50</v>
      </c>
      <c r="C32" s="4">
        <v>5</v>
      </c>
      <c r="D32" s="4">
        <v>100</v>
      </c>
      <c r="E32" s="4">
        <v>49901</v>
      </c>
      <c r="H32">
        <v>173.26736111111111</v>
      </c>
      <c r="I32">
        <v>0.47276000000000001</v>
      </c>
      <c r="J32">
        <v>2.7285000300595178E-3</v>
      </c>
      <c r="K32">
        <v>1.3642500150297589E-2</v>
      </c>
      <c r="L32">
        <v>5.4570000601190355E-2</v>
      </c>
      <c r="M32">
        <v>0.54</v>
      </c>
      <c r="N32">
        <v>0.51500000000000001</v>
      </c>
      <c r="O32">
        <v>1</v>
      </c>
    </row>
    <row r="33" spans="1:15" ht="13.2" hidden="1" customHeight="1" x14ac:dyDescent="0.3">
      <c r="A33" s="4" t="s">
        <v>972</v>
      </c>
      <c r="B33" s="4">
        <v>100</v>
      </c>
      <c r="C33" s="4">
        <v>5</v>
      </c>
      <c r="D33" s="4">
        <v>100</v>
      </c>
      <c r="E33" s="4">
        <v>49901</v>
      </c>
      <c r="H33">
        <v>173.26736111111111</v>
      </c>
      <c r="I33">
        <v>0.45755000000000001</v>
      </c>
      <c r="J33">
        <v>2.640716618905433E-3</v>
      </c>
      <c r="K33">
        <v>1.3203583094527165E-2</v>
      </c>
      <c r="L33">
        <v>5.2814332378108661E-2</v>
      </c>
      <c r="M33">
        <v>0.54</v>
      </c>
      <c r="N33">
        <v>0.51500000000000001</v>
      </c>
      <c r="O33">
        <v>1</v>
      </c>
    </row>
    <row r="34" spans="1:15" ht="13.2" hidden="1" customHeight="1" x14ac:dyDescent="0.3">
      <c r="A34" s="4" t="s">
        <v>975</v>
      </c>
      <c r="B34" s="4">
        <v>100</v>
      </c>
      <c r="C34" s="4">
        <v>1</v>
      </c>
      <c r="D34" s="4">
        <v>100</v>
      </c>
      <c r="E34" s="4">
        <v>63900</v>
      </c>
      <c r="H34">
        <v>44.375</v>
      </c>
      <c r="I34">
        <v>9.8309999999999995E-2</v>
      </c>
      <c r="J34">
        <v>2.2154366197183095E-3</v>
      </c>
      <c r="K34">
        <v>1.1077183098591547E-2</v>
      </c>
      <c r="L34">
        <v>4.4308732394366189E-2</v>
      </c>
      <c r="M34">
        <v>0.55000000000000004</v>
      </c>
      <c r="N34">
        <v>0.51</v>
      </c>
      <c r="O34">
        <v>1</v>
      </c>
    </row>
    <row r="35" spans="1:15" ht="13.2" hidden="1" customHeight="1" x14ac:dyDescent="0.3">
      <c r="A35" s="4" t="s">
        <v>964</v>
      </c>
      <c r="B35" s="4">
        <v>100</v>
      </c>
      <c r="C35" s="4">
        <v>5</v>
      </c>
      <c r="D35" s="4">
        <v>100</v>
      </c>
      <c r="E35" s="4">
        <v>64400</v>
      </c>
      <c r="H35">
        <v>223.61111111111111</v>
      </c>
      <c r="I35">
        <v>0.46107999999999999</v>
      </c>
      <c r="J35">
        <v>2.0619726708074534E-3</v>
      </c>
      <c r="K35">
        <v>1.0309863354037267E-2</v>
      </c>
      <c r="L35">
        <v>4.1239453416149069E-2</v>
      </c>
      <c r="M35">
        <v>0.54</v>
      </c>
      <c r="N35">
        <v>0.51</v>
      </c>
      <c r="O35">
        <v>1</v>
      </c>
    </row>
    <row r="36" spans="1:15" ht="13.2" hidden="1" customHeight="1" x14ac:dyDescent="0.3">
      <c r="A36" s="4" t="s">
        <v>966</v>
      </c>
      <c r="B36" s="4">
        <v>100</v>
      </c>
      <c r="C36" s="4">
        <v>5</v>
      </c>
      <c r="D36" s="4">
        <v>100</v>
      </c>
      <c r="E36" s="4">
        <v>64400</v>
      </c>
      <c r="H36">
        <v>223.61111111111111</v>
      </c>
      <c r="I36">
        <v>0.44835999999999998</v>
      </c>
      <c r="J36">
        <v>2.0050881987577641E-3</v>
      </c>
      <c r="K36">
        <v>1.002544099378882E-2</v>
      </c>
      <c r="L36">
        <v>4.0101763975155282E-2</v>
      </c>
      <c r="M36">
        <v>0.54</v>
      </c>
      <c r="N36">
        <v>0.51500000000000001</v>
      </c>
      <c r="O36">
        <v>1</v>
      </c>
    </row>
    <row r="37" spans="1:15" ht="13.2" hidden="1" customHeight="1" x14ac:dyDescent="0.3">
      <c r="A37" s="4" t="s">
        <v>983</v>
      </c>
      <c r="B37" s="4">
        <v>77</v>
      </c>
      <c r="C37" s="4">
        <v>1</v>
      </c>
      <c r="D37" s="4">
        <v>100</v>
      </c>
      <c r="E37" s="4">
        <v>63900</v>
      </c>
      <c r="H37">
        <v>44.375</v>
      </c>
      <c r="I37">
        <v>8.7590000000000001E-2</v>
      </c>
      <c r="J37">
        <v>1.9738591549295775E-3</v>
      </c>
      <c r="K37">
        <v>9.8692957746478877E-3</v>
      </c>
      <c r="L37">
        <v>3.9477183098591551E-2</v>
      </c>
      <c r="M37">
        <v>0.54</v>
      </c>
      <c r="N37">
        <v>0.51</v>
      </c>
      <c r="O37">
        <v>2</v>
      </c>
    </row>
    <row r="38" spans="1:15" ht="13.2" hidden="1" customHeight="1" x14ac:dyDescent="0.3">
      <c r="A38" s="4" t="s">
        <v>995</v>
      </c>
      <c r="B38" s="4">
        <v>50</v>
      </c>
      <c r="C38" s="4">
        <v>5</v>
      </c>
      <c r="D38" s="4">
        <v>100</v>
      </c>
      <c r="E38" s="4">
        <v>49901</v>
      </c>
      <c r="H38">
        <v>173.26736111111111</v>
      </c>
      <c r="I38">
        <v>0.28106999999999999</v>
      </c>
      <c r="J38">
        <v>1.6221751067112882E-3</v>
      </c>
      <c r="K38">
        <v>8.1108755335564421E-3</v>
      </c>
      <c r="L38">
        <v>3.2443502134225768E-2</v>
      </c>
      <c r="M38">
        <v>0.54</v>
      </c>
      <c r="N38">
        <v>0.51500000000000001</v>
      </c>
      <c r="O38">
        <v>1</v>
      </c>
    </row>
    <row r="39" spans="1:15" ht="13.2" hidden="1" customHeight="1" x14ac:dyDescent="0.3">
      <c r="A39" s="4" t="s">
        <v>986</v>
      </c>
      <c r="B39" s="4">
        <v>100</v>
      </c>
      <c r="C39" s="4">
        <v>30</v>
      </c>
      <c r="D39" s="4">
        <v>100</v>
      </c>
      <c r="E39" s="4">
        <v>9901</v>
      </c>
      <c r="H39">
        <v>206.27083333333334</v>
      </c>
      <c r="I39">
        <v>0.14939</v>
      </c>
      <c r="J39">
        <v>7.2424199575800419E-4</v>
      </c>
      <c r="K39">
        <v>3.6212099787900211E-3</v>
      </c>
      <c r="L39">
        <v>1.4484839915160084E-2</v>
      </c>
      <c r="M39">
        <v>0.54</v>
      </c>
      <c r="N39">
        <v>0.505</v>
      </c>
      <c r="O39">
        <v>1</v>
      </c>
    </row>
    <row r="40" spans="1:15" ht="13.2" hidden="1" customHeight="1" x14ac:dyDescent="0.3">
      <c r="A40" s="4" t="s">
        <v>1002</v>
      </c>
      <c r="B40" s="4">
        <v>100</v>
      </c>
      <c r="C40" s="4">
        <v>60</v>
      </c>
      <c r="D40" s="4">
        <v>100</v>
      </c>
      <c r="E40" s="4">
        <v>9901</v>
      </c>
      <c r="H40">
        <v>412.54166666666669</v>
      </c>
      <c r="I40">
        <v>0.29583999999999999</v>
      </c>
      <c r="J40">
        <v>7.1711544288455709E-4</v>
      </c>
      <c r="K40">
        <v>3.5855772144227855E-3</v>
      </c>
      <c r="L40">
        <v>1.4342308857691142E-2</v>
      </c>
      <c r="M40">
        <v>0.54</v>
      </c>
      <c r="N40">
        <v>0.51</v>
      </c>
      <c r="O40">
        <v>1</v>
      </c>
    </row>
    <row r="41" spans="1:15" ht="13.2" customHeight="1" x14ac:dyDescent="0.3">
      <c r="A41" s="4" t="s">
        <v>939</v>
      </c>
      <c r="B41" s="4">
        <v>100</v>
      </c>
      <c r="C41" s="4">
        <v>240</v>
      </c>
      <c r="D41" s="4">
        <v>10</v>
      </c>
      <c r="E41" s="4">
        <v>17641</v>
      </c>
      <c r="H41">
        <v>2940.1666666666665</v>
      </c>
      <c r="I41">
        <v>2.0441199999999999</v>
      </c>
      <c r="J41">
        <v>6.9523949889462055E-4</v>
      </c>
      <c r="K41">
        <v>3.4761974944731025E-3</v>
      </c>
      <c r="L41">
        <v>1.390478997789241E-2</v>
      </c>
      <c r="M41">
        <v>0.54</v>
      </c>
      <c r="N41">
        <v>0.51</v>
      </c>
      <c r="O41">
        <v>1</v>
      </c>
    </row>
    <row r="42" spans="1:15" ht="13.2" customHeight="1" x14ac:dyDescent="0.3">
      <c r="A42" s="4" t="s">
        <v>936</v>
      </c>
      <c r="B42" s="4">
        <v>100</v>
      </c>
      <c r="C42" s="4">
        <v>240</v>
      </c>
      <c r="D42" s="4">
        <v>25</v>
      </c>
      <c r="E42" s="4">
        <v>17641</v>
      </c>
      <c r="H42">
        <v>2940.1666666666665</v>
      </c>
      <c r="I42">
        <v>2.0428600000000001</v>
      </c>
      <c r="J42">
        <v>6.9481095176010435E-4</v>
      </c>
      <c r="K42">
        <v>3.4740547588005218E-3</v>
      </c>
      <c r="L42">
        <v>1.3896219035202087E-2</v>
      </c>
      <c r="M42">
        <v>0.54</v>
      </c>
      <c r="N42">
        <v>0.5</v>
      </c>
      <c r="O42">
        <v>1</v>
      </c>
    </row>
    <row r="43" spans="1:15" ht="13.2" customHeight="1" x14ac:dyDescent="0.3">
      <c r="A43" s="4" t="s">
        <v>932</v>
      </c>
      <c r="B43" s="4">
        <v>100</v>
      </c>
      <c r="C43" s="4">
        <v>240</v>
      </c>
      <c r="D43" s="4">
        <v>25</v>
      </c>
      <c r="E43" s="4">
        <v>17641</v>
      </c>
      <c r="H43">
        <v>2940.1666666666665</v>
      </c>
      <c r="I43">
        <v>1.95082</v>
      </c>
      <c r="J43">
        <v>6.6350660393401739E-4</v>
      </c>
      <c r="K43">
        <v>3.3175330196700869E-3</v>
      </c>
      <c r="L43">
        <v>1.3270132078680347E-2</v>
      </c>
      <c r="M43">
        <v>0.54</v>
      </c>
      <c r="N43">
        <v>0.51</v>
      </c>
      <c r="O43">
        <v>2</v>
      </c>
    </row>
    <row r="44" spans="1:15" ht="13.2" customHeight="1" x14ac:dyDescent="0.3">
      <c r="A44" s="4" t="s">
        <v>931</v>
      </c>
      <c r="B44" s="4">
        <v>100</v>
      </c>
      <c r="C44" s="4">
        <v>240</v>
      </c>
      <c r="D44" s="4">
        <v>10</v>
      </c>
      <c r="E44" s="4">
        <v>17641</v>
      </c>
      <c r="H44">
        <v>2940.1666666666665</v>
      </c>
      <c r="I44">
        <v>1.9345600000000001</v>
      </c>
      <c r="J44">
        <v>6.5797630519811808E-4</v>
      </c>
      <c r="K44">
        <v>3.2898815259905902E-3</v>
      </c>
      <c r="L44">
        <v>1.3159526103962361E-2</v>
      </c>
      <c r="M44">
        <v>0.54</v>
      </c>
      <c r="N44">
        <v>0.51</v>
      </c>
      <c r="O44">
        <v>1</v>
      </c>
    </row>
    <row r="45" spans="1:15" ht="13.2" customHeight="1" x14ac:dyDescent="0.3">
      <c r="A45" s="4" t="s">
        <v>929</v>
      </c>
      <c r="B45" s="4">
        <v>100</v>
      </c>
      <c r="C45" s="4">
        <v>240</v>
      </c>
      <c r="D45" s="4">
        <v>50</v>
      </c>
      <c r="E45" s="4">
        <v>17641</v>
      </c>
      <c r="H45">
        <v>2940.1666666666665</v>
      </c>
      <c r="I45">
        <v>1.9316899999999999</v>
      </c>
      <c r="J45">
        <v>6.5700017005838668E-4</v>
      </c>
      <c r="K45">
        <v>3.2850008502919334E-3</v>
      </c>
      <c r="L45">
        <v>1.3140003401167734E-2</v>
      </c>
      <c r="M45">
        <v>0.54</v>
      </c>
      <c r="N45">
        <v>0.505</v>
      </c>
      <c r="O45">
        <v>1</v>
      </c>
    </row>
    <row r="46" spans="1:15" ht="13.2" hidden="1" customHeight="1" x14ac:dyDescent="0.3">
      <c r="A46" s="4" t="s">
        <v>987</v>
      </c>
      <c r="B46" s="4">
        <v>100</v>
      </c>
      <c r="C46" s="4">
        <v>30</v>
      </c>
      <c r="D46" s="4">
        <v>100</v>
      </c>
      <c r="E46" s="4">
        <v>9901</v>
      </c>
      <c r="H46">
        <v>206.27083333333334</v>
      </c>
      <c r="I46">
        <v>0.13519999999999999</v>
      </c>
      <c r="J46">
        <v>6.5544894455105531E-4</v>
      </c>
      <c r="K46">
        <v>3.2772447227552765E-3</v>
      </c>
      <c r="L46">
        <v>1.3108978891021106E-2</v>
      </c>
      <c r="M46">
        <v>0.56000000000000005</v>
      </c>
      <c r="N46">
        <v>0.505</v>
      </c>
      <c r="O46">
        <v>1</v>
      </c>
    </row>
    <row r="47" spans="1:15" ht="13.2" customHeight="1" x14ac:dyDescent="0.3">
      <c r="A47" s="4" t="s">
        <v>937</v>
      </c>
      <c r="B47" s="4">
        <v>100</v>
      </c>
      <c r="C47" s="4">
        <v>240</v>
      </c>
      <c r="D47" s="4">
        <v>50</v>
      </c>
      <c r="E47" s="4">
        <v>17641</v>
      </c>
      <c r="H47">
        <v>2940.1666666666665</v>
      </c>
      <c r="I47">
        <v>1.86127</v>
      </c>
      <c r="J47">
        <v>6.3304914687376001E-4</v>
      </c>
      <c r="K47">
        <v>3.1652457343687998E-3</v>
      </c>
      <c r="L47">
        <v>1.2660982937475199E-2</v>
      </c>
      <c r="M47">
        <v>0.54</v>
      </c>
      <c r="N47">
        <v>0.52</v>
      </c>
      <c r="O47">
        <v>1</v>
      </c>
    </row>
    <row r="48" spans="1:15" ht="13.2" customHeight="1" x14ac:dyDescent="0.3">
      <c r="A48" s="4" t="s">
        <v>927</v>
      </c>
      <c r="B48" s="4">
        <v>100</v>
      </c>
      <c r="C48" s="4">
        <v>240</v>
      </c>
      <c r="D48" s="4">
        <v>10</v>
      </c>
      <c r="E48" s="4">
        <v>17641</v>
      </c>
      <c r="H48">
        <v>2940.1666666666665</v>
      </c>
      <c r="I48">
        <v>1.8331999999999999</v>
      </c>
      <c r="J48">
        <v>6.2350206904370506E-4</v>
      </c>
      <c r="K48">
        <v>3.1175103452185252E-3</v>
      </c>
      <c r="L48">
        <v>1.2470041380874101E-2</v>
      </c>
      <c r="M48">
        <v>0.54</v>
      </c>
      <c r="N48">
        <v>0.52500000000000002</v>
      </c>
      <c r="O48">
        <v>1</v>
      </c>
    </row>
    <row r="49" spans="1:15" ht="13.2" customHeight="1" x14ac:dyDescent="0.3">
      <c r="A49" s="4" t="s">
        <v>933</v>
      </c>
      <c r="B49" s="4">
        <v>100</v>
      </c>
      <c r="C49" s="4">
        <v>240</v>
      </c>
      <c r="D49" s="4">
        <v>50</v>
      </c>
      <c r="E49" s="4">
        <v>17641</v>
      </c>
      <c r="H49">
        <v>2940.1666666666665</v>
      </c>
      <c r="I49">
        <v>1.8327199999999999</v>
      </c>
      <c r="J49">
        <v>6.2333881299246076E-4</v>
      </c>
      <c r="K49">
        <v>3.1166940649623039E-3</v>
      </c>
      <c r="L49">
        <v>1.2466776259849216E-2</v>
      </c>
      <c r="M49">
        <v>0.54</v>
      </c>
      <c r="N49">
        <v>0.5</v>
      </c>
      <c r="O49">
        <v>1</v>
      </c>
    </row>
    <row r="50" spans="1:15" ht="13.2" customHeight="1" x14ac:dyDescent="0.3">
      <c r="A50" s="4" t="s">
        <v>928</v>
      </c>
      <c r="B50" s="4">
        <v>100</v>
      </c>
      <c r="C50" s="4">
        <v>240</v>
      </c>
      <c r="D50" s="4">
        <v>25</v>
      </c>
      <c r="E50" s="4">
        <v>17641</v>
      </c>
      <c r="H50">
        <v>2940.1666666666665</v>
      </c>
      <c r="I50">
        <v>1.82681</v>
      </c>
      <c r="J50">
        <v>6.2132872286151586E-4</v>
      </c>
      <c r="K50">
        <v>3.1066436143075793E-3</v>
      </c>
      <c r="L50">
        <v>1.2426574457230317E-2</v>
      </c>
      <c r="M50">
        <v>0.54</v>
      </c>
      <c r="N50">
        <v>0.52</v>
      </c>
      <c r="O50">
        <v>1</v>
      </c>
    </row>
    <row r="51" spans="1:15" ht="13.2" customHeight="1" x14ac:dyDescent="0.3">
      <c r="A51" s="4" t="s">
        <v>911</v>
      </c>
      <c r="B51" s="4">
        <v>9</v>
      </c>
      <c r="C51" s="4">
        <v>240</v>
      </c>
      <c r="D51" s="4">
        <v>10</v>
      </c>
      <c r="E51" s="4">
        <v>17641</v>
      </c>
      <c r="H51">
        <v>2940.1666666666665</v>
      </c>
      <c r="I51">
        <v>1.7995300000000001</v>
      </c>
      <c r="J51">
        <v>6.1205033728246709E-4</v>
      </c>
      <c r="K51">
        <v>3.0602516864123353E-3</v>
      </c>
      <c r="L51">
        <v>1.2241006745649341E-2</v>
      </c>
      <c r="M51">
        <v>0.54</v>
      </c>
      <c r="N51">
        <v>0.505</v>
      </c>
      <c r="O51">
        <v>1</v>
      </c>
    </row>
    <row r="52" spans="1:15" ht="13.2" customHeight="1" x14ac:dyDescent="0.3">
      <c r="A52" s="4" t="s">
        <v>941</v>
      </c>
      <c r="B52" s="4">
        <v>100</v>
      </c>
      <c r="C52" s="4">
        <v>240</v>
      </c>
      <c r="D52" s="4">
        <v>50</v>
      </c>
      <c r="E52" s="4">
        <v>17641</v>
      </c>
      <c r="H52">
        <v>2940.1666666666665</v>
      </c>
      <c r="I52">
        <v>1.79593</v>
      </c>
      <c r="J52">
        <v>6.1082591689813506E-4</v>
      </c>
      <c r="K52">
        <v>3.0541295844906755E-3</v>
      </c>
      <c r="L52">
        <v>1.2216518337962702E-2</v>
      </c>
      <c r="M52">
        <v>0.54</v>
      </c>
      <c r="N52">
        <v>0.51500000000000001</v>
      </c>
      <c r="O52">
        <v>1</v>
      </c>
    </row>
    <row r="53" spans="1:15" ht="13.2" customHeight="1" x14ac:dyDescent="0.3">
      <c r="A53" s="4" t="s">
        <v>907</v>
      </c>
      <c r="B53" s="4">
        <v>9</v>
      </c>
      <c r="C53" s="4">
        <v>240</v>
      </c>
      <c r="D53" s="4">
        <v>25</v>
      </c>
      <c r="E53" s="4">
        <v>17641</v>
      </c>
      <c r="H53">
        <v>2940.1666666666665</v>
      </c>
      <c r="I53">
        <v>1.78342</v>
      </c>
      <c r="J53">
        <v>6.0657105606258153E-4</v>
      </c>
      <c r="K53">
        <v>3.0328552803129075E-3</v>
      </c>
      <c r="L53">
        <v>1.213142112125163E-2</v>
      </c>
      <c r="M53">
        <v>0.54</v>
      </c>
      <c r="N53">
        <v>0.52</v>
      </c>
      <c r="O53">
        <v>1</v>
      </c>
    </row>
    <row r="54" spans="1:15" ht="13.2" hidden="1" customHeight="1" x14ac:dyDescent="0.3">
      <c r="A54" s="4" t="s">
        <v>988</v>
      </c>
      <c r="B54" s="4">
        <v>100</v>
      </c>
      <c r="C54" s="4">
        <v>30</v>
      </c>
      <c r="D54" s="4">
        <v>100</v>
      </c>
      <c r="E54" s="4">
        <v>9901</v>
      </c>
      <c r="H54">
        <v>206.27083333333334</v>
      </c>
      <c r="I54">
        <v>0.12456</v>
      </c>
      <c r="J54">
        <v>6.0386627613372385E-4</v>
      </c>
      <c r="K54">
        <v>3.0193313806686191E-3</v>
      </c>
      <c r="L54">
        <v>1.2077325522674476E-2</v>
      </c>
      <c r="M54">
        <v>0.55000000000000004</v>
      </c>
      <c r="N54">
        <v>0.505</v>
      </c>
      <c r="O54">
        <v>1</v>
      </c>
    </row>
    <row r="55" spans="1:15" ht="13.2" customHeight="1" x14ac:dyDescent="0.3">
      <c r="A55" s="4" t="s">
        <v>956</v>
      </c>
      <c r="B55" s="4">
        <v>9</v>
      </c>
      <c r="C55" s="4">
        <v>240</v>
      </c>
      <c r="D55" s="4">
        <v>10</v>
      </c>
      <c r="E55" s="4">
        <v>17641</v>
      </c>
      <c r="H55">
        <v>2940.1666666666665</v>
      </c>
      <c r="I55">
        <v>1.7669299999999999</v>
      </c>
      <c r="J55">
        <v>6.0096253046879424E-4</v>
      </c>
      <c r="K55">
        <v>3.0048126523439713E-3</v>
      </c>
      <c r="L55">
        <v>1.2019250609375885E-2</v>
      </c>
      <c r="M55">
        <v>0.54</v>
      </c>
      <c r="N55">
        <v>0.505</v>
      </c>
      <c r="O55">
        <v>1</v>
      </c>
    </row>
    <row r="56" spans="1:15" ht="13.2" customHeight="1" x14ac:dyDescent="0.3">
      <c r="A56" s="4" t="s">
        <v>934</v>
      </c>
      <c r="B56" s="4">
        <v>100</v>
      </c>
      <c r="C56" s="4">
        <v>240</v>
      </c>
      <c r="D56" s="4">
        <v>100</v>
      </c>
      <c r="E56" s="4">
        <v>17641</v>
      </c>
      <c r="H56">
        <v>2940.1666666666665</v>
      </c>
      <c r="I56">
        <v>1.7107000000000001</v>
      </c>
      <c r="J56">
        <v>5.8183776429907605E-4</v>
      </c>
      <c r="K56">
        <v>2.9091888214953805E-3</v>
      </c>
      <c r="L56">
        <v>1.1636755285981522E-2</v>
      </c>
      <c r="M56">
        <v>0.54</v>
      </c>
      <c r="N56">
        <v>0.505</v>
      </c>
      <c r="O56">
        <v>1</v>
      </c>
    </row>
    <row r="57" spans="1:15" ht="13.2" customHeight="1" x14ac:dyDescent="0.3">
      <c r="A57" s="4" t="s">
        <v>935</v>
      </c>
      <c r="B57" s="4">
        <v>100</v>
      </c>
      <c r="C57" s="4">
        <v>240</v>
      </c>
      <c r="D57" s="4">
        <v>10</v>
      </c>
      <c r="E57" s="4">
        <v>17641</v>
      </c>
      <c r="H57">
        <v>2940.1666666666665</v>
      </c>
      <c r="I57">
        <v>1.6931799999999999</v>
      </c>
      <c r="J57">
        <v>5.7587891842866053E-4</v>
      </c>
      <c r="K57">
        <v>2.8793945921433027E-3</v>
      </c>
      <c r="L57">
        <v>1.1517578368573211E-2</v>
      </c>
      <c r="M57">
        <v>0.56000000000000005</v>
      </c>
      <c r="N57">
        <v>0.51500000000000001</v>
      </c>
      <c r="O57">
        <v>4</v>
      </c>
    </row>
    <row r="58" spans="1:15" ht="13.2" customHeight="1" x14ac:dyDescent="0.3">
      <c r="A58" s="4" t="s">
        <v>909</v>
      </c>
      <c r="B58" s="4">
        <v>9</v>
      </c>
      <c r="C58" s="4">
        <v>240</v>
      </c>
      <c r="D58" s="4">
        <v>100</v>
      </c>
      <c r="E58" s="4">
        <v>17641</v>
      </c>
      <c r="H58">
        <v>2940.1666666666665</v>
      </c>
      <c r="I58">
        <v>1.6922900000000001</v>
      </c>
      <c r="J58">
        <v>5.7557621450031178E-4</v>
      </c>
      <c r="K58">
        <v>2.8778810725015591E-3</v>
      </c>
      <c r="L58">
        <v>1.1511524290006236E-2</v>
      </c>
      <c r="M58">
        <v>0.54</v>
      </c>
      <c r="N58">
        <v>0.5</v>
      </c>
      <c r="O58">
        <v>1</v>
      </c>
    </row>
    <row r="59" spans="1:15" ht="13.2" customHeight="1" x14ac:dyDescent="0.3">
      <c r="A59" s="4" t="s">
        <v>954</v>
      </c>
      <c r="B59" s="4">
        <v>9</v>
      </c>
      <c r="C59" s="4">
        <v>240</v>
      </c>
      <c r="D59" s="4">
        <v>50</v>
      </c>
      <c r="E59" s="4">
        <v>17641</v>
      </c>
      <c r="H59">
        <v>2940.1666666666665</v>
      </c>
      <c r="I59">
        <v>1.68062</v>
      </c>
      <c r="J59">
        <v>5.7160705175443572E-4</v>
      </c>
      <c r="K59">
        <v>2.8580352587721787E-3</v>
      </c>
      <c r="L59">
        <v>1.1432141035088715E-2</v>
      </c>
      <c r="M59">
        <v>0.54</v>
      </c>
      <c r="N59">
        <v>0.505</v>
      </c>
      <c r="O59">
        <v>1</v>
      </c>
    </row>
    <row r="60" spans="1:15" ht="13.2" customHeight="1" x14ac:dyDescent="0.3">
      <c r="A60" s="4" t="s">
        <v>923</v>
      </c>
      <c r="B60" s="4">
        <v>9</v>
      </c>
      <c r="C60" s="4">
        <v>240</v>
      </c>
      <c r="D60" s="4">
        <v>10</v>
      </c>
      <c r="E60" s="4">
        <v>17641</v>
      </c>
      <c r="H60">
        <v>2940.1666666666665</v>
      </c>
      <c r="I60">
        <v>1.6689099999999999</v>
      </c>
      <c r="J60">
        <v>5.6762428433762254E-4</v>
      </c>
      <c r="K60">
        <v>2.8381214216881127E-3</v>
      </c>
      <c r="L60">
        <v>1.1352485686752451E-2</v>
      </c>
      <c r="M60">
        <v>0.56000000000000005</v>
      </c>
      <c r="N60">
        <v>0.51500000000000001</v>
      </c>
      <c r="O60">
        <v>1</v>
      </c>
    </row>
    <row r="61" spans="1:15" ht="13.2" customHeight="1" x14ac:dyDescent="0.3">
      <c r="A61" s="4" t="s">
        <v>940</v>
      </c>
      <c r="B61" s="4">
        <v>100</v>
      </c>
      <c r="C61" s="4">
        <v>240</v>
      </c>
      <c r="D61" s="4">
        <v>25</v>
      </c>
      <c r="E61" s="4">
        <v>17641</v>
      </c>
      <c r="H61">
        <v>2940.1666666666665</v>
      </c>
      <c r="I61">
        <v>1.63954</v>
      </c>
      <c r="J61">
        <v>5.5763505470211438E-4</v>
      </c>
      <c r="K61">
        <v>2.7881752735105718E-3</v>
      </c>
      <c r="L61">
        <v>1.1152701094042287E-2</v>
      </c>
      <c r="M61">
        <v>0.54</v>
      </c>
      <c r="N61">
        <v>0.52</v>
      </c>
      <c r="O61">
        <v>1</v>
      </c>
    </row>
    <row r="62" spans="1:15" ht="13.2" customHeight="1" x14ac:dyDescent="0.3">
      <c r="A62" s="4" t="s">
        <v>946</v>
      </c>
      <c r="B62" s="4">
        <v>9</v>
      </c>
      <c r="C62" s="4">
        <v>240</v>
      </c>
      <c r="D62" s="4">
        <v>50</v>
      </c>
      <c r="E62" s="4">
        <v>17641</v>
      </c>
      <c r="H62">
        <v>2940.1666666666665</v>
      </c>
      <c r="I62">
        <v>1.6383399999999999</v>
      </c>
      <c r="J62">
        <v>5.5722691457400374E-4</v>
      </c>
      <c r="K62">
        <v>2.7861345728700188E-3</v>
      </c>
      <c r="L62">
        <v>1.1144538291480075E-2</v>
      </c>
      <c r="M62">
        <v>0.54</v>
      </c>
      <c r="N62">
        <v>0.5</v>
      </c>
      <c r="O62">
        <v>1</v>
      </c>
    </row>
    <row r="63" spans="1:15" ht="13.2" customHeight="1" x14ac:dyDescent="0.3">
      <c r="A63" s="4" t="s">
        <v>938</v>
      </c>
      <c r="B63" s="4">
        <v>100</v>
      </c>
      <c r="C63" s="4">
        <v>240</v>
      </c>
      <c r="D63" s="4">
        <v>100</v>
      </c>
      <c r="E63" s="4">
        <v>17641</v>
      </c>
      <c r="H63">
        <v>2940.1666666666665</v>
      </c>
      <c r="I63">
        <v>1.6034200000000001</v>
      </c>
      <c r="J63">
        <v>5.4535003684598384E-4</v>
      </c>
      <c r="K63">
        <v>2.7267501842299191E-3</v>
      </c>
      <c r="L63">
        <v>1.0907000736919676E-2</v>
      </c>
      <c r="M63">
        <v>0.55000000000000004</v>
      </c>
      <c r="N63">
        <v>0.52</v>
      </c>
      <c r="O63">
        <v>1</v>
      </c>
    </row>
    <row r="64" spans="1:15" ht="13.2" customHeight="1" x14ac:dyDescent="0.3">
      <c r="A64" s="4" t="s">
        <v>925</v>
      </c>
      <c r="B64" s="4">
        <v>9</v>
      </c>
      <c r="C64" s="4">
        <v>240</v>
      </c>
      <c r="D64" s="4">
        <v>50</v>
      </c>
      <c r="E64" s="4">
        <v>17641</v>
      </c>
      <c r="H64">
        <v>2940.1666666666665</v>
      </c>
      <c r="I64">
        <v>1.5983499999999999</v>
      </c>
      <c r="J64">
        <v>5.4362564480471629E-4</v>
      </c>
      <c r="K64">
        <v>2.7181282240235816E-3</v>
      </c>
      <c r="L64">
        <v>1.0872512896094326E-2</v>
      </c>
      <c r="M64">
        <v>0.54</v>
      </c>
      <c r="N64">
        <v>0.5</v>
      </c>
      <c r="O64">
        <v>1</v>
      </c>
    </row>
    <row r="65" spans="1:15" ht="13.2" customHeight="1" x14ac:dyDescent="0.3">
      <c r="A65" s="4" t="s">
        <v>886</v>
      </c>
      <c r="B65" s="4">
        <v>9</v>
      </c>
      <c r="C65" s="4">
        <v>240</v>
      </c>
      <c r="D65" s="4">
        <v>10</v>
      </c>
      <c r="E65" s="4">
        <v>17641</v>
      </c>
      <c r="H65">
        <v>2940.1666666666665</v>
      </c>
      <c r="I65">
        <v>1.5719000000000001</v>
      </c>
      <c r="J65">
        <v>5.3462955614761072E-4</v>
      </c>
      <c r="K65">
        <v>2.6731477807380535E-3</v>
      </c>
      <c r="L65">
        <v>1.0692591122952214E-2</v>
      </c>
      <c r="M65">
        <v>0.54</v>
      </c>
      <c r="N65">
        <v>0.51</v>
      </c>
      <c r="O65">
        <v>1</v>
      </c>
    </row>
    <row r="66" spans="1:15" ht="13.2" customHeight="1" x14ac:dyDescent="0.3">
      <c r="A66" s="4" t="s">
        <v>919</v>
      </c>
      <c r="B66" s="4">
        <v>9</v>
      </c>
      <c r="C66" s="4">
        <v>240</v>
      </c>
      <c r="D66" s="4">
        <v>10</v>
      </c>
      <c r="E66" s="4">
        <v>17641</v>
      </c>
      <c r="H66">
        <v>2940.1666666666665</v>
      </c>
      <c r="I66">
        <v>1.5696600000000001</v>
      </c>
      <c r="J66">
        <v>5.3386769457513747E-4</v>
      </c>
      <c r="K66">
        <v>2.6693384728756872E-3</v>
      </c>
      <c r="L66">
        <v>1.0677353891502749E-2</v>
      </c>
      <c r="M66">
        <v>0.54</v>
      </c>
      <c r="N66">
        <v>0.5</v>
      </c>
      <c r="O66">
        <v>1</v>
      </c>
    </row>
    <row r="67" spans="1:15" ht="13.2" customHeight="1" x14ac:dyDescent="0.3">
      <c r="A67" s="4" t="s">
        <v>930</v>
      </c>
      <c r="B67" s="4">
        <v>100</v>
      </c>
      <c r="C67" s="4">
        <v>240</v>
      </c>
      <c r="D67" s="4">
        <v>100</v>
      </c>
      <c r="E67" s="4">
        <v>17641</v>
      </c>
      <c r="H67">
        <v>2940.1666666666665</v>
      </c>
      <c r="I67">
        <v>1.5689599999999999</v>
      </c>
      <c r="J67">
        <v>5.3362961283373958E-4</v>
      </c>
      <c r="K67">
        <v>2.6681480641686977E-3</v>
      </c>
      <c r="L67">
        <v>1.0672592256674791E-2</v>
      </c>
      <c r="M67">
        <v>0.54</v>
      </c>
      <c r="N67">
        <v>0.505</v>
      </c>
      <c r="O67">
        <v>1</v>
      </c>
    </row>
    <row r="68" spans="1:15" ht="13.2" customHeight="1" x14ac:dyDescent="0.3">
      <c r="A68" s="4" t="s">
        <v>890</v>
      </c>
      <c r="B68" s="4">
        <v>9</v>
      </c>
      <c r="C68" s="4">
        <v>240</v>
      </c>
      <c r="D68" s="4">
        <v>10</v>
      </c>
      <c r="E68" s="4">
        <v>17641</v>
      </c>
      <c r="H68">
        <v>2940.1666666666665</v>
      </c>
      <c r="I68">
        <v>1.5581199999999999</v>
      </c>
      <c r="J68">
        <v>5.299427470098067E-4</v>
      </c>
      <c r="K68">
        <v>2.6497137350490335E-3</v>
      </c>
      <c r="L68">
        <v>1.0598854940196134E-2</v>
      </c>
      <c r="M68">
        <v>0.54</v>
      </c>
      <c r="N68">
        <v>0.505</v>
      </c>
      <c r="O68">
        <v>1</v>
      </c>
    </row>
    <row r="69" spans="1:15" ht="13.2" customHeight="1" x14ac:dyDescent="0.3">
      <c r="A69" s="4" t="s">
        <v>913</v>
      </c>
      <c r="B69" s="4">
        <v>9</v>
      </c>
      <c r="C69" s="4">
        <v>240</v>
      </c>
      <c r="D69" s="4">
        <v>50</v>
      </c>
      <c r="E69" s="4">
        <v>17641</v>
      </c>
      <c r="H69">
        <v>2940.1666666666665</v>
      </c>
      <c r="I69">
        <v>1.55569</v>
      </c>
      <c r="J69">
        <v>5.291162632503827E-4</v>
      </c>
      <c r="K69">
        <v>2.6455813162519137E-3</v>
      </c>
      <c r="L69">
        <v>1.0582325265007655E-2</v>
      </c>
      <c r="M69">
        <v>0.54</v>
      </c>
      <c r="N69">
        <v>0.5</v>
      </c>
      <c r="O69">
        <v>1</v>
      </c>
    </row>
    <row r="70" spans="1:15" ht="13.2" customHeight="1" x14ac:dyDescent="0.3">
      <c r="A70" s="4" t="s">
        <v>888</v>
      </c>
      <c r="B70" s="4">
        <v>9</v>
      </c>
      <c r="C70" s="4">
        <v>240</v>
      </c>
      <c r="D70" s="4">
        <v>50</v>
      </c>
      <c r="E70" s="4">
        <v>17641</v>
      </c>
      <c r="H70">
        <v>2940.1666666666665</v>
      </c>
      <c r="I70">
        <v>1.5526800000000001</v>
      </c>
      <c r="J70">
        <v>5.2809251176237182E-4</v>
      </c>
      <c r="K70">
        <v>2.6404625588118593E-3</v>
      </c>
      <c r="L70">
        <v>1.0561850235247437E-2</v>
      </c>
      <c r="M70">
        <v>0.54</v>
      </c>
      <c r="N70">
        <v>0.5</v>
      </c>
      <c r="O70">
        <v>1</v>
      </c>
    </row>
    <row r="71" spans="1:15" ht="13.2" customHeight="1" x14ac:dyDescent="0.3">
      <c r="A71" s="4" t="s">
        <v>952</v>
      </c>
      <c r="B71" s="4">
        <v>9</v>
      </c>
      <c r="C71" s="4">
        <v>240</v>
      </c>
      <c r="D71" s="4">
        <v>10</v>
      </c>
      <c r="E71" s="4">
        <v>17641</v>
      </c>
      <c r="H71">
        <v>2940.1666666666665</v>
      </c>
      <c r="I71">
        <v>1.5437099999999999</v>
      </c>
      <c r="J71">
        <v>5.2504166430474464E-4</v>
      </c>
      <c r="K71">
        <v>2.625208321523723E-3</v>
      </c>
      <c r="L71">
        <v>1.0500833286094892E-2</v>
      </c>
      <c r="M71">
        <v>0.54</v>
      </c>
      <c r="N71">
        <v>0.51500000000000001</v>
      </c>
      <c r="O71">
        <v>1</v>
      </c>
    </row>
    <row r="72" spans="1:15" ht="13.2" customHeight="1" x14ac:dyDescent="0.3">
      <c r="A72" s="4" t="s">
        <v>917</v>
      </c>
      <c r="B72" s="4">
        <v>9</v>
      </c>
      <c r="C72" s="4">
        <v>240</v>
      </c>
      <c r="D72" s="4">
        <v>50</v>
      </c>
      <c r="E72" s="4">
        <v>17641</v>
      </c>
      <c r="H72">
        <v>2940.1666666666665</v>
      </c>
      <c r="I72">
        <v>1.5410900000000001</v>
      </c>
      <c r="J72">
        <v>5.2415055835836977E-4</v>
      </c>
      <c r="K72">
        <v>2.6207527917918487E-3</v>
      </c>
      <c r="L72">
        <v>1.0483011167167395E-2</v>
      </c>
      <c r="M72">
        <v>0.54</v>
      </c>
      <c r="N72">
        <v>0.505</v>
      </c>
      <c r="O72">
        <v>1</v>
      </c>
    </row>
    <row r="73" spans="1:15" ht="13.2" customHeight="1" x14ac:dyDescent="0.3">
      <c r="A73" s="4" t="s">
        <v>944</v>
      </c>
      <c r="B73" s="4">
        <v>9</v>
      </c>
      <c r="C73" s="4">
        <v>240</v>
      </c>
      <c r="D73" s="4">
        <v>10</v>
      </c>
      <c r="E73" s="4">
        <v>17641</v>
      </c>
      <c r="H73">
        <v>2940.1666666666665</v>
      </c>
      <c r="I73">
        <v>1.5390999999999999</v>
      </c>
      <c r="J73">
        <v>5.2347372597925284E-4</v>
      </c>
      <c r="K73">
        <v>2.6173686298962642E-3</v>
      </c>
      <c r="L73">
        <v>1.0469474519585057E-2</v>
      </c>
      <c r="M73">
        <v>0.56000000000000005</v>
      </c>
      <c r="N73">
        <v>0.51</v>
      </c>
      <c r="O73">
        <v>1</v>
      </c>
    </row>
    <row r="74" spans="1:15" ht="13.2" customHeight="1" x14ac:dyDescent="0.3">
      <c r="A74" s="4" t="s">
        <v>906</v>
      </c>
      <c r="B74" s="4">
        <v>9</v>
      </c>
      <c r="C74" s="4">
        <v>240</v>
      </c>
      <c r="D74" s="4">
        <v>10</v>
      </c>
      <c r="E74" s="4">
        <v>17641</v>
      </c>
      <c r="H74">
        <v>2940.1666666666665</v>
      </c>
      <c r="I74">
        <v>1.51675</v>
      </c>
      <c r="J74">
        <v>5.1587211609319204E-4</v>
      </c>
      <c r="K74">
        <v>2.5793605804659602E-3</v>
      </c>
      <c r="L74">
        <v>1.0317442321863841E-2</v>
      </c>
      <c r="M74">
        <v>0.54</v>
      </c>
      <c r="N74">
        <v>0.51500000000000001</v>
      </c>
      <c r="O74">
        <v>1</v>
      </c>
    </row>
    <row r="75" spans="1:15" ht="13.2" customHeight="1" x14ac:dyDescent="0.3">
      <c r="A75" s="4" t="s">
        <v>942</v>
      </c>
      <c r="B75" s="4">
        <v>100</v>
      </c>
      <c r="C75" s="4">
        <v>240</v>
      </c>
      <c r="D75" s="4">
        <v>100</v>
      </c>
      <c r="E75" s="4">
        <v>17641</v>
      </c>
      <c r="H75">
        <v>2940.1666666666665</v>
      </c>
      <c r="I75">
        <v>1.4993099999999999</v>
      </c>
      <c r="J75">
        <v>5.0994047956465054E-4</v>
      </c>
      <c r="K75">
        <v>2.5497023978232527E-3</v>
      </c>
      <c r="L75">
        <v>1.0198809591293011E-2</v>
      </c>
      <c r="M75">
        <v>0.54</v>
      </c>
      <c r="N75">
        <v>0.5</v>
      </c>
      <c r="O75">
        <v>2</v>
      </c>
    </row>
    <row r="76" spans="1:15" ht="13.2" customHeight="1" x14ac:dyDescent="0.3">
      <c r="A76" s="4" t="s">
        <v>950</v>
      </c>
      <c r="B76" s="4">
        <v>9</v>
      </c>
      <c r="C76" s="4">
        <v>240</v>
      </c>
      <c r="D76" s="4">
        <v>50</v>
      </c>
      <c r="E76" s="4">
        <v>17641</v>
      </c>
      <c r="H76">
        <v>2940.1666666666665</v>
      </c>
      <c r="I76">
        <v>1.4869000000000001</v>
      </c>
      <c r="J76">
        <v>5.0571963040643958E-4</v>
      </c>
      <c r="K76">
        <v>2.528598152032198E-3</v>
      </c>
      <c r="L76">
        <v>1.0114392608128792E-2</v>
      </c>
      <c r="M76">
        <v>0.54</v>
      </c>
      <c r="N76">
        <v>0.5</v>
      </c>
      <c r="O76">
        <v>1</v>
      </c>
    </row>
    <row r="77" spans="1:15" ht="13.2" customHeight="1" x14ac:dyDescent="0.3">
      <c r="A77" s="4" t="s">
        <v>922</v>
      </c>
      <c r="B77" s="4">
        <v>9</v>
      </c>
      <c r="C77" s="4">
        <v>240</v>
      </c>
      <c r="D77" s="4">
        <v>100</v>
      </c>
      <c r="E77" s="4">
        <v>17641</v>
      </c>
      <c r="H77">
        <v>2940.1666666666665</v>
      </c>
      <c r="I77">
        <v>1.4782</v>
      </c>
      <c r="J77">
        <v>5.0276061447763738E-4</v>
      </c>
      <c r="K77">
        <v>2.5138030723881868E-3</v>
      </c>
      <c r="L77">
        <v>1.0055212289552747E-2</v>
      </c>
      <c r="M77">
        <v>0.54</v>
      </c>
      <c r="N77">
        <v>0.51500000000000001</v>
      </c>
      <c r="O77">
        <v>1</v>
      </c>
    </row>
    <row r="78" spans="1:15" ht="13.2" customHeight="1" x14ac:dyDescent="0.3">
      <c r="A78" s="4" t="s">
        <v>926</v>
      </c>
      <c r="B78" s="4">
        <v>9</v>
      </c>
      <c r="C78" s="4">
        <v>240</v>
      </c>
      <c r="D78" s="4">
        <v>100</v>
      </c>
      <c r="E78" s="4">
        <v>17641</v>
      </c>
      <c r="H78">
        <v>2940.1666666666665</v>
      </c>
      <c r="I78">
        <v>1.46702</v>
      </c>
      <c r="J78">
        <v>4.9895810895073979E-4</v>
      </c>
      <c r="K78">
        <v>2.4947905447536989E-3</v>
      </c>
      <c r="L78">
        <v>9.9791621790147958E-3</v>
      </c>
      <c r="M78">
        <v>0.54</v>
      </c>
      <c r="N78">
        <v>0.52</v>
      </c>
      <c r="O78">
        <v>1</v>
      </c>
    </row>
    <row r="79" spans="1:15" ht="13.2" customHeight="1" x14ac:dyDescent="0.3">
      <c r="A79" s="4" t="s">
        <v>921</v>
      </c>
      <c r="B79" s="4">
        <v>9</v>
      </c>
      <c r="C79" s="4">
        <v>240</v>
      </c>
      <c r="D79" s="4">
        <v>50</v>
      </c>
      <c r="E79" s="4">
        <v>17641</v>
      </c>
      <c r="H79">
        <v>2940.1666666666665</v>
      </c>
      <c r="I79">
        <v>1.45756</v>
      </c>
      <c r="J79">
        <v>4.9574060427413414E-4</v>
      </c>
      <c r="K79">
        <v>2.4787030213706705E-3</v>
      </c>
      <c r="L79">
        <v>9.914812085482682E-3</v>
      </c>
      <c r="M79">
        <v>0.54</v>
      </c>
      <c r="N79">
        <v>0.505</v>
      </c>
      <c r="O79">
        <v>1</v>
      </c>
    </row>
    <row r="80" spans="1:15" ht="13.2" customHeight="1" x14ac:dyDescent="0.3">
      <c r="A80" s="4" t="s">
        <v>958</v>
      </c>
      <c r="B80" s="4">
        <v>9</v>
      </c>
      <c r="C80" s="4">
        <v>240</v>
      </c>
      <c r="D80" s="4">
        <v>50</v>
      </c>
      <c r="E80" s="4">
        <v>17641</v>
      </c>
      <c r="H80">
        <v>2940.1666666666665</v>
      </c>
      <c r="I80">
        <v>1.44017</v>
      </c>
      <c r="J80">
        <v>4.8982597358426393E-4</v>
      </c>
      <c r="K80">
        <v>2.4491298679213194E-3</v>
      </c>
      <c r="L80">
        <v>9.7965194716852777E-3</v>
      </c>
      <c r="M80">
        <v>0.54</v>
      </c>
      <c r="N80">
        <v>0.51</v>
      </c>
      <c r="O80">
        <v>1</v>
      </c>
    </row>
    <row r="81" spans="1:15" ht="13.2" customHeight="1" x14ac:dyDescent="0.3">
      <c r="A81" s="4" t="s">
        <v>924</v>
      </c>
      <c r="B81" s="4">
        <v>9</v>
      </c>
      <c r="C81" s="4">
        <v>240</v>
      </c>
      <c r="D81" s="4">
        <v>25</v>
      </c>
      <c r="E81" s="4">
        <v>17641</v>
      </c>
      <c r="H81">
        <v>2940.1666666666665</v>
      </c>
      <c r="I81">
        <v>1.42187</v>
      </c>
      <c r="J81">
        <v>4.8360183663057651E-4</v>
      </c>
      <c r="K81">
        <v>2.4180091831528827E-3</v>
      </c>
      <c r="L81">
        <v>9.6720367326115306E-3</v>
      </c>
      <c r="M81">
        <v>0.54</v>
      </c>
      <c r="N81">
        <v>0.51500000000000001</v>
      </c>
      <c r="O81">
        <v>1</v>
      </c>
    </row>
    <row r="82" spans="1:15" ht="13.2" customHeight="1" x14ac:dyDescent="0.3">
      <c r="A82" s="4" t="s">
        <v>948</v>
      </c>
      <c r="B82" s="4">
        <v>9</v>
      </c>
      <c r="C82" s="4">
        <v>240</v>
      </c>
      <c r="D82" s="4">
        <v>10</v>
      </c>
      <c r="E82" s="4">
        <v>17641</v>
      </c>
      <c r="H82">
        <v>2940.1666666666665</v>
      </c>
      <c r="I82">
        <v>1.4131400000000001</v>
      </c>
      <c r="J82">
        <v>4.8063261719857154E-4</v>
      </c>
      <c r="K82">
        <v>2.4031630859928576E-3</v>
      </c>
      <c r="L82">
        <v>9.6126523439714305E-3</v>
      </c>
      <c r="M82">
        <v>0.54</v>
      </c>
      <c r="N82">
        <v>0.505</v>
      </c>
      <c r="O82">
        <v>1</v>
      </c>
    </row>
    <row r="83" spans="1:15" ht="13.2" hidden="1" customHeight="1" x14ac:dyDescent="0.3">
      <c r="A83" s="4" t="s">
        <v>1003</v>
      </c>
      <c r="B83" s="4">
        <v>100</v>
      </c>
      <c r="C83" s="4">
        <v>60</v>
      </c>
      <c r="D83" s="4">
        <v>100</v>
      </c>
      <c r="E83" s="4">
        <v>9901</v>
      </c>
      <c r="H83">
        <v>412.54166666666669</v>
      </c>
      <c r="I83">
        <v>0.19802</v>
      </c>
      <c r="J83">
        <v>4.7999999999999996E-4</v>
      </c>
      <c r="K83">
        <v>2.3999999999999998E-3</v>
      </c>
      <c r="L83">
        <v>9.5999999999999992E-3</v>
      </c>
      <c r="M83">
        <v>0.54</v>
      </c>
      <c r="N83">
        <v>0.52</v>
      </c>
      <c r="O83">
        <v>1</v>
      </c>
    </row>
    <row r="84" spans="1:15" ht="13.2" customHeight="1" x14ac:dyDescent="0.3">
      <c r="A84" s="4" t="s">
        <v>884</v>
      </c>
      <c r="B84" s="4">
        <v>9</v>
      </c>
      <c r="C84" s="4">
        <v>240</v>
      </c>
      <c r="D84" s="4">
        <v>50</v>
      </c>
      <c r="E84" s="4">
        <v>17641</v>
      </c>
      <c r="H84">
        <v>2940.1666666666665</v>
      </c>
      <c r="I84">
        <v>1.38395</v>
      </c>
      <c r="J84">
        <v>4.7070460858227996E-4</v>
      </c>
      <c r="K84">
        <v>2.3535230429113999E-3</v>
      </c>
      <c r="L84">
        <v>9.4140921716455994E-3</v>
      </c>
      <c r="M84">
        <v>0.54</v>
      </c>
      <c r="N84">
        <v>0.5</v>
      </c>
      <c r="O84">
        <v>1</v>
      </c>
    </row>
    <row r="85" spans="1:15" ht="13.2" customHeight="1" x14ac:dyDescent="0.3">
      <c r="A85" s="4" t="s">
        <v>953</v>
      </c>
      <c r="B85" s="4">
        <v>9</v>
      </c>
      <c r="C85" s="4">
        <v>240</v>
      </c>
      <c r="D85" s="4">
        <v>25</v>
      </c>
      <c r="E85" s="4">
        <v>17641</v>
      </c>
      <c r="H85">
        <v>2940.1666666666665</v>
      </c>
      <c r="I85">
        <v>1.38253</v>
      </c>
      <c r="J85">
        <v>4.7022164276401567E-4</v>
      </c>
      <c r="K85">
        <v>2.3511082138200782E-3</v>
      </c>
      <c r="L85">
        <v>9.4044328552803126E-3</v>
      </c>
      <c r="M85">
        <v>0.54</v>
      </c>
      <c r="N85">
        <v>0.5</v>
      </c>
      <c r="O85">
        <v>1</v>
      </c>
    </row>
    <row r="86" spans="1:15" ht="13.2" customHeight="1" x14ac:dyDescent="0.3">
      <c r="A86" s="4" t="s">
        <v>902</v>
      </c>
      <c r="B86" s="4">
        <v>9</v>
      </c>
      <c r="C86" s="4">
        <v>240</v>
      </c>
      <c r="D86" s="4">
        <v>10</v>
      </c>
      <c r="E86" s="4">
        <v>17641</v>
      </c>
      <c r="H86">
        <v>2940.1666666666665</v>
      </c>
      <c r="I86">
        <v>1.3725499999999999</v>
      </c>
      <c r="J86">
        <v>4.6682727736522872E-4</v>
      </c>
      <c r="K86">
        <v>2.3341363868261437E-3</v>
      </c>
      <c r="L86">
        <v>9.3365455473045748E-3</v>
      </c>
      <c r="M86">
        <v>0.54</v>
      </c>
      <c r="N86">
        <v>0.5</v>
      </c>
      <c r="O86">
        <v>1</v>
      </c>
    </row>
    <row r="87" spans="1:15" ht="13.2" customHeight="1" x14ac:dyDescent="0.3">
      <c r="A87" s="4" t="s">
        <v>894</v>
      </c>
      <c r="B87" s="4">
        <v>9</v>
      </c>
      <c r="C87" s="4">
        <v>240</v>
      </c>
      <c r="D87" s="4">
        <v>10</v>
      </c>
      <c r="E87" s="4">
        <v>17641</v>
      </c>
      <c r="H87">
        <v>2940.1666666666665</v>
      </c>
      <c r="I87">
        <v>1.3614999999999999</v>
      </c>
      <c r="J87">
        <v>4.6306898701887648E-4</v>
      </c>
      <c r="K87">
        <v>2.3153449350943826E-3</v>
      </c>
      <c r="L87">
        <v>9.2613797403775303E-3</v>
      </c>
      <c r="M87">
        <v>0.54</v>
      </c>
      <c r="N87">
        <v>0.51</v>
      </c>
      <c r="O87">
        <v>1</v>
      </c>
    </row>
    <row r="88" spans="1:15" ht="13.2" customHeight="1" x14ac:dyDescent="0.3">
      <c r="A88" s="4" t="s">
        <v>959</v>
      </c>
      <c r="B88" s="4">
        <v>9</v>
      </c>
      <c r="C88" s="4">
        <v>240</v>
      </c>
      <c r="D88" s="4">
        <v>100</v>
      </c>
      <c r="E88" s="4">
        <v>17641</v>
      </c>
      <c r="H88">
        <v>2940.1666666666665</v>
      </c>
      <c r="I88">
        <v>1.35232</v>
      </c>
      <c r="J88">
        <v>4.5994671503882999E-4</v>
      </c>
      <c r="K88">
        <v>2.2997335751941501E-3</v>
      </c>
      <c r="L88">
        <v>9.1989343007766004E-3</v>
      </c>
      <c r="M88">
        <v>0.54</v>
      </c>
      <c r="N88">
        <v>0.52</v>
      </c>
      <c r="O88">
        <v>1</v>
      </c>
    </row>
    <row r="89" spans="1:15" ht="13.2" customHeight="1" x14ac:dyDescent="0.3">
      <c r="A89" s="4" t="s">
        <v>914</v>
      </c>
      <c r="B89" s="4">
        <v>9</v>
      </c>
      <c r="C89" s="4">
        <v>240</v>
      </c>
      <c r="D89" s="4">
        <v>100</v>
      </c>
      <c r="E89" s="4">
        <v>17641</v>
      </c>
      <c r="H89">
        <v>2940.1666666666665</v>
      </c>
      <c r="I89">
        <v>1.32847</v>
      </c>
      <c r="J89">
        <v>4.5183492999263084E-4</v>
      </c>
      <c r="K89">
        <v>2.2591746499631541E-3</v>
      </c>
      <c r="L89">
        <v>9.0366985998526165E-3</v>
      </c>
      <c r="M89">
        <v>0.54</v>
      </c>
      <c r="N89">
        <v>0.5</v>
      </c>
      <c r="O89">
        <v>1</v>
      </c>
    </row>
    <row r="90" spans="1:15" ht="13.2" customHeight="1" x14ac:dyDescent="0.3">
      <c r="A90" s="4" t="s">
        <v>882</v>
      </c>
      <c r="B90" s="4">
        <v>9</v>
      </c>
      <c r="C90" s="4">
        <v>240</v>
      </c>
      <c r="D90" s="4">
        <v>10</v>
      </c>
      <c r="E90" s="4">
        <v>17641</v>
      </c>
      <c r="H90">
        <v>2940.1666666666665</v>
      </c>
      <c r="I90">
        <v>1.3020400000000001</v>
      </c>
      <c r="J90">
        <v>4.4284564367099376E-4</v>
      </c>
      <c r="K90">
        <v>2.214228218354969E-3</v>
      </c>
      <c r="L90">
        <v>8.8569128734198761E-3</v>
      </c>
      <c r="M90">
        <v>0.54</v>
      </c>
      <c r="N90">
        <v>0.51500000000000001</v>
      </c>
      <c r="O90">
        <v>1</v>
      </c>
    </row>
    <row r="91" spans="1:15" ht="13.2" customHeight="1" x14ac:dyDescent="0.3">
      <c r="A91" s="4" t="s">
        <v>883</v>
      </c>
      <c r="B91" s="4">
        <v>9</v>
      </c>
      <c r="C91" s="4">
        <v>240</v>
      </c>
      <c r="D91" s="4">
        <v>25</v>
      </c>
      <c r="E91" s="4">
        <v>17641</v>
      </c>
      <c r="H91">
        <v>2940.1666666666665</v>
      </c>
      <c r="I91">
        <v>1.3011999999999999</v>
      </c>
      <c r="J91">
        <v>4.4255994558131624E-4</v>
      </c>
      <c r="K91">
        <v>2.212799727906581E-3</v>
      </c>
      <c r="L91">
        <v>8.8511989116263241E-3</v>
      </c>
      <c r="M91">
        <v>0.54</v>
      </c>
      <c r="N91">
        <v>0.51</v>
      </c>
      <c r="O91">
        <v>1</v>
      </c>
    </row>
    <row r="92" spans="1:15" ht="13.2" customHeight="1" x14ac:dyDescent="0.3">
      <c r="A92" s="4" t="s">
        <v>903</v>
      </c>
      <c r="B92" s="4">
        <v>9</v>
      </c>
      <c r="C92" s="4">
        <v>240</v>
      </c>
      <c r="D92" s="4">
        <v>25</v>
      </c>
      <c r="E92" s="4">
        <v>17641</v>
      </c>
      <c r="H92">
        <v>2940.1666666666665</v>
      </c>
      <c r="I92">
        <v>1.2947200000000001</v>
      </c>
      <c r="J92">
        <v>4.403559888895188E-4</v>
      </c>
      <c r="K92">
        <v>2.201779944447594E-3</v>
      </c>
      <c r="L92">
        <v>8.8071197777903759E-3</v>
      </c>
      <c r="M92">
        <v>0.54</v>
      </c>
      <c r="N92">
        <v>0.505</v>
      </c>
      <c r="O92">
        <v>1</v>
      </c>
    </row>
    <row r="93" spans="1:15" ht="13.2" customHeight="1" x14ac:dyDescent="0.3">
      <c r="A93" s="4" t="s">
        <v>918</v>
      </c>
      <c r="B93" s="4">
        <v>9</v>
      </c>
      <c r="C93" s="4">
        <v>240</v>
      </c>
      <c r="D93" s="4">
        <v>100</v>
      </c>
      <c r="E93" s="4">
        <v>17641</v>
      </c>
      <c r="H93">
        <v>2940.1666666666665</v>
      </c>
      <c r="I93">
        <v>1.2869299999999999</v>
      </c>
      <c r="J93">
        <v>4.3770647922453375E-4</v>
      </c>
      <c r="K93">
        <v>2.1885323961226689E-3</v>
      </c>
      <c r="L93">
        <v>8.7541295844906757E-3</v>
      </c>
      <c r="M93">
        <v>0.54</v>
      </c>
      <c r="N93">
        <v>0.505</v>
      </c>
      <c r="O93">
        <v>1</v>
      </c>
    </row>
    <row r="94" spans="1:15" ht="13.2" customHeight="1" x14ac:dyDescent="0.3">
      <c r="A94" s="4" t="s">
        <v>912</v>
      </c>
      <c r="B94" s="4">
        <v>9</v>
      </c>
      <c r="C94" s="4">
        <v>240</v>
      </c>
      <c r="D94" s="4">
        <v>25</v>
      </c>
      <c r="E94" s="4">
        <v>17641</v>
      </c>
      <c r="H94">
        <v>2940.1666666666665</v>
      </c>
      <c r="I94">
        <v>1.2768999999999999</v>
      </c>
      <c r="J94">
        <v>4.3429510798707557E-4</v>
      </c>
      <c r="K94">
        <v>2.1714755399353776E-3</v>
      </c>
      <c r="L94">
        <v>8.6859021597415105E-3</v>
      </c>
      <c r="M94">
        <v>0.54</v>
      </c>
      <c r="N94">
        <v>0.51500000000000001</v>
      </c>
      <c r="O94">
        <v>1</v>
      </c>
    </row>
    <row r="95" spans="1:15" ht="13.2" customHeight="1" x14ac:dyDescent="0.3">
      <c r="A95" s="4" t="s">
        <v>955</v>
      </c>
      <c r="B95" s="4">
        <v>9</v>
      </c>
      <c r="C95" s="4">
        <v>240</v>
      </c>
      <c r="D95" s="4">
        <v>100</v>
      </c>
      <c r="E95" s="4">
        <v>17641</v>
      </c>
      <c r="H95">
        <v>2940.1666666666665</v>
      </c>
      <c r="I95">
        <v>1.2685900000000001</v>
      </c>
      <c r="J95">
        <v>4.3146873759990938E-4</v>
      </c>
      <c r="K95">
        <v>2.157343687999547E-3</v>
      </c>
      <c r="L95">
        <v>8.6293747519981881E-3</v>
      </c>
      <c r="M95">
        <v>0.54</v>
      </c>
      <c r="N95">
        <v>0.51</v>
      </c>
      <c r="O95">
        <v>1</v>
      </c>
    </row>
    <row r="96" spans="1:15" ht="13.2" customHeight="1" x14ac:dyDescent="0.3">
      <c r="A96" s="4" t="s">
        <v>908</v>
      </c>
      <c r="B96" s="4">
        <v>9</v>
      </c>
      <c r="C96" s="4">
        <v>240</v>
      </c>
      <c r="D96" s="4">
        <v>50</v>
      </c>
      <c r="E96" s="4">
        <v>17641</v>
      </c>
      <c r="H96">
        <v>2940.1666666666665</v>
      </c>
      <c r="I96">
        <v>1.2635000000000001</v>
      </c>
      <c r="J96">
        <v>4.2973754322317333E-4</v>
      </c>
      <c r="K96">
        <v>2.1486877161158665E-3</v>
      </c>
      <c r="L96">
        <v>8.594750864463466E-3</v>
      </c>
      <c r="M96">
        <v>0.54</v>
      </c>
      <c r="N96">
        <v>0.52</v>
      </c>
      <c r="O96">
        <v>1</v>
      </c>
    </row>
    <row r="97" spans="1:15" ht="13.2" customHeight="1" x14ac:dyDescent="0.3">
      <c r="A97" s="4" t="s">
        <v>949</v>
      </c>
      <c r="B97" s="4">
        <v>9</v>
      </c>
      <c r="C97" s="4">
        <v>240</v>
      </c>
      <c r="D97" s="4">
        <v>25</v>
      </c>
      <c r="E97" s="4">
        <v>17641</v>
      </c>
      <c r="H97">
        <v>2940.1666666666665</v>
      </c>
      <c r="I97">
        <v>1.24501</v>
      </c>
      <c r="J97">
        <v>4.23448784082535E-4</v>
      </c>
      <c r="K97">
        <v>2.1172439204126749E-3</v>
      </c>
      <c r="L97">
        <v>8.4689756816506995E-3</v>
      </c>
      <c r="M97">
        <v>0.54</v>
      </c>
      <c r="N97">
        <v>0.51</v>
      </c>
      <c r="O97">
        <v>1</v>
      </c>
    </row>
    <row r="98" spans="1:15" ht="13.2" customHeight="1" x14ac:dyDescent="0.3">
      <c r="A98" s="4" t="s">
        <v>892</v>
      </c>
      <c r="B98" s="4">
        <v>9</v>
      </c>
      <c r="C98" s="4">
        <v>240</v>
      </c>
      <c r="D98" s="4">
        <v>50</v>
      </c>
      <c r="E98" s="4">
        <v>17641</v>
      </c>
      <c r="H98">
        <v>2940.1666666666665</v>
      </c>
      <c r="I98">
        <v>1.24359</v>
      </c>
      <c r="J98">
        <v>4.2296581826427077E-4</v>
      </c>
      <c r="K98">
        <v>2.1148290913213536E-3</v>
      </c>
      <c r="L98">
        <v>8.4593163652854145E-3</v>
      </c>
      <c r="M98">
        <v>0.54</v>
      </c>
      <c r="N98">
        <v>0.5</v>
      </c>
      <c r="O98">
        <v>1</v>
      </c>
    </row>
    <row r="99" spans="1:15" ht="13.2" customHeight="1" x14ac:dyDescent="0.3">
      <c r="A99" s="4" t="s">
        <v>915</v>
      </c>
      <c r="B99" s="4">
        <v>9</v>
      </c>
      <c r="C99" s="4">
        <v>240</v>
      </c>
      <c r="D99" s="4">
        <v>10</v>
      </c>
      <c r="E99" s="4">
        <v>17641</v>
      </c>
      <c r="H99">
        <v>2940.1666666666665</v>
      </c>
      <c r="I99">
        <v>1.24359</v>
      </c>
      <c r="J99">
        <v>4.2296581826427077E-4</v>
      </c>
      <c r="K99">
        <v>2.1148290913213536E-3</v>
      </c>
      <c r="L99">
        <v>8.4593163652854145E-3</v>
      </c>
      <c r="M99">
        <v>0.54</v>
      </c>
      <c r="N99">
        <v>0.52</v>
      </c>
      <c r="O99">
        <v>1</v>
      </c>
    </row>
    <row r="100" spans="1:15" ht="13.2" customHeight="1" x14ac:dyDescent="0.3">
      <c r="A100" s="4" t="s">
        <v>920</v>
      </c>
      <c r="B100" s="4">
        <v>9</v>
      </c>
      <c r="C100" s="4">
        <v>240</v>
      </c>
      <c r="D100" s="4">
        <v>25</v>
      </c>
      <c r="E100" s="4">
        <v>17641</v>
      </c>
      <c r="H100">
        <v>2940.1666666666665</v>
      </c>
      <c r="I100">
        <v>1.24268</v>
      </c>
      <c r="J100">
        <v>4.2265631200045351E-4</v>
      </c>
      <c r="K100">
        <v>2.1132815600022675E-3</v>
      </c>
      <c r="L100">
        <v>8.45312624000907E-3</v>
      </c>
      <c r="M100">
        <v>0.54</v>
      </c>
      <c r="N100">
        <v>0.51500000000000001</v>
      </c>
      <c r="O100">
        <v>1</v>
      </c>
    </row>
    <row r="101" spans="1:15" ht="13.2" customHeight="1" x14ac:dyDescent="0.3">
      <c r="A101" s="4" t="s">
        <v>904</v>
      </c>
      <c r="B101" s="4">
        <v>9</v>
      </c>
      <c r="C101" s="4">
        <v>240</v>
      </c>
      <c r="D101" s="4">
        <v>50</v>
      </c>
      <c r="E101" s="4">
        <v>17641</v>
      </c>
      <c r="H101">
        <v>2940.1666666666665</v>
      </c>
      <c r="I101">
        <v>1.2343900000000001</v>
      </c>
      <c r="J101">
        <v>4.1983674394875577E-4</v>
      </c>
      <c r="K101">
        <v>2.099183719743779E-3</v>
      </c>
      <c r="L101">
        <v>8.3967348789751161E-3</v>
      </c>
      <c r="M101">
        <v>0.54</v>
      </c>
      <c r="N101">
        <v>0.5</v>
      </c>
      <c r="O101">
        <v>1</v>
      </c>
    </row>
    <row r="102" spans="1:15" ht="13.2" customHeight="1" x14ac:dyDescent="0.3">
      <c r="A102" s="4" t="s">
        <v>897</v>
      </c>
      <c r="B102" s="4">
        <v>9</v>
      </c>
      <c r="C102" s="4">
        <v>240</v>
      </c>
      <c r="D102" s="4">
        <v>100</v>
      </c>
      <c r="E102" s="4">
        <v>17641</v>
      </c>
      <c r="H102">
        <v>2940.1666666666665</v>
      </c>
      <c r="I102">
        <v>1.2007399999999999</v>
      </c>
      <c r="J102">
        <v>4.083918145229862E-4</v>
      </c>
      <c r="K102">
        <v>2.0419590726149309E-3</v>
      </c>
      <c r="L102">
        <v>8.1678362904597235E-3</v>
      </c>
      <c r="M102">
        <v>0.54</v>
      </c>
      <c r="N102">
        <v>0.5</v>
      </c>
      <c r="O102">
        <v>1</v>
      </c>
    </row>
    <row r="103" spans="1:15" ht="13.2" customHeight="1" x14ac:dyDescent="0.3">
      <c r="A103" s="4" t="s">
        <v>945</v>
      </c>
      <c r="B103" s="4">
        <v>9</v>
      </c>
      <c r="C103" s="4">
        <v>240</v>
      </c>
      <c r="D103" s="4">
        <v>25</v>
      </c>
      <c r="E103" s="4">
        <v>17641</v>
      </c>
      <c r="H103">
        <v>2940.1666666666665</v>
      </c>
      <c r="I103">
        <v>1.1764300000000001</v>
      </c>
      <c r="J103">
        <v>4.0012357576101135E-4</v>
      </c>
      <c r="K103">
        <v>2.0006178788050566E-3</v>
      </c>
      <c r="L103">
        <v>8.0024715152202264E-3</v>
      </c>
      <c r="M103">
        <v>0.54</v>
      </c>
      <c r="N103">
        <v>0.51</v>
      </c>
      <c r="O103">
        <v>1</v>
      </c>
    </row>
    <row r="104" spans="1:15" ht="13.2" customHeight="1" x14ac:dyDescent="0.3">
      <c r="A104" s="4" t="s">
        <v>896</v>
      </c>
      <c r="B104" s="4">
        <v>9</v>
      </c>
      <c r="C104" s="4">
        <v>240</v>
      </c>
      <c r="D104" s="4">
        <v>50</v>
      </c>
      <c r="E104" s="4">
        <v>17641</v>
      </c>
      <c r="H104">
        <v>2940.1666666666665</v>
      </c>
      <c r="I104">
        <v>1.1666099999999999</v>
      </c>
      <c r="J104">
        <v>3.9678362904597243E-4</v>
      </c>
      <c r="K104">
        <v>1.9839181452298623E-3</v>
      </c>
      <c r="L104">
        <v>7.9356725809194492E-3</v>
      </c>
      <c r="M104">
        <v>0.55000000000000004</v>
      </c>
      <c r="N104">
        <v>0.5</v>
      </c>
      <c r="O104">
        <v>2</v>
      </c>
    </row>
    <row r="105" spans="1:15" ht="13.2" customHeight="1" x14ac:dyDescent="0.3">
      <c r="A105" s="4" t="s">
        <v>889</v>
      </c>
      <c r="B105" s="4">
        <v>9</v>
      </c>
      <c r="C105" s="4">
        <v>240</v>
      </c>
      <c r="D105" s="4">
        <v>100</v>
      </c>
      <c r="E105" s="4">
        <v>17641</v>
      </c>
      <c r="H105">
        <v>2940.1666666666665</v>
      </c>
      <c r="I105">
        <v>1.1503300000000001</v>
      </c>
      <c r="J105">
        <v>3.9124652797460467E-4</v>
      </c>
      <c r="K105">
        <v>1.9562326398730235E-3</v>
      </c>
      <c r="L105">
        <v>7.8249305594920941E-3</v>
      </c>
      <c r="M105">
        <v>0.54</v>
      </c>
      <c r="N105">
        <v>0.52</v>
      </c>
      <c r="O105">
        <v>1</v>
      </c>
    </row>
    <row r="106" spans="1:15" ht="13.2" customHeight="1" x14ac:dyDescent="0.3">
      <c r="A106" s="4" t="s">
        <v>951</v>
      </c>
      <c r="B106" s="4">
        <v>9</v>
      </c>
      <c r="C106" s="4">
        <v>240</v>
      </c>
      <c r="D106" s="4">
        <v>100</v>
      </c>
      <c r="E106" s="4">
        <v>17641</v>
      </c>
      <c r="H106">
        <v>2940.1666666666665</v>
      </c>
      <c r="I106">
        <v>1.1453800000000001</v>
      </c>
      <c r="J106">
        <v>3.895629499461482E-4</v>
      </c>
      <c r="K106">
        <v>1.947814749730741E-3</v>
      </c>
      <c r="L106">
        <v>7.791258998922964E-3</v>
      </c>
      <c r="M106">
        <v>0.54</v>
      </c>
      <c r="N106">
        <v>0.505</v>
      </c>
      <c r="O106">
        <v>1</v>
      </c>
    </row>
    <row r="107" spans="1:15" ht="13.2" customHeight="1" x14ac:dyDescent="0.3">
      <c r="A107" s="4" t="s">
        <v>910</v>
      </c>
      <c r="B107" s="4">
        <v>100</v>
      </c>
      <c r="C107" s="4">
        <v>240</v>
      </c>
      <c r="D107" s="4">
        <v>1</v>
      </c>
      <c r="E107" s="4">
        <v>17641</v>
      </c>
      <c r="H107">
        <v>2940.1666666666665</v>
      </c>
      <c r="I107">
        <v>1.0993999999999999</v>
      </c>
      <c r="J107">
        <v>3.7392438070404173E-4</v>
      </c>
      <c r="K107">
        <v>1.8696219035202087E-3</v>
      </c>
      <c r="L107">
        <v>7.4784876140808346E-3</v>
      </c>
      <c r="M107">
        <v>0.54</v>
      </c>
      <c r="N107">
        <v>0.52</v>
      </c>
      <c r="O107">
        <v>1</v>
      </c>
    </row>
    <row r="108" spans="1:15" ht="13.2" customHeight="1" x14ac:dyDescent="0.3">
      <c r="A108" s="4" t="s">
        <v>895</v>
      </c>
      <c r="B108" s="4">
        <v>9</v>
      </c>
      <c r="C108" s="4">
        <v>240</v>
      </c>
      <c r="D108" s="4">
        <v>25</v>
      </c>
      <c r="E108" s="4">
        <v>17641</v>
      </c>
      <c r="H108">
        <v>2940.1666666666665</v>
      </c>
      <c r="I108">
        <v>1.08412</v>
      </c>
      <c r="J108">
        <v>3.6872739640609941E-4</v>
      </c>
      <c r="K108">
        <v>1.8436369820304971E-3</v>
      </c>
      <c r="L108">
        <v>7.3745479281219885E-3</v>
      </c>
      <c r="M108">
        <v>0.54</v>
      </c>
      <c r="N108">
        <v>0.51</v>
      </c>
      <c r="O108">
        <v>1</v>
      </c>
    </row>
    <row r="109" spans="1:15" ht="13.2" customHeight="1" x14ac:dyDescent="0.3">
      <c r="A109" s="4" t="s">
        <v>893</v>
      </c>
      <c r="B109" s="4">
        <v>9</v>
      </c>
      <c r="C109" s="4">
        <v>240</v>
      </c>
      <c r="D109" s="4">
        <v>100</v>
      </c>
      <c r="E109" s="4">
        <v>17641</v>
      </c>
      <c r="H109">
        <v>2940.1666666666665</v>
      </c>
      <c r="I109">
        <v>1.07589</v>
      </c>
      <c r="J109">
        <v>3.6592823536080724E-4</v>
      </c>
      <c r="K109">
        <v>1.8296411768040362E-3</v>
      </c>
      <c r="L109">
        <v>7.3185647072161446E-3</v>
      </c>
      <c r="M109">
        <v>0.54</v>
      </c>
      <c r="N109">
        <v>0.51</v>
      </c>
      <c r="O109">
        <v>1</v>
      </c>
    </row>
    <row r="110" spans="1:15" ht="13.2" customHeight="1" x14ac:dyDescent="0.3">
      <c r="A110" s="4" t="s">
        <v>898</v>
      </c>
      <c r="B110" s="4">
        <v>9</v>
      </c>
      <c r="C110" s="4">
        <v>240</v>
      </c>
      <c r="D110" s="4">
        <v>10</v>
      </c>
      <c r="E110" s="4">
        <v>17641</v>
      </c>
      <c r="H110">
        <v>2940.1666666666665</v>
      </c>
      <c r="I110">
        <v>1.0747100000000001</v>
      </c>
      <c r="J110">
        <v>3.6552689756816511E-4</v>
      </c>
      <c r="K110">
        <v>1.8276344878408255E-3</v>
      </c>
      <c r="L110">
        <v>7.3105379513633021E-3</v>
      </c>
      <c r="M110">
        <v>0.54</v>
      </c>
      <c r="N110">
        <v>0.51</v>
      </c>
      <c r="O110">
        <v>1</v>
      </c>
    </row>
    <row r="111" spans="1:15" ht="13.2" customHeight="1" x14ac:dyDescent="0.3">
      <c r="A111" s="4" t="s">
        <v>891</v>
      </c>
      <c r="B111" s="4">
        <v>9</v>
      </c>
      <c r="C111" s="4">
        <v>240</v>
      </c>
      <c r="D111" s="4">
        <v>25</v>
      </c>
      <c r="E111" s="4">
        <v>17641</v>
      </c>
      <c r="H111">
        <v>2940.1666666666665</v>
      </c>
      <c r="I111">
        <v>1.07159</v>
      </c>
      <c r="J111">
        <v>3.6446573323507743E-4</v>
      </c>
      <c r="K111">
        <v>1.8223286661753872E-3</v>
      </c>
      <c r="L111">
        <v>7.2893146647015489E-3</v>
      </c>
      <c r="M111">
        <v>0.54</v>
      </c>
      <c r="N111">
        <v>0.505</v>
      </c>
      <c r="O111">
        <v>1</v>
      </c>
    </row>
    <row r="112" spans="1:15" ht="13.2" customHeight="1" x14ac:dyDescent="0.3">
      <c r="A112" s="4" t="s">
        <v>899</v>
      </c>
      <c r="B112" s="4">
        <v>9</v>
      </c>
      <c r="C112" s="4">
        <v>240</v>
      </c>
      <c r="D112" s="4">
        <v>25</v>
      </c>
      <c r="E112" s="4">
        <v>17641</v>
      </c>
      <c r="H112">
        <v>2940.1666666666665</v>
      </c>
      <c r="I112">
        <v>1.06579</v>
      </c>
      <c r="J112">
        <v>3.6249305594920927E-4</v>
      </c>
      <c r="K112">
        <v>1.8124652797460463E-3</v>
      </c>
      <c r="L112">
        <v>7.2498611189841852E-3</v>
      </c>
      <c r="M112">
        <v>0.54</v>
      </c>
      <c r="N112">
        <v>0.5</v>
      </c>
      <c r="O112">
        <v>1</v>
      </c>
    </row>
    <row r="113" spans="1:15" ht="13.2" customHeight="1" x14ac:dyDescent="0.3">
      <c r="A113" s="4" t="s">
        <v>885</v>
      </c>
      <c r="B113" s="4">
        <v>9</v>
      </c>
      <c r="C113" s="4">
        <v>240</v>
      </c>
      <c r="D113" s="4">
        <v>100</v>
      </c>
      <c r="E113" s="4">
        <v>17641</v>
      </c>
      <c r="H113">
        <v>2940.1666666666665</v>
      </c>
      <c r="I113">
        <v>1.0638000000000001</v>
      </c>
      <c r="J113">
        <v>3.6181622357009245E-4</v>
      </c>
      <c r="K113">
        <v>1.8090811178504622E-3</v>
      </c>
      <c r="L113">
        <v>7.2363244714018487E-3</v>
      </c>
      <c r="M113">
        <v>0.54</v>
      </c>
      <c r="N113">
        <v>0.51</v>
      </c>
      <c r="O113">
        <v>1</v>
      </c>
    </row>
    <row r="114" spans="1:15" ht="13.2" customHeight="1" x14ac:dyDescent="0.3">
      <c r="A114" s="4" t="s">
        <v>947</v>
      </c>
      <c r="B114" s="4">
        <v>9</v>
      </c>
      <c r="C114" s="4">
        <v>240</v>
      </c>
      <c r="D114" s="4">
        <v>100</v>
      </c>
      <c r="E114" s="4">
        <v>17641</v>
      </c>
      <c r="H114">
        <v>2940.1666666666665</v>
      </c>
      <c r="I114">
        <v>1.0434099999999999</v>
      </c>
      <c r="J114">
        <v>3.5488124255994558E-4</v>
      </c>
      <c r="K114">
        <v>1.774406212799728E-3</v>
      </c>
      <c r="L114">
        <v>7.097624851198912E-3</v>
      </c>
      <c r="M114">
        <v>0.54</v>
      </c>
      <c r="N114">
        <v>0.51</v>
      </c>
      <c r="O114">
        <v>1</v>
      </c>
    </row>
    <row r="115" spans="1:15" ht="13.2" customHeight="1" x14ac:dyDescent="0.3">
      <c r="A115" s="4" t="s">
        <v>905</v>
      </c>
      <c r="B115" s="4">
        <v>9</v>
      </c>
      <c r="C115" s="4">
        <v>240</v>
      </c>
      <c r="D115" s="4">
        <v>100</v>
      </c>
      <c r="E115" s="4">
        <v>17641</v>
      </c>
      <c r="H115">
        <v>2940.1666666666665</v>
      </c>
      <c r="I115">
        <v>1.0423199999999999</v>
      </c>
      <c r="J115">
        <v>3.5451051527691173E-4</v>
      </c>
      <c r="K115">
        <v>1.7725525763845587E-3</v>
      </c>
      <c r="L115">
        <v>7.0902103055382349E-3</v>
      </c>
      <c r="M115">
        <v>0.55000000000000004</v>
      </c>
      <c r="N115">
        <v>0.51</v>
      </c>
      <c r="O115">
        <v>1</v>
      </c>
    </row>
    <row r="116" spans="1:15" ht="13.2" customHeight="1" x14ac:dyDescent="0.3">
      <c r="A116" s="4" t="s">
        <v>887</v>
      </c>
      <c r="B116" s="4">
        <v>9</v>
      </c>
      <c r="C116" s="4">
        <v>240</v>
      </c>
      <c r="D116" s="4">
        <v>25</v>
      </c>
      <c r="E116" s="4">
        <v>17641</v>
      </c>
      <c r="H116">
        <v>2940.1666666666665</v>
      </c>
      <c r="I116">
        <v>1.03542</v>
      </c>
      <c r="J116">
        <v>3.521637095402755E-4</v>
      </c>
      <c r="K116">
        <v>1.7608185477013775E-3</v>
      </c>
      <c r="L116">
        <v>7.0432741908055098E-3</v>
      </c>
      <c r="M116">
        <v>0.54</v>
      </c>
      <c r="N116">
        <v>0.51500000000000001</v>
      </c>
      <c r="O116">
        <v>1</v>
      </c>
    </row>
    <row r="117" spans="1:15" ht="13.2" customHeight="1" x14ac:dyDescent="0.3">
      <c r="A117" s="4" t="s">
        <v>916</v>
      </c>
      <c r="B117" s="4">
        <v>9</v>
      </c>
      <c r="C117" s="4">
        <v>240</v>
      </c>
      <c r="D117" s="4">
        <v>25</v>
      </c>
      <c r="E117" s="4">
        <v>17641</v>
      </c>
      <c r="H117">
        <v>2940.1666666666665</v>
      </c>
      <c r="I117">
        <v>1.0215700000000001</v>
      </c>
      <c r="J117">
        <v>3.4745309222833175E-4</v>
      </c>
      <c r="K117">
        <v>1.7372654611416587E-3</v>
      </c>
      <c r="L117">
        <v>6.9490618445666348E-3</v>
      </c>
      <c r="M117">
        <v>0.54</v>
      </c>
      <c r="N117">
        <v>0.51500000000000001</v>
      </c>
      <c r="O117">
        <v>1</v>
      </c>
    </row>
    <row r="118" spans="1:15" ht="13.2" customHeight="1" x14ac:dyDescent="0.3">
      <c r="A118" s="4" t="s">
        <v>957</v>
      </c>
      <c r="B118" s="4">
        <v>9</v>
      </c>
      <c r="C118" s="4">
        <v>240</v>
      </c>
      <c r="D118" s="4">
        <v>25</v>
      </c>
      <c r="E118" s="4">
        <v>17641</v>
      </c>
      <c r="H118">
        <v>2940.1666666666665</v>
      </c>
      <c r="I118">
        <v>1.0113799999999999</v>
      </c>
      <c r="J118">
        <v>3.4398730230712543E-4</v>
      </c>
      <c r="K118">
        <v>1.7199365115356273E-3</v>
      </c>
      <c r="L118">
        <v>6.879746046142509E-3</v>
      </c>
      <c r="M118">
        <v>0.54</v>
      </c>
      <c r="N118">
        <v>0.505</v>
      </c>
      <c r="O118">
        <v>1</v>
      </c>
    </row>
    <row r="119" spans="1:15" ht="13.2" customHeight="1" x14ac:dyDescent="0.3">
      <c r="A119" s="4" t="s">
        <v>900</v>
      </c>
      <c r="B119" s="4">
        <v>9</v>
      </c>
      <c r="C119" s="4">
        <v>240</v>
      </c>
      <c r="D119" s="4">
        <v>50</v>
      </c>
      <c r="E119" s="4">
        <v>17641</v>
      </c>
      <c r="H119">
        <v>2940.1666666666665</v>
      </c>
      <c r="I119">
        <v>0.99538000000000004</v>
      </c>
      <c r="J119">
        <v>3.3854543393231677E-4</v>
      </c>
      <c r="K119">
        <v>1.6927271696615838E-3</v>
      </c>
      <c r="L119">
        <v>6.7709086786463353E-3</v>
      </c>
      <c r="M119">
        <v>0.54</v>
      </c>
      <c r="N119">
        <v>0.51</v>
      </c>
      <c r="O119">
        <v>1</v>
      </c>
    </row>
    <row r="120" spans="1:15" ht="13.2" customHeight="1" x14ac:dyDescent="0.3">
      <c r="A120" s="4" t="s">
        <v>901</v>
      </c>
      <c r="B120" s="4">
        <v>9</v>
      </c>
      <c r="C120" s="4">
        <v>240</v>
      </c>
      <c r="D120" s="4">
        <v>100</v>
      </c>
      <c r="E120" s="4">
        <v>17641</v>
      </c>
      <c r="H120">
        <v>2940.1666666666665</v>
      </c>
      <c r="I120">
        <v>0.98963999999999996</v>
      </c>
      <c r="J120">
        <v>3.3659316365285417E-4</v>
      </c>
      <c r="K120">
        <v>1.6829658182642708E-3</v>
      </c>
      <c r="L120">
        <v>6.7318632730570833E-3</v>
      </c>
      <c r="M120">
        <v>0.54</v>
      </c>
      <c r="N120">
        <v>0.5</v>
      </c>
      <c r="O120">
        <v>1</v>
      </c>
    </row>
    <row r="121" spans="1:15" ht="13.2" hidden="1" customHeight="1" x14ac:dyDescent="0.3">
      <c r="A121" s="4" t="s">
        <v>999</v>
      </c>
      <c r="B121" s="4">
        <v>100</v>
      </c>
      <c r="C121" s="4">
        <v>240</v>
      </c>
      <c r="D121" s="4">
        <v>100</v>
      </c>
      <c r="E121" s="4">
        <v>9900</v>
      </c>
      <c r="H121">
        <v>1650</v>
      </c>
      <c r="I121">
        <v>0.10050000000000001</v>
      </c>
      <c r="J121">
        <v>6.0909090909090913E-5</v>
      </c>
      <c r="K121">
        <v>3.0454545454545459E-4</v>
      </c>
      <c r="L121">
        <v>1.2181818181818183E-3</v>
      </c>
      <c r="M121">
        <v>0.55000000000000004</v>
      </c>
      <c r="N121">
        <v>0.52</v>
      </c>
      <c r="O121">
        <v>1</v>
      </c>
    </row>
    <row r="122" spans="1:15" ht="13.2" hidden="1" customHeight="1" x14ac:dyDescent="0.3">
      <c r="A122" s="4" t="s">
        <v>998</v>
      </c>
      <c r="B122" s="4">
        <v>100</v>
      </c>
      <c r="C122" s="4">
        <v>240</v>
      </c>
      <c r="D122" s="4">
        <v>100</v>
      </c>
      <c r="E122" s="4">
        <v>9900</v>
      </c>
      <c r="H122">
        <v>1650</v>
      </c>
      <c r="I122">
        <v>5.5570000000000001E-2</v>
      </c>
      <c r="J122">
        <v>3.3678787878787878E-5</v>
      </c>
      <c r="K122">
        <v>1.683939393939394E-4</v>
      </c>
      <c r="L122">
        <v>6.7357575757575759E-4</v>
      </c>
      <c r="M122">
        <v>0.64</v>
      </c>
      <c r="N122">
        <v>0.51500000000000001</v>
      </c>
      <c r="O122">
        <v>1</v>
      </c>
    </row>
  </sheetData>
  <autoFilter ref="H1:H122">
    <filterColumn colId="0">
      <filters>
        <filter val="2940.166667"/>
      </filters>
    </filterColumn>
  </autoFilter>
  <sortState ref="A2:O122">
    <sortCondition descending="1" ref="J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10"/>
  <sheetViews>
    <sheetView view="pageBreakPreview" zoomScale="60" zoomScaleNormal="100" workbookViewId="0">
      <selection activeCell="K80" sqref="K2:K80"/>
    </sheetView>
  </sheetViews>
  <sheetFormatPr defaultRowHeight="14.4" x14ac:dyDescent="0.3"/>
  <cols>
    <col min="1" max="1" width="57.5546875" customWidth="1"/>
    <col min="2" max="2" width="12.77734375" customWidth="1"/>
    <col min="5" max="5" width="19.21875" customWidth="1"/>
    <col min="11" max="11" width="42.88671875" customWidth="1"/>
  </cols>
  <sheetData>
    <row r="1" spans="1:11" x14ac:dyDescent="0.3">
      <c r="A1" s="2" t="s">
        <v>1</v>
      </c>
      <c r="B1" s="1" t="s">
        <v>0</v>
      </c>
      <c r="K1" s="1" t="s">
        <v>881</v>
      </c>
    </row>
    <row r="2" spans="1:11" x14ac:dyDescent="0.3">
      <c r="A2" t="s">
        <v>2</v>
      </c>
      <c r="E2" s="3" t="s">
        <v>971</v>
      </c>
      <c r="K2" t="s">
        <v>960</v>
      </c>
    </row>
    <row r="3" spans="1:11" x14ac:dyDescent="0.3">
      <c r="A3" t="s">
        <v>3</v>
      </c>
      <c r="E3" s="3" t="s">
        <v>972</v>
      </c>
      <c r="K3" t="s">
        <v>961</v>
      </c>
    </row>
    <row r="4" spans="1:11" x14ac:dyDescent="0.3">
      <c r="A4" t="s">
        <v>4</v>
      </c>
      <c r="E4" s="3" t="s">
        <v>973</v>
      </c>
      <c r="K4" t="s">
        <v>962</v>
      </c>
    </row>
    <row r="5" spans="1:11" x14ac:dyDescent="0.3">
      <c r="A5" t="s">
        <v>5</v>
      </c>
      <c r="E5" s="3" t="s">
        <v>974</v>
      </c>
      <c r="K5" t="s">
        <v>963</v>
      </c>
    </row>
    <row r="6" spans="1:11" x14ac:dyDescent="0.3">
      <c r="A6" t="s">
        <v>6</v>
      </c>
      <c r="E6" s="3" t="s">
        <v>975</v>
      </c>
      <c r="K6" t="s">
        <v>964</v>
      </c>
    </row>
    <row r="7" spans="1:11" x14ac:dyDescent="0.3">
      <c r="A7" t="s">
        <v>7</v>
      </c>
      <c r="E7" s="3" t="s">
        <v>976</v>
      </c>
      <c r="K7" t="s">
        <v>965</v>
      </c>
    </row>
    <row r="8" spans="1:11" x14ac:dyDescent="0.3">
      <c r="A8" t="s">
        <v>8</v>
      </c>
      <c r="E8" s="3" t="s">
        <v>977</v>
      </c>
      <c r="K8" t="s">
        <v>966</v>
      </c>
    </row>
    <row r="9" spans="1:11" x14ac:dyDescent="0.3">
      <c r="A9" t="s">
        <v>9</v>
      </c>
      <c r="E9" s="3" t="s">
        <v>978</v>
      </c>
      <c r="K9" t="s">
        <v>967</v>
      </c>
    </row>
    <row r="10" spans="1:11" x14ac:dyDescent="0.3">
      <c r="A10" t="s">
        <v>10</v>
      </c>
      <c r="E10" s="3" t="s">
        <v>979</v>
      </c>
      <c r="K10" t="s">
        <v>968</v>
      </c>
    </row>
    <row r="11" spans="1:11" x14ac:dyDescent="0.3">
      <c r="A11" t="s">
        <v>11</v>
      </c>
      <c r="E11" s="3" t="s">
        <v>980</v>
      </c>
      <c r="K11" t="s">
        <v>969</v>
      </c>
    </row>
    <row r="12" spans="1:11" x14ac:dyDescent="0.3">
      <c r="A12" t="s">
        <v>12</v>
      </c>
      <c r="B12">
        <v>0</v>
      </c>
      <c r="E12" s="3" t="s">
        <v>981</v>
      </c>
      <c r="K12" t="s">
        <v>970</v>
      </c>
    </row>
    <row r="13" spans="1:11" x14ac:dyDescent="0.3">
      <c r="A13" t="s">
        <v>13</v>
      </c>
      <c r="B13">
        <v>18.008999999999801</v>
      </c>
      <c r="E13" s="3" t="s">
        <v>982</v>
      </c>
      <c r="K13" t="s">
        <v>893</v>
      </c>
    </row>
    <row r="14" spans="1:11" x14ac:dyDescent="0.3">
      <c r="A14" t="s">
        <v>14</v>
      </c>
      <c r="E14" s="3" t="s">
        <v>983</v>
      </c>
      <c r="K14" t="s">
        <v>894</v>
      </c>
    </row>
    <row r="15" spans="1:11" x14ac:dyDescent="0.3">
      <c r="A15" t="s">
        <v>15</v>
      </c>
      <c r="E15" s="3" t="s">
        <v>984</v>
      </c>
      <c r="K15" t="s">
        <v>895</v>
      </c>
    </row>
    <row r="16" spans="1:11" x14ac:dyDescent="0.3">
      <c r="A16" t="s">
        <v>16</v>
      </c>
      <c r="E16" s="3" t="s">
        <v>985</v>
      </c>
      <c r="K16" t="s">
        <v>896</v>
      </c>
    </row>
    <row r="17" spans="1:11" x14ac:dyDescent="0.3">
      <c r="A17" t="s">
        <v>17</v>
      </c>
      <c r="E17" s="3" t="s">
        <v>986</v>
      </c>
      <c r="K17" t="s">
        <v>897</v>
      </c>
    </row>
    <row r="18" spans="1:11" x14ac:dyDescent="0.3">
      <c r="A18" t="s">
        <v>18</v>
      </c>
      <c r="E18" s="3" t="s">
        <v>987</v>
      </c>
      <c r="K18" t="s">
        <v>898</v>
      </c>
    </row>
    <row r="19" spans="1:11" x14ac:dyDescent="0.3">
      <c r="A19" t="s">
        <v>19</v>
      </c>
      <c r="E19" s="3" t="s">
        <v>988</v>
      </c>
      <c r="K19" t="s">
        <v>899</v>
      </c>
    </row>
    <row r="20" spans="1:11" x14ac:dyDescent="0.3">
      <c r="A20" t="s">
        <v>20</v>
      </c>
      <c r="B20">
        <v>0.44160999999999501</v>
      </c>
      <c r="E20" s="3" t="s">
        <v>989</v>
      </c>
      <c r="K20" t="s">
        <v>900</v>
      </c>
    </row>
    <row r="21" spans="1:11" x14ac:dyDescent="0.3">
      <c r="A21" t="s">
        <v>21</v>
      </c>
      <c r="E21" s="3" t="s">
        <v>990</v>
      </c>
      <c r="K21" t="s">
        <v>901</v>
      </c>
    </row>
    <row r="22" spans="1:11" x14ac:dyDescent="0.3">
      <c r="A22" t="s">
        <v>22</v>
      </c>
      <c r="E22" s="3" t="s">
        <v>991</v>
      </c>
      <c r="K22" t="s">
        <v>902</v>
      </c>
    </row>
    <row r="23" spans="1:11" x14ac:dyDescent="0.3">
      <c r="A23" t="s">
        <v>23</v>
      </c>
      <c r="E23" s="3" t="s">
        <v>992</v>
      </c>
      <c r="K23" t="s">
        <v>903</v>
      </c>
    </row>
    <row r="24" spans="1:11" x14ac:dyDescent="0.3">
      <c r="A24" t="s">
        <v>24</v>
      </c>
      <c r="E24" s="3" t="s">
        <v>993</v>
      </c>
      <c r="K24" t="s">
        <v>904</v>
      </c>
    </row>
    <row r="25" spans="1:11" x14ac:dyDescent="0.3">
      <c r="A25" t="s">
        <v>25</v>
      </c>
      <c r="E25" s="3" t="s">
        <v>994</v>
      </c>
      <c r="K25" t="s">
        <v>905</v>
      </c>
    </row>
    <row r="26" spans="1:11" x14ac:dyDescent="0.3">
      <c r="A26" t="s">
        <v>26</v>
      </c>
      <c r="E26" s="3" t="s">
        <v>995</v>
      </c>
      <c r="K26" t="s">
        <v>906</v>
      </c>
    </row>
    <row r="27" spans="1:11" x14ac:dyDescent="0.3">
      <c r="A27" t="s">
        <v>27</v>
      </c>
      <c r="E27" s="3" t="s">
        <v>996</v>
      </c>
      <c r="K27" t="s">
        <v>907</v>
      </c>
    </row>
    <row r="28" spans="1:11" x14ac:dyDescent="0.3">
      <c r="A28" t="s">
        <v>28</v>
      </c>
      <c r="E28" s="3" t="s">
        <v>997</v>
      </c>
      <c r="K28" t="s">
        <v>908</v>
      </c>
    </row>
    <row r="29" spans="1:11" x14ac:dyDescent="0.3">
      <c r="A29" t="s">
        <v>29</v>
      </c>
      <c r="E29" s="3" t="s">
        <v>998</v>
      </c>
      <c r="K29" t="s">
        <v>909</v>
      </c>
    </row>
    <row r="30" spans="1:11" x14ac:dyDescent="0.3">
      <c r="A30" t="s">
        <v>30</v>
      </c>
      <c r="E30" s="3" t="s">
        <v>999</v>
      </c>
      <c r="K30" t="s">
        <v>910</v>
      </c>
    </row>
    <row r="31" spans="1:11" x14ac:dyDescent="0.3">
      <c r="A31" t="s">
        <v>31</v>
      </c>
      <c r="E31" s="3" t="s">
        <v>1000</v>
      </c>
      <c r="K31" t="s">
        <v>911</v>
      </c>
    </row>
    <row r="32" spans="1:11" x14ac:dyDescent="0.3">
      <c r="A32" t="s">
        <v>32</v>
      </c>
      <c r="E32" s="3" t="s">
        <v>1001</v>
      </c>
      <c r="K32" t="s">
        <v>912</v>
      </c>
    </row>
    <row r="33" spans="1:11" x14ac:dyDescent="0.3">
      <c r="A33" t="s">
        <v>33</v>
      </c>
      <c r="E33" s="3" t="s">
        <v>1002</v>
      </c>
      <c r="K33" t="s">
        <v>913</v>
      </c>
    </row>
    <row r="34" spans="1:11" x14ac:dyDescent="0.3">
      <c r="A34" t="s">
        <v>34</v>
      </c>
      <c r="E34" s="3" t="s">
        <v>1003</v>
      </c>
      <c r="K34" t="s">
        <v>914</v>
      </c>
    </row>
    <row r="35" spans="1:11" x14ac:dyDescent="0.3">
      <c r="A35" t="s">
        <v>35</v>
      </c>
      <c r="K35" t="s">
        <v>915</v>
      </c>
    </row>
    <row r="36" spans="1:11" x14ac:dyDescent="0.3">
      <c r="A36" t="s">
        <v>36</v>
      </c>
      <c r="K36" t="s">
        <v>916</v>
      </c>
    </row>
    <row r="37" spans="1:11" x14ac:dyDescent="0.3">
      <c r="A37" t="s">
        <v>37</v>
      </c>
      <c r="K37" t="s">
        <v>917</v>
      </c>
    </row>
    <row r="38" spans="1:11" x14ac:dyDescent="0.3">
      <c r="A38" t="s">
        <v>38</v>
      </c>
      <c r="K38" t="s">
        <v>918</v>
      </c>
    </row>
    <row r="39" spans="1:11" x14ac:dyDescent="0.3">
      <c r="A39" t="s">
        <v>39</v>
      </c>
      <c r="K39" t="s">
        <v>919</v>
      </c>
    </row>
    <row r="40" spans="1:11" x14ac:dyDescent="0.3">
      <c r="A40" t="s">
        <v>40</v>
      </c>
      <c r="K40" t="s">
        <v>920</v>
      </c>
    </row>
    <row r="41" spans="1:11" x14ac:dyDescent="0.3">
      <c r="A41" t="s">
        <v>41</v>
      </c>
      <c r="K41" t="s">
        <v>921</v>
      </c>
    </row>
    <row r="42" spans="1:11" x14ac:dyDescent="0.3">
      <c r="A42" t="s">
        <v>42</v>
      </c>
      <c r="K42" t="s">
        <v>922</v>
      </c>
    </row>
    <row r="43" spans="1:11" x14ac:dyDescent="0.3">
      <c r="A43" t="s">
        <v>43</v>
      </c>
      <c r="K43" t="s">
        <v>923</v>
      </c>
    </row>
    <row r="44" spans="1:11" x14ac:dyDescent="0.3">
      <c r="A44" t="s">
        <v>44</v>
      </c>
      <c r="K44" t="s">
        <v>924</v>
      </c>
    </row>
    <row r="45" spans="1:11" x14ac:dyDescent="0.3">
      <c r="A45" t="s">
        <v>45</v>
      </c>
      <c r="K45" t="s">
        <v>925</v>
      </c>
    </row>
    <row r="46" spans="1:11" x14ac:dyDescent="0.3">
      <c r="A46" t="s">
        <v>46</v>
      </c>
      <c r="K46" t="s">
        <v>926</v>
      </c>
    </row>
    <row r="47" spans="1:11" x14ac:dyDescent="0.3">
      <c r="A47" t="s">
        <v>47</v>
      </c>
      <c r="K47" t="s">
        <v>927</v>
      </c>
    </row>
    <row r="48" spans="1:11" x14ac:dyDescent="0.3">
      <c r="A48" t="s">
        <v>48</v>
      </c>
      <c r="K48" t="s">
        <v>928</v>
      </c>
    </row>
    <row r="49" spans="1:11" x14ac:dyDescent="0.3">
      <c r="A49" t="s">
        <v>49</v>
      </c>
      <c r="K49" t="s">
        <v>929</v>
      </c>
    </row>
    <row r="50" spans="1:11" x14ac:dyDescent="0.3">
      <c r="A50" t="s">
        <v>50</v>
      </c>
      <c r="K50" t="s">
        <v>930</v>
      </c>
    </row>
    <row r="51" spans="1:11" x14ac:dyDescent="0.3">
      <c r="A51" t="s">
        <v>51</v>
      </c>
      <c r="K51" t="s">
        <v>931</v>
      </c>
    </row>
    <row r="52" spans="1:11" x14ac:dyDescent="0.3">
      <c r="A52" t="s">
        <v>52</v>
      </c>
      <c r="K52" t="s">
        <v>932</v>
      </c>
    </row>
    <row r="53" spans="1:11" x14ac:dyDescent="0.3">
      <c r="A53" t="s">
        <v>53</v>
      </c>
      <c r="K53" t="s">
        <v>933</v>
      </c>
    </row>
    <row r="54" spans="1:11" x14ac:dyDescent="0.3">
      <c r="A54" t="s">
        <v>54</v>
      </c>
      <c r="K54" t="s">
        <v>934</v>
      </c>
    </row>
    <row r="55" spans="1:11" x14ac:dyDescent="0.3">
      <c r="A55" t="s">
        <v>55</v>
      </c>
      <c r="K55" t="s">
        <v>935</v>
      </c>
    </row>
    <row r="56" spans="1:11" x14ac:dyDescent="0.3">
      <c r="A56" t="s">
        <v>56</v>
      </c>
      <c r="K56" t="s">
        <v>936</v>
      </c>
    </row>
    <row r="57" spans="1:11" x14ac:dyDescent="0.3">
      <c r="A57" t="s">
        <v>57</v>
      </c>
      <c r="K57" t="s">
        <v>937</v>
      </c>
    </row>
    <row r="58" spans="1:11" x14ac:dyDescent="0.3">
      <c r="A58" t="s">
        <v>58</v>
      </c>
      <c r="K58" t="s">
        <v>938</v>
      </c>
    </row>
    <row r="59" spans="1:11" x14ac:dyDescent="0.3">
      <c r="A59" t="s">
        <v>59</v>
      </c>
      <c r="K59" t="s">
        <v>939</v>
      </c>
    </row>
    <row r="60" spans="1:11" x14ac:dyDescent="0.3">
      <c r="A60" t="s">
        <v>60</v>
      </c>
      <c r="K60" t="s">
        <v>940</v>
      </c>
    </row>
    <row r="61" spans="1:11" x14ac:dyDescent="0.3">
      <c r="A61" t="s">
        <v>61</v>
      </c>
      <c r="K61" t="s">
        <v>941</v>
      </c>
    </row>
    <row r="62" spans="1:11" x14ac:dyDescent="0.3">
      <c r="A62" t="s">
        <v>62</v>
      </c>
      <c r="K62" t="s">
        <v>942</v>
      </c>
    </row>
    <row r="63" spans="1:11" x14ac:dyDescent="0.3">
      <c r="A63" t="s">
        <v>63</v>
      </c>
      <c r="K63" t="s">
        <v>943</v>
      </c>
    </row>
    <row r="64" spans="1:11" x14ac:dyDescent="0.3">
      <c r="A64" t="s">
        <v>64</v>
      </c>
      <c r="K64" t="s">
        <v>944</v>
      </c>
    </row>
    <row r="65" spans="1:11" x14ac:dyDescent="0.3">
      <c r="A65" t="s">
        <v>65</v>
      </c>
      <c r="K65" t="s">
        <v>945</v>
      </c>
    </row>
    <row r="66" spans="1:11" x14ac:dyDescent="0.3">
      <c r="A66" t="s">
        <v>66</v>
      </c>
      <c r="K66" t="s">
        <v>946</v>
      </c>
    </row>
    <row r="67" spans="1:11" x14ac:dyDescent="0.3">
      <c r="A67" t="s">
        <v>67</v>
      </c>
      <c r="K67" t="s">
        <v>947</v>
      </c>
    </row>
    <row r="68" spans="1:11" x14ac:dyDescent="0.3">
      <c r="A68" t="s">
        <v>68</v>
      </c>
      <c r="K68" t="s">
        <v>948</v>
      </c>
    </row>
    <row r="69" spans="1:11" x14ac:dyDescent="0.3">
      <c r="A69" t="s">
        <v>69</v>
      </c>
      <c r="K69" t="s">
        <v>949</v>
      </c>
    </row>
    <row r="70" spans="1:11" x14ac:dyDescent="0.3">
      <c r="A70" t="s">
        <v>70</v>
      </c>
      <c r="K70" t="s">
        <v>950</v>
      </c>
    </row>
    <row r="71" spans="1:11" x14ac:dyDescent="0.3">
      <c r="A71" t="s">
        <v>71</v>
      </c>
      <c r="K71" t="s">
        <v>951</v>
      </c>
    </row>
    <row r="72" spans="1:11" x14ac:dyDescent="0.3">
      <c r="A72" t="s">
        <v>72</v>
      </c>
      <c r="K72" t="s">
        <v>952</v>
      </c>
    </row>
    <row r="73" spans="1:11" x14ac:dyDescent="0.3">
      <c r="A73" t="s">
        <v>73</v>
      </c>
      <c r="K73" t="s">
        <v>953</v>
      </c>
    </row>
    <row r="74" spans="1:11" x14ac:dyDescent="0.3">
      <c r="A74" t="s">
        <v>74</v>
      </c>
      <c r="K74" t="s">
        <v>954</v>
      </c>
    </row>
    <row r="75" spans="1:11" x14ac:dyDescent="0.3">
      <c r="A75" t="s">
        <v>75</v>
      </c>
      <c r="K75" t="s">
        <v>955</v>
      </c>
    </row>
    <row r="76" spans="1:11" x14ac:dyDescent="0.3">
      <c r="A76" t="s">
        <v>76</v>
      </c>
      <c r="K76" t="s">
        <v>956</v>
      </c>
    </row>
    <row r="77" spans="1:11" x14ac:dyDescent="0.3">
      <c r="A77" t="s">
        <v>77</v>
      </c>
      <c r="K77" t="s">
        <v>957</v>
      </c>
    </row>
    <row r="78" spans="1:11" x14ac:dyDescent="0.3">
      <c r="A78" t="s">
        <v>78</v>
      </c>
      <c r="K78" t="s">
        <v>958</v>
      </c>
    </row>
    <row r="79" spans="1:11" x14ac:dyDescent="0.3">
      <c r="A79" t="s">
        <v>79</v>
      </c>
      <c r="K79" t="s">
        <v>959</v>
      </c>
    </row>
    <row r="80" spans="1:11" x14ac:dyDescent="0.3">
      <c r="A80" t="s">
        <v>80</v>
      </c>
      <c r="K80" s="3" t="s">
        <v>971</v>
      </c>
    </row>
    <row r="81" spans="1:11" x14ac:dyDescent="0.3">
      <c r="A81" t="s">
        <v>81</v>
      </c>
      <c r="K81" s="3" t="s">
        <v>972</v>
      </c>
    </row>
    <row r="82" spans="1:11" x14ac:dyDescent="0.3">
      <c r="A82" t="s">
        <v>82</v>
      </c>
      <c r="K82" s="3" t="s">
        <v>973</v>
      </c>
    </row>
    <row r="83" spans="1:11" x14ac:dyDescent="0.3">
      <c r="A83" t="s">
        <v>83</v>
      </c>
      <c r="K83" s="3" t="s">
        <v>974</v>
      </c>
    </row>
    <row r="84" spans="1:11" x14ac:dyDescent="0.3">
      <c r="A84" t="s">
        <v>84</v>
      </c>
      <c r="K84" s="3" t="s">
        <v>975</v>
      </c>
    </row>
    <row r="85" spans="1:11" x14ac:dyDescent="0.3">
      <c r="A85" t="s">
        <v>85</v>
      </c>
      <c r="K85" s="3" t="s">
        <v>976</v>
      </c>
    </row>
    <row r="86" spans="1:11" x14ac:dyDescent="0.3">
      <c r="A86" t="s">
        <v>86</v>
      </c>
      <c r="K86" s="3" t="s">
        <v>977</v>
      </c>
    </row>
    <row r="87" spans="1:11" x14ac:dyDescent="0.3">
      <c r="A87" t="s">
        <v>87</v>
      </c>
      <c r="K87" s="3" t="s">
        <v>978</v>
      </c>
    </row>
    <row r="88" spans="1:11" x14ac:dyDescent="0.3">
      <c r="A88" t="s">
        <v>88</v>
      </c>
      <c r="K88" s="3" t="s">
        <v>979</v>
      </c>
    </row>
    <row r="89" spans="1:11" x14ac:dyDescent="0.3">
      <c r="A89" t="s">
        <v>89</v>
      </c>
      <c r="K89" s="3" t="s">
        <v>980</v>
      </c>
    </row>
    <row r="90" spans="1:11" x14ac:dyDescent="0.3">
      <c r="A90" t="s">
        <v>90</v>
      </c>
      <c r="K90" s="3" t="s">
        <v>981</v>
      </c>
    </row>
    <row r="91" spans="1:11" x14ac:dyDescent="0.3">
      <c r="A91" t="s">
        <v>91</v>
      </c>
      <c r="K91" s="3" t="s">
        <v>982</v>
      </c>
    </row>
    <row r="92" spans="1:11" x14ac:dyDescent="0.3">
      <c r="A92" t="s">
        <v>92</v>
      </c>
      <c r="K92" s="3" t="s">
        <v>983</v>
      </c>
    </row>
    <row r="93" spans="1:11" x14ac:dyDescent="0.3">
      <c r="A93" t="s">
        <v>93</v>
      </c>
      <c r="K93" s="3" t="s">
        <v>984</v>
      </c>
    </row>
    <row r="94" spans="1:11" x14ac:dyDescent="0.3">
      <c r="A94" t="s">
        <v>94</v>
      </c>
      <c r="K94" s="3" t="s">
        <v>985</v>
      </c>
    </row>
    <row r="95" spans="1:11" x14ac:dyDescent="0.3">
      <c r="A95" t="s">
        <v>95</v>
      </c>
      <c r="K95" s="3" t="s">
        <v>986</v>
      </c>
    </row>
    <row r="96" spans="1:11" x14ac:dyDescent="0.3">
      <c r="A96" t="s">
        <v>96</v>
      </c>
      <c r="K96" s="3" t="s">
        <v>987</v>
      </c>
    </row>
    <row r="97" spans="1:11" x14ac:dyDescent="0.3">
      <c r="A97" t="s">
        <v>97</v>
      </c>
      <c r="K97" s="3" t="s">
        <v>988</v>
      </c>
    </row>
    <row r="98" spans="1:11" x14ac:dyDescent="0.3">
      <c r="A98" t="s">
        <v>98</v>
      </c>
      <c r="K98" s="3" t="s">
        <v>989</v>
      </c>
    </row>
    <row r="99" spans="1:11" x14ac:dyDescent="0.3">
      <c r="A99" t="s">
        <v>99</v>
      </c>
      <c r="K99" s="3" t="s">
        <v>990</v>
      </c>
    </row>
    <row r="100" spans="1:11" x14ac:dyDescent="0.3">
      <c r="A100" t="s">
        <v>100</v>
      </c>
      <c r="K100" s="3" t="s">
        <v>991</v>
      </c>
    </row>
    <row r="101" spans="1:11" x14ac:dyDescent="0.3">
      <c r="A101" t="s">
        <v>101</v>
      </c>
      <c r="K101" s="3" t="s">
        <v>992</v>
      </c>
    </row>
    <row r="102" spans="1:11" x14ac:dyDescent="0.3">
      <c r="A102" t="s">
        <v>102</v>
      </c>
      <c r="K102" s="3" t="s">
        <v>993</v>
      </c>
    </row>
    <row r="103" spans="1:11" x14ac:dyDescent="0.3">
      <c r="A103" t="s">
        <v>103</v>
      </c>
      <c r="K103" s="3" t="s">
        <v>994</v>
      </c>
    </row>
    <row r="104" spans="1:11" x14ac:dyDescent="0.3">
      <c r="A104" t="s">
        <v>104</v>
      </c>
      <c r="K104" s="3" t="s">
        <v>995</v>
      </c>
    </row>
    <row r="105" spans="1:11" x14ac:dyDescent="0.3">
      <c r="A105" t="s">
        <v>105</v>
      </c>
      <c r="K105" s="3" t="s">
        <v>996</v>
      </c>
    </row>
    <row r="106" spans="1:11" x14ac:dyDescent="0.3">
      <c r="A106" t="s">
        <v>106</v>
      </c>
      <c r="K106" s="3" t="s">
        <v>997</v>
      </c>
    </row>
    <row r="107" spans="1:11" x14ac:dyDescent="0.3">
      <c r="A107" t="s">
        <v>107</v>
      </c>
      <c r="K107" s="3" t="s">
        <v>998</v>
      </c>
    </row>
    <row r="108" spans="1:11" x14ac:dyDescent="0.3">
      <c r="A108" t="s">
        <v>108</v>
      </c>
      <c r="K108" s="3" t="s">
        <v>999</v>
      </c>
    </row>
    <row r="109" spans="1:11" x14ac:dyDescent="0.3">
      <c r="A109" t="s">
        <v>109</v>
      </c>
      <c r="K109" s="3" t="s">
        <v>1000</v>
      </c>
    </row>
    <row r="110" spans="1:11" x14ac:dyDescent="0.3">
      <c r="A110" t="s">
        <v>110</v>
      </c>
      <c r="K110" s="3" t="s">
        <v>1001</v>
      </c>
    </row>
    <row r="111" spans="1:11" x14ac:dyDescent="0.3">
      <c r="A111" t="s">
        <v>111</v>
      </c>
      <c r="K111" s="3" t="s">
        <v>1002</v>
      </c>
    </row>
    <row r="112" spans="1:11" x14ac:dyDescent="0.3">
      <c r="A112" t="s">
        <v>112</v>
      </c>
      <c r="K112" s="3" t="s">
        <v>1003</v>
      </c>
    </row>
    <row r="113" spans="1:1" x14ac:dyDescent="0.3">
      <c r="A113" t="s">
        <v>113</v>
      </c>
    </row>
    <row r="114" spans="1:1" x14ac:dyDescent="0.3">
      <c r="A114" t="s">
        <v>114</v>
      </c>
    </row>
    <row r="115" spans="1:1" x14ac:dyDescent="0.3">
      <c r="A115" t="s">
        <v>115</v>
      </c>
    </row>
    <row r="116" spans="1:1" x14ac:dyDescent="0.3">
      <c r="A116" t="s">
        <v>116</v>
      </c>
    </row>
    <row r="117" spans="1:1" x14ac:dyDescent="0.3">
      <c r="A117" t="s">
        <v>117</v>
      </c>
    </row>
    <row r="118" spans="1:1" x14ac:dyDescent="0.3">
      <c r="A118" t="s">
        <v>118</v>
      </c>
    </row>
    <row r="119" spans="1:1" x14ac:dyDescent="0.3">
      <c r="A119" t="s">
        <v>119</v>
      </c>
    </row>
    <row r="120" spans="1:1" x14ac:dyDescent="0.3">
      <c r="A120" t="s">
        <v>120</v>
      </c>
    </row>
    <row r="121" spans="1:1" x14ac:dyDescent="0.3">
      <c r="A121" t="s">
        <v>121</v>
      </c>
    </row>
    <row r="122" spans="1:1" x14ac:dyDescent="0.3">
      <c r="A122" t="s">
        <v>122</v>
      </c>
    </row>
    <row r="123" spans="1:1" x14ac:dyDescent="0.3">
      <c r="A123" t="s">
        <v>123</v>
      </c>
    </row>
    <row r="124" spans="1:1" x14ac:dyDescent="0.3">
      <c r="A124" t="s">
        <v>124</v>
      </c>
    </row>
    <row r="125" spans="1:1" x14ac:dyDescent="0.3">
      <c r="A125" t="s">
        <v>125</v>
      </c>
    </row>
    <row r="126" spans="1:1" x14ac:dyDescent="0.3">
      <c r="A126" t="s">
        <v>126</v>
      </c>
    </row>
    <row r="127" spans="1:1" x14ac:dyDescent="0.3">
      <c r="A127" t="s">
        <v>127</v>
      </c>
    </row>
    <row r="128" spans="1:1" x14ac:dyDescent="0.3">
      <c r="A128" t="s">
        <v>128</v>
      </c>
    </row>
    <row r="129" spans="1:1" x14ac:dyDescent="0.3">
      <c r="A129" t="s">
        <v>129</v>
      </c>
    </row>
    <row r="130" spans="1:1" x14ac:dyDescent="0.3">
      <c r="A130" t="s">
        <v>130</v>
      </c>
    </row>
    <row r="131" spans="1:1" x14ac:dyDescent="0.3">
      <c r="A131" t="s">
        <v>131</v>
      </c>
    </row>
    <row r="132" spans="1:1" x14ac:dyDescent="0.3">
      <c r="A132" t="s">
        <v>132</v>
      </c>
    </row>
    <row r="133" spans="1:1" x14ac:dyDescent="0.3">
      <c r="A133" t="s">
        <v>133</v>
      </c>
    </row>
    <row r="134" spans="1:1" x14ac:dyDescent="0.3">
      <c r="A134" t="s">
        <v>134</v>
      </c>
    </row>
    <row r="135" spans="1:1" x14ac:dyDescent="0.3">
      <c r="A135" t="s">
        <v>135</v>
      </c>
    </row>
    <row r="136" spans="1:1" x14ac:dyDescent="0.3">
      <c r="A136" t="s">
        <v>136</v>
      </c>
    </row>
    <row r="137" spans="1:1" x14ac:dyDescent="0.3">
      <c r="A137" t="s">
        <v>137</v>
      </c>
    </row>
    <row r="138" spans="1:1" x14ac:dyDescent="0.3">
      <c r="A138" t="s">
        <v>138</v>
      </c>
    </row>
    <row r="139" spans="1:1" x14ac:dyDescent="0.3">
      <c r="A139" t="s">
        <v>139</v>
      </c>
    </row>
    <row r="140" spans="1:1" x14ac:dyDescent="0.3">
      <c r="A140" t="s">
        <v>140</v>
      </c>
    </row>
    <row r="141" spans="1:1" x14ac:dyDescent="0.3">
      <c r="A141" t="s">
        <v>141</v>
      </c>
    </row>
    <row r="142" spans="1:1" x14ac:dyDescent="0.3">
      <c r="A142" t="s">
        <v>142</v>
      </c>
    </row>
    <row r="143" spans="1:1" x14ac:dyDescent="0.3">
      <c r="A143" t="s">
        <v>143</v>
      </c>
    </row>
    <row r="144" spans="1:1" x14ac:dyDescent="0.3">
      <c r="A144" t="s">
        <v>144</v>
      </c>
    </row>
    <row r="145" spans="1:1" x14ac:dyDescent="0.3">
      <c r="A145" t="s">
        <v>145</v>
      </c>
    </row>
    <row r="146" spans="1:1" x14ac:dyDescent="0.3">
      <c r="A146" t="s">
        <v>146</v>
      </c>
    </row>
    <row r="147" spans="1:1" x14ac:dyDescent="0.3">
      <c r="A147" t="s">
        <v>147</v>
      </c>
    </row>
    <row r="148" spans="1:1" x14ac:dyDescent="0.3">
      <c r="A148" t="s">
        <v>148</v>
      </c>
    </row>
    <row r="149" spans="1:1" x14ac:dyDescent="0.3">
      <c r="A149" t="s">
        <v>149</v>
      </c>
    </row>
    <row r="150" spans="1:1" x14ac:dyDescent="0.3">
      <c r="A150" t="s">
        <v>150</v>
      </c>
    </row>
    <row r="151" spans="1:1" x14ac:dyDescent="0.3">
      <c r="A151" t="s">
        <v>151</v>
      </c>
    </row>
    <row r="152" spans="1:1" x14ac:dyDescent="0.3">
      <c r="A152" t="s">
        <v>152</v>
      </c>
    </row>
    <row r="153" spans="1:1" x14ac:dyDescent="0.3">
      <c r="A153" t="s">
        <v>153</v>
      </c>
    </row>
    <row r="154" spans="1:1" x14ac:dyDescent="0.3">
      <c r="A154" t="s">
        <v>154</v>
      </c>
    </row>
    <row r="155" spans="1:1" x14ac:dyDescent="0.3">
      <c r="A155" t="s">
        <v>155</v>
      </c>
    </row>
    <row r="156" spans="1:1" x14ac:dyDescent="0.3">
      <c r="A156" t="s">
        <v>156</v>
      </c>
    </row>
    <row r="157" spans="1:1" x14ac:dyDescent="0.3">
      <c r="A157" t="s">
        <v>157</v>
      </c>
    </row>
    <row r="158" spans="1:1" x14ac:dyDescent="0.3">
      <c r="A158" t="s">
        <v>158</v>
      </c>
    </row>
    <row r="159" spans="1:1" x14ac:dyDescent="0.3">
      <c r="A159" t="s">
        <v>159</v>
      </c>
    </row>
    <row r="160" spans="1:1" x14ac:dyDescent="0.3">
      <c r="A160" t="s">
        <v>160</v>
      </c>
    </row>
    <row r="161" spans="1:1" x14ac:dyDescent="0.3">
      <c r="A161" t="s">
        <v>161</v>
      </c>
    </row>
    <row r="162" spans="1:1" x14ac:dyDescent="0.3">
      <c r="A162" t="s">
        <v>162</v>
      </c>
    </row>
    <row r="163" spans="1:1" x14ac:dyDescent="0.3">
      <c r="A163" t="s">
        <v>163</v>
      </c>
    </row>
    <row r="164" spans="1:1" x14ac:dyDescent="0.3">
      <c r="A164" t="s">
        <v>164</v>
      </c>
    </row>
    <row r="165" spans="1:1" x14ac:dyDescent="0.3">
      <c r="A165" t="s">
        <v>165</v>
      </c>
    </row>
    <row r="166" spans="1:1" x14ac:dyDescent="0.3">
      <c r="A166" t="s">
        <v>166</v>
      </c>
    </row>
    <row r="167" spans="1:1" x14ac:dyDescent="0.3">
      <c r="A167" t="s">
        <v>167</v>
      </c>
    </row>
    <row r="168" spans="1:1" x14ac:dyDescent="0.3">
      <c r="A168" t="s">
        <v>168</v>
      </c>
    </row>
    <row r="169" spans="1:1" x14ac:dyDescent="0.3">
      <c r="A169" t="s">
        <v>169</v>
      </c>
    </row>
    <row r="170" spans="1:1" x14ac:dyDescent="0.3">
      <c r="A170" t="s">
        <v>170</v>
      </c>
    </row>
    <row r="171" spans="1:1" x14ac:dyDescent="0.3">
      <c r="A171" t="s">
        <v>171</v>
      </c>
    </row>
    <row r="172" spans="1:1" x14ac:dyDescent="0.3">
      <c r="A172" t="s">
        <v>172</v>
      </c>
    </row>
    <row r="173" spans="1:1" x14ac:dyDescent="0.3">
      <c r="A173" t="s">
        <v>173</v>
      </c>
    </row>
    <row r="174" spans="1:1" x14ac:dyDescent="0.3">
      <c r="A174" t="s">
        <v>174</v>
      </c>
    </row>
    <row r="175" spans="1:1" x14ac:dyDescent="0.3">
      <c r="A175" t="s">
        <v>175</v>
      </c>
    </row>
    <row r="176" spans="1:1" x14ac:dyDescent="0.3">
      <c r="A176" t="s">
        <v>176</v>
      </c>
    </row>
    <row r="177" spans="1:1" x14ac:dyDescent="0.3">
      <c r="A177" t="s">
        <v>177</v>
      </c>
    </row>
    <row r="178" spans="1:1" x14ac:dyDescent="0.3">
      <c r="A178" t="s">
        <v>178</v>
      </c>
    </row>
    <row r="179" spans="1:1" x14ac:dyDescent="0.3">
      <c r="A179" t="s">
        <v>179</v>
      </c>
    </row>
    <row r="180" spans="1:1" x14ac:dyDescent="0.3">
      <c r="A180" t="s">
        <v>180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1004</v>
      </c>
    </row>
    <row r="192" spans="1:1" x14ac:dyDescent="0.3">
      <c r="A192" t="s">
        <v>1005</v>
      </c>
    </row>
    <row r="193" spans="1:1" x14ac:dyDescent="0.3">
      <c r="A193" t="s">
        <v>1006</v>
      </c>
    </row>
    <row r="194" spans="1:1" x14ac:dyDescent="0.3">
      <c r="A194" t="s">
        <v>1007</v>
      </c>
    </row>
    <row r="195" spans="1:1" x14ac:dyDescent="0.3">
      <c r="A195" t="s">
        <v>1008</v>
      </c>
    </row>
    <row r="196" spans="1:1" x14ac:dyDescent="0.3">
      <c r="A196" t="s">
        <v>1009</v>
      </c>
    </row>
    <row r="197" spans="1:1" x14ac:dyDescent="0.3">
      <c r="A197" t="s">
        <v>1010</v>
      </c>
    </row>
    <row r="198" spans="1:1" x14ac:dyDescent="0.3">
      <c r="A198" t="s">
        <v>1011</v>
      </c>
    </row>
    <row r="199" spans="1:1" x14ac:dyDescent="0.3">
      <c r="A199" t="s">
        <v>1012</v>
      </c>
    </row>
    <row r="200" spans="1:1" x14ac:dyDescent="0.3">
      <c r="A200" t="s">
        <v>1013</v>
      </c>
    </row>
    <row r="201" spans="1:1" x14ac:dyDescent="0.3">
      <c r="A201" t="s">
        <v>1014</v>
      </c>
    </row>
    <row r="202" spans="1:1" x14ac:dyDescent="0.3">
      <c r="A202" t="s">
        <v>1015</v>
      </c>
    </row>
    <row r="203" spans="1:1" x14ac:dyDescent="0.3">
      <c r="A203" t="s">
        <v>1016</v>
      </c>
    </row>
    <row r="204" spans="1:1" x14ac:dyDescent="0.3">
      <c r="A204" t="s">
        <v>1017</v>
      </c>
    </row>
    <row r="205" spans="1:1" x14ac:dyDescent="0.3">
      <c r="A205" t="s">
        <v>1018</v>
      </c>
    </row>
    <row r="206" spans="1:1" x14ac:dyDescent="0.3">
      <c r="A206" t="s">
        <v>1019</v>
      </c>
    </row>
    <row r="207" spans="1:1" x14ac:dyDescent="0.3">
      <c r="A207" t="s">
        <v>1020</v>
      </c>
    </row>
    <row r="208" spans="1:1" x14ac:dyDescent="0.3">
      <c r="A208" t="s">
        <v>1021</v>
      </c>
    </row>
    <row r="209" spans="1:1" x14ac:dyDescent="0.3">
      <c r="A209" t="s">
        <v>1022</v>
      </c>
    </row>
    <row r="210" spans="1:1" x14ac:dyDescent="0.3">
      <c r="A210" t="s">
        <v>1023</v>
      </c>
    </row>
    <row r="211" spans="1:1" x14ac:dyDescent="0.3">
      <c r="A211" t="s">
        <v>1024</v>
      </c>
    </row>
    <row r="212" spans="1:1" x14ac:dyDescent="0.3">
      <c r="A212" t="s">
        <v>1025</v>
      </c>
    </row>
    <row r="213" spans="1:1" x14ac:dyDescent="0.3">
      <c r="A213" t="s">
        <v>1026</v>
      </c>
    </row>
    <row r="214" spans="1:1" x14ac:dyDescent="0.3">
      <c r="A214" t="s">
        <v>1027</v>
      </c>
    </row>
    <row r="215" spans="1:1" x14ac:dyDescent="0.3">
      <c r="A215" t="s">
        <v>1028</v>
      </c>
    </row>
    <row r="216" spans="1:1" x14ac:dyDescent="0.3">
      <c r="A216" t="s">
        <v>1029</v>
      </c>
    </row>
    <row r="217" spans="1:1" x14ac:dyDescent="0.3">
      <c r="A217" t="s">
        <v>1030</v>
      </c>
    </row>
    <row r="218" spans="1:1" x14ac:dyDescent="0.3">
      <c r="A218" t="s">
        <v>1031</v>
      </c>
    </row>
    <row r="219" spans="1:1" x14ac:dyDescent="0.3">
      <c r="A219" t="s">
        <v>1032</v>
      </c>
    </row>
    <row r="220" spans="1:1" x14ac:dyDescent="0.3">
      <c r="A220" t="s">
        <v>1033</v>
      </c>
    </row>
    <row r="221" spans="1:1" x14ac:dyDescent="0.3">
      <c r="A221" t="s">
        <v>1034</v>
      </c>
    </row>
    <row r="222" spans="1:1" x14ac:dyDescent="0.3">
      <c r="A222" t="s">
        <v>1035</v>
      </c>
    </row>
    <row r="223" spans="1:1" x14ac:dyDescent="0.3">
      <c r="A223" t="s">
        <v>1036</v>
      </c>
    </row>
    <row r="224" spans="1:1" x14ac:dyDescent="0.3">
      <c r="A224" t="s">
        <v>1037</v>
      </c>
    </row>
    <row r="225" spans="1:1" x14ac:dyDescent="0.3">
      <c r="A225" t="s">
        <v>1038</v>
      </c>
    </row>
    <row r="226" spans="1:1" x14ac:dyDescent="0.3">
      <c r="A226" t="s">
        <v>1039</v>
      </c>
    </row>
    <row r="227" spans="1:1" x14ac:dyDescent="0.3">
      <c r="A227" t="s">
        <v>1040</v>
      </c>
    </row>
    <row r="228" spans="1:1" x14ac:dyDescent="0.3">
      <c r="A228" t="s">
        <v>1041</v>
      </c>
    </row>
    <row r="229" spans="1:1" x14ac:dyDescent="0.3">
      <c r="A229" t="s">
        <v>1042</v>
      </c>
    </row>
    <row r="230" spans="1:1" x14ac:dyDescent="0.3">
      <c r="A230" t="s">
        <v>1043</v>
      </c>
    </row>
    <row r="231" spans="1:1" x14ac:dyDescent="0.3">
      <c r="A231" t="s">
        <v>1044</v>
      </c>
    </row>
    <row r="232" spans="1:1" x14ac:dyDescent="0.3">
      <c r="A232" t="s">
        <v>1045</v>
      </c>
    </row>
    <row r="233" spans="1:1" x14ac:dyDescent="0.3">
      <c r="A233" t="s">
        <v>1046</v>
      </c>
    </row>
    <row r="234" spans="1:1" x14ac:dyDescent="0.3">
      <c r="A234" t="s">
        <v>1047</v>
      </c>
    </row>
    <row r="235" spans="1:1" x14ac:dyDescent="0.3">
      <c r="A235" t="s">
        <v>1048</v>
      </c>
    </row>
    <row r="236" spans="1:1" x14ac:dyDescent="0.3">
      <c r="A236" t="s">
        <v>1049</v>
      </c>
    </row>
    <row r="237" spans="1:1" x14ac:dyDescent="0.3">
      <c r="A237" t="s">
        <v>1050</v>
      </c>
    </row>
    <row r="238" spans="1:1" x14ac:dyDescent="0.3">
      <c r="A238" t="s">
        <v>1051</v>
      </c>
    </row>
    <row r="239" spans="1:1" x14ac:dyDescent="0.3">
      <c r="A239" t="s">
        <v>1052</v>
      </c>
    </row>
    <row r="240" spans="1:1" x14ac:dyDescent="0.3">
      <c r="A240" t="s">
        <v>1053</v>
      </c>
    </row>
    <row r="241" spans="1:1" x14ac:dyDescent="0.3">
      <c r="A241" t="s">
        <v>1054</v>
      </c>
    </row>
    <row r="242" spans="1:1" x14ac:dyDescent="0.3">
      <c r="A242" t="s">
        <v>1055</v>
      </c>
    </row>
    <row r="243" spans="1:1" x14ac:dyDescent="0.3">
      <c r="A243" t="s">
        <v>1056</v>
      </c>
    </row>
    <row r="244" spans="1:1" x14ac:dyDescent="0.3">
      <c r="A244" t="s">
        <v>1057</v>
      </c>
    </row>
    <row r="245" spans="1:1" x14ac:dyDescent="0.3">
      <c r="A245" t="s">
        <v>1058</v>
      </c>
    </row>
    <row r="246" spans="1:1" x14ac:dyDescent="0.3">
      <c r="A246" t="s">
        <v>1059</v>
      </c>
    </row>
    <row r="247" spans="1:1" x14ac:dyDescent="0.3">
      <c r="A247" t="s">
        <v>1060</v>
      </c>
    </row>
    <row r="248" spans="1:1" x14ac:dyDescent="0.3">
      <c r="A248" t="s">
        <v>1061</v>
      </c>
    </row>
    <row r="249" spans="1:1" x14ac:dyDescent="0.3">
      <c r="A249" t="s">
        <v>1062</v>
      </c>
    </row>
    <row r="250" spans="1:1" x14ac:dyDescent="0.3">
      <c r="A250" t="s">
        <v>1063</v>
      </c>
    </row>
    <row r="251" spans="1:1" x14ac:dyDescent="0.3">
      <c r="A251" t="s">
        <v>1064</v>
      </c>
    </row>
    <row r="252" spans="1:1" x14ac:dyDescent="0.3">
      <c r="A252" t="s">
        <v>1065</v>
      </c>
    </row>
    <row r="253" spans="1:1" x14ac:dyDescent="0.3">
      <c r="A253" t="s">
        <v>1066</v>
      </c>
    </row>
    <row r="254" spans="1:1" x14ac:dyDescent="0.3">
      <c r="A254" t="s">
        <v>1067</v>
      </c>
    </row>
    <row r="255" spans="1:1" x14ac:dyDescent="0.3">
      <c r="A255" t="s">
        <v>1068</v>
      </c>
    </row>
    <row r="256" spans="1:1" x14ac:dyDescent="0.3">
      <c r="A256" t="s">
        <v>1069</v>
      </c>
    </row>
    <row r="257" spans="1:1" x14ac:dyDescent="0.3">
      <c r="A257" t="s">
        <v>1070</v>
      </c>
    </row>
    <row r="258" spans="1:1" x14ac:dyDescent="0.3">
      <c r="A258" t="s">
        <v>1071</v>
      </c>
    </row>
    <row r="259" spans="1:1" x14ac:dyDescent="0.3">
      <c r="A259" t="s">
        <v>1072</v>
      </c>
    </row>
    <row r="260" spans="1:1" x14ac:dyDescent="0.3">
      <c r="A260" t="s">
        <v>1073</v>
      </c>
    </row>
    <row r="261" spans="1:1" x14ac:dyDescent="0.3">
      <c r="A261" t="s">
        <v>1074</v>
      </c>
    </row>
    <row r="262" spans="1:1" x14ac:dyDescent="0.3">
      <c r="A262" t="s">
        <v>1075</v>
      </c>
    </row>
    <row r="263" spans="1:1" x14ac:dyDescent="0.3">
      <c r="A263" t="s">
        <v>1076</v>
      </c>
    </row>
    <row r="264" spans="1:1" x14ac:dyDescent="0.3">
      <c r="A264" t="s">
        <v>1077</v>
      </c>
    </row>
    <row r="265" spans="1:1" x14ac:dyDescent="0.3">
      <c r="A265" t="s">
        <v>1078</v>
      </c>
    </row>
    <row r="266" spans="1:1" x14ac:dyDescent="0.3">
      <c r="A266" t="s">
        <v>1079</v>
      </c>
    </row>
    <row r="267" spans="1:1" x14ac:dyDescent="0.3">
      <c r="A267" t="s">
        <v>1080</v>
      </c>
    </row>
    <row r="268" spans="1:1" x14ac:dyDescent="0.3">
      <c r="A268" t="s">
        <v>1081</v>
      </c>
    </row>
    <row r="269" spans="1:1" x14ac:dyDescent="0.3">
      <c r="A269" t="s">
        <v>1082</v>
      </c>
    </row>
    <row r="270" spans="1:1" x14ac:dyDescent="0.3">
      <c r="A270" t="s">
        <v>1083</v>
      </c>
    </row>
    <row r="271" spans="1:1" x14ac:dyDescent="0.3">
      <c r="A271" t="s">
        <v>1084</v>
      </c>
    </row>
    <row r="272" spans="1:1" x14ac:dyDescent="0.3">
      <c r="A272" t="s">
        <v>1085</v>
      </c>
    </row>
    <row r="273" spans="1:1" x14ac:dyDescent="0.3">
      <c r="A273" t="s">
        <v>1086</v>
      </c>
    </row>
    <row r="274" spans="1:1" x14ac:dyDescent="0.3">
      <c r="A274" t="s">
        <v>1087</v>
      </c>
    </row>
    <row r="275" spans="1:1" x14ac:dyDescent="0.3">
      <c r="A275" t="s">
        <v>1088</v>
      </c>
    </row>
    <row r="276" spans="1:1" x14ac:dyDescent="0.3">
      <c r="A276" t="s">
        <v>1089</v>
      </c>
    </row>
    <row r="277" spans="1:1" x14ac:dyDescent="0.3">
      <c r="A277" t="s">
        <v>1090</v>
      </c>
    </row>
    <row r="278" spans="1:1" x14ac:dyDescent="0.3">
      <c r="A278" t="s">
        <v>1091</v>
      </c>
    </row>
    <row r="279" spans="1:1" x14ac:dyDescent="0.3">
      <c r="A279" t="s">
        <v>1092</v>
      </c>
    </row>
    <row r="280" spans="1:1" x14ac:dyDescent="0.3">
      <c r="A280" t="s">
        <v>1093</v>
      </c>
    </row>
    <row r="281" spans="1:1" x14ac:dyDescent="0.3">
      <c r="A281" t="s">
        <v>1094</v>
      </c>
    </row>
    <row r="282" spans="1:1" x14ac:dyDescent="0.3">
      <c r="A282" t="s">
        <v>1095</v>
      </c>
    </row>
    <row r="283" spans="1:1" x14ac:dyDescent="0.3">
      <c r="A283" t="s">
        <v>1096</v>
      </c>
    </row>
    <row r="284" spans="1:1" x14ac:dyDescent="0.3">
      <c r="A284" t="s">
        <v>1097</v>
      </c>
    </row>
    <row r="285" spans="1:1" x14ac:dyDescent="0.3">
      <c r="A285" t="s">
        <v>1098</v>
      </c>
    </row>
    <row r="286" spans="1:1" x14ac:dyDescent="0.3">
      <c r="A286" t="s">
        <v>1099</v>
      </c>
    </row>
    <row r="287" spans="1:1" x14ac:dyDescent="0.3">
      <c r="A287" t="s">
        <v>1100</v>
      </c>
    </row>
    <row r="288" spans="1:1" x14ac:dyDescent="0.3">
      <c r="A288" t="s">
        <v>1101</v>
      </c>
    </row>
    <row r="289" spans="1:1" x14ac:dyDescent="0.3">
      <c r="A289" t="s">
        <v>1102</v>
      </c>
    </row>
    <row r="290" spans="1:1" x14ac:dyDescent="0.3">
      <c r="A290" t="s">
        <v>1103</v>
      </c>
    </row>
    <row r="291" spans="1:1" x14ac:dyDescent="0.3">
      <c r="A291" t="s">
        <v>1104</v>
      </c>
    </row>
    <row r="292" spans="1:1" x14ac:dyDescent="0.3">
      <c r="A292" t="s">
        <v>1105</v>
      </c>
    </row>
    <row r="293" spans="1:1" x14ac:dyDescent="0.3">
      <c r="A293" t="s">
        <v>1106</v>
      </c>
    </row>
    <row r="294" spans="1:1" x14ac:dyDescent="0.3">
      <c r="A294" t="s">
        <v>1107</v>
      </c>
    </row>
    <row r="295" spans="1:1" x14ac:dyDescent="0.3">
      <c r="A295" t="s">
        <v>1108</v>
      </c>
    </row>
    <row r="296" spans="1:1" x14ac:dyDescent="0.3">
      <c r="A296" t="s">
        <v>1109</v>
      </c>
    </row>
    <row r="297" spans="1:1" x14ac:dyDescent="0.3">
      <c r="A297" t="s">
        <v>1110</v>
      </c>
    </row>
    <row r="298" spans="1:1" x14ac:dyDescent="0.3">
      <c r="A298" t="s">
        <v>1111</v>
      </c>
    </row>
    <row r="299" spans="1:1" x14ac:dyDescent="0.3">
      <c r="A299" t="s">
        <v>1112</v>
      </c>
    </row>
    <row r="300" spans="1:1" x14ac:dyDescent="0.3">
      <c r="A300" t="s">
        <v>1113</v>
      </c>
    </row>
    <row r="301" spans="1:1" x14ac:dyDescent="0.3">
      <c r="A301" t="s">
        <v>1114</v>
      </c>
    </row>
    <row r="302" spans="1:1" x14ac:dyDescent="0.3">
      <c r="A302" t="s">
        <v>1115</v>
      </c>
    </row>
    <row r="303" spans="1:1" x14ac:dyDescent="0.3">
      <c r="A303" t="s">
        <v>1116</v>
      </c>
    </row>
    <row r="304" spans="1:1" x14ac:dyDescent="0.3">
      <c r="A304" t="s">
        <v>1117</v>
      </c>
    </row>
    <row r="305" spans="1:1" x14ac:dyDescent="0.3">
      <c r="A305" t="s">
        <v>1118</v>
      </c>
    </row>
    <row r="306" spans="1:1" x14ac:dyDescent="0.3">
      <c r="A306" t="s">
        <v>1119</v>
      </c>
    </row>
    <row r="307" spans="1:1" x14ac:dyDescent="0.3">
      <c r="A307" t="s">
        <v>1120</v>
      </c>
    </row>
    <row r="308" spans="1:1" x14ac:dyDescent="0.3">
      <c r="A308" t="s">
        <v>1121</v>
      </c>
    </row>
    <row r="309" spans="1:1" x14ac:dyDescent="0.3">
      <c r="A309" t="s">
        <v>1122</v>
      </c>
    </row>
    <row r="310" spans="1:1" x14ac:dyDescent="0.3">
      <c r="A310" t="s">
        <v>1123</v>
      </c>
    </row>
    <row r="311" spans="1:1" x14ac:dyDescent="0.3">
      <c r="A311" t="s">
        <v>1124</v>
      </c>
    </row>
    <row r="312" spans="1:1" x14ac:dyDescent="0.3">
      <c r="A312" t="s">
        <v>1125</v>
      </c>
    </row>
    <row r="313" spans="1:1" x14ac:dyDescent="0.3">
      <c r="A313" t="s">
        <v>1126</v>
      </c>
    </row>
    <row r="314" spans="1:1" x14ac:dyDescent="0.3">
      <c r="A314" t="s">
        <v>1127</v>
      </c>
    </row>
    <row r="315" spans="1:1" x14ac:dyDescent="0.3">
      <c r="A315" t="s">
        <v>1128</v>
      </c>
    </row>
    <row r="316" spans="1:1" x14ac:dyDescent="0.3">
      <c r="A316" t="s">
        <v>1129</v>
      </c>
    </row>
    <row r="317" spans="1:1" x14ac:dyDescent="0.3">
      <c r="A317" t="s">
        <v>1130</v>
      </c>
    </row>
    <row r="318" spans="1:1" x14ac:dyDescent="0.3">
      <c r="A318" t="s">
        <v>1131</v>
      </c>
    </row>
    <row r="319" spans="1:1" x14ac:dyDescent="0.3">
      <c r="A319" t="s">
        <v>1132</v>
      </c>
    </row>
    <row r="320" spans="1:1" x14ac:dyDescent="0.3">
      <c r="A320" t="s">
        <v>1133</v>
      </c>
    </row>
    <row r="321" spans="1:1" x14ac:dyDescent="0.3">
      <c r="A321" t="s">
        <v>191</v>
      </c>
    </row>
    <row r="322" spans="1:1" x14ac:dyDescent="0.3">
      <c r="A322" t="s">
        <v>192</v>
      </c>
    </row>
    <row r="323" spans="1:1" x14ac:dyDescent="0.3">
      <c r="A323" t="s">
        <v>193</v>
      </c>
    </row>
    <row r="324" spans="1:1" x14ac:dyDescent="0.3">
      <c r="A324" t="s">
        <v>194</v>
      </c>
    </row>
    <row r="325" spans="1:1" x14ac:dyDescent="0.3">
      <c r="A325" t="s">
        <v>195</v>
      </c>
    </row>
    <row r="326" spans="1:1" x14ac:dyDescent="0.3">
      <c r="A326" t="s">
        <v>196</v>
      </c>
    </row>
    <row r="327" spans="1:1" x14ac:dyDescent="0.3">
      <c r="A327" t="s">
        <v>197</v>
      </c>
    </row>
    <row r="328" spans="1:1" x14ac:dyDescent="0.3">
      <c r="A328" t="s">
        <v>198</v>
      </c>
    </row>
    <row r="329" spans="1:1" x14ac:dyDescent="0.3">
      <c r="A329" t="s">
        <v>199</v>
      </c>
    </row>
    <row r="330" spans="1:1" x14ac:dyDescent="0.3">
      <c r="A330" t="s">
        <v>200</v>
      </c>
    </row>
    <row r="331" spans="1:1" x14ac:dyDescent="0.3">
      <c r="A331" t="s">
        <v>201</v>
      </c>
    </row>
    <row r="332" spans="1:1" x14ac:dyDescent="0.3">
      <c r="A332" t="s">
        <v>202</v>
      </c>
    </row>
    <row r="333" spans="1:1" x14ac:dyDescent="0.3">
      <c r="A333" t="s">
        <v>203</v>
      </c>
    </row>
    <row r="334" spans="1:1" x14ac:dyDescent="0.3">
      <c r="A334" t="s">
        <v>204</v>
      </c>
    </row>
    <row r="335" spans="1:1" x14ac:dyDescent="0.3">
      <c r="A335" t="s">
        <v>205</v>
      </c>
    </row>
    <row r="336" spans="1:1" x14ac:dyDescent="0.3">
      <c r="A336" t="s">
        <v>206</v>
      </c>
    </row>
    <row r="337" spans="1:1" x14ac:dyDescent="0.3">
      <c r="A337" t="s">
        <v>207</v>
      </c>
    </row>
    <row r="338" spans="1:1" x14ac:dyDescent="0.3">
      <c r="A338" t="s">
        <v>208</v>
      </c>
    </row>
    <row r="339" spans="1:1" x14ac:dyDescent="0.3">
      <c r="A339" t="s">
        <v>209</v>
      </c>
    </row>
    <row r="340" spans="1:1" x14ac:dyDescent="0.3">
      <c r="A340" t="s">
        <v>210</v>
      </c>
    </row>
    <row r="341" spans="1:1" x14ac:dyDescent="0.3">
      <c r="A341" t="s">
        <v>211</v>
      </c>
    </row>
    <row r="342" spans="1:1" x14ac:dyDescent="0.3">
      <c r="A342" t="s">
        <v>212</v>
      </c>
    </row>
    <row r="343" spans="1:1" x14ac:dyDescent="0.3">
      <c r="A343" t="s">
        <v>213</v>
      </c>
    </row>
    <row r="344" spans="1:1" x14ac:dyDescent="0.3">
      <c r="A344" t="s">
        <v>214</v>
      </c>
    </row>
    <row r="345" spans="1:1" x14ac:dyDescent="0.3">
      <c r="A345" t="s">
        <v>215</v>
      </c>
    </row>
    <row r="346" spans="1:1" x14ac:dyDescent="0.3">
      <c r="A346" t="s">
        <v>216</v>
      </c>
    </row>
    <row r="347" spans="1:1" x14ac:dyDescent="0.3">
      <c r="A347" t="s">
        <v>217</v>
      </c>
    </row>
    <row r="348" spans="1:1" x14ac:dyDescent="0.3">
      <c r="A348" t="s">
        <v>218</v>
      </c>
    </row>
    <row r="349" spans="1:1" x14ac:dyDescent="0.3">
      <c r="A349" t="s">
        <v>219</v>
      </c>
    </row>
    <row r="350" spans="1:1" x14ac:dyDescent="0.3">
      <c r="A350" t="s">
        <v>220</v>
      </c>
    </row>
    <row r="351" spans="1:1" x14ac:dyDescent="0.3">
      <c r="A351" t="s">
        <v>221</v>
      </c>
    </row>
    <row r="352" spans="1:1" x14ac:dyDescent="0.3">
      <c r="A352" t="s">
        <v>222</v>
      </c>
    </row>
    <row r="353" spans="1:1" x14ac:dyDescent="0.3">
      <c r="A353" t="s">
        <v>223</v>
      </c>
    </row>
    <row r="354" spans="1:1" x14ac:dyDescent="0.3">
      <c r="A354" t="s">
        <v>224</v>
      </c>
    </row>
    <row r="355" spans="1:1" x14ac:dyDescent="0.3">
      <c r="A355" t="s">
        <v>225</v>
      </c>
    </row>
    <row r="356" spans="1:1" x14ac:dyDescent="0.3">
      <c r="A356" t="s">
        <v>226</v>
      </c>
    </row>
    <row r="357" spans="1:1" x14ac:dyDescent="0.3">
      <c r="A357" t="s">
        <v>227</v>
      </c>
    </row>
    <row r="358" spans="1:1" x14ac:dyDescent="0.3">
      <c r="A358" t="s">
        <v>228</v>
      </c>
    </row>
    <row r="359" spans="1:1" x14ac:dyDescent="0.3">
      <c r="A359" t="s">
        <v>229</v>
      </c>
    </row>
    <row r="360" spans="1:1" x14ac:dyDescent="0.3">
      <c r="A360" t="s">
        <v>230</v>
      </c>
    </row>
    <row r="361" spans="1:1" x14ac:dyDescent="0.3">
      <c r="A361" t="s">
        <v>231</v>
      </c>
    </row>
    <row r="362" spans="1:1" x14ac:dyDescent="0.3">
      <c r="A362" t="s">
        <v>232</v>
      </c>
    </row>
    <row r="363" spans="1:1" x14ac:dyDescent="0.3">
      <c r="A363" t="s">
        <v>233</v>
      </c>
    </row>
    <row r="364" spans="1:1" x14ac:dyDescent="0.3">
      <c r="A364" t="s">
        <v>234</v>
      </c>
    </row>
    <row r="365" spans="1:1" x14ac:dyDescent="0.3">
      <c r="A365" t="s">
        <v>235</v>
      </c>
    </row>
    <row r="366" spans="1:1" x14ac:dyDescent="0.3">
      <c r="A366" t="s">
        <v>236</v>
      </c>
    </row>
    <row r="367" spans="1:1" x14ac:dyDescent="0.3">
      <c r="A367" t="s">
        <v>237</v>
      </c>
    </row>
    <row r="368" spans="1:1" x14ac:dyDescent="0.3">
      <c r="A368" t="s">
        <v>238</v>
      </c>
    </row>
    <row r="369" spans="1:1" x14ac:dyDescent="0.3">
      <c r="A369" t="s">
        <v>239</v>
      </c>
    </row>
    <row r="370" spans="1:1" x14ac:dyDescent="0.3">
      <c r="A370" t="s">
        <v>240</v>
      </c>
    </row>
    <row r="371" spans="1:1" x14ac:dyDescent="0.3">
      <c r="A371" t="s">
        <v>241</v>
      </c>
    </row>
    <row r="372" spans="1:1" x14ac:dyDescent="0.3">
      <c r="A372" t="s">
        <v>242</v>
      </c>
    </row>
    <row r="373" spans="1:1" x14ac:dyDescent="0.3">
      <c r="A373" t="s">
        <v>243</v>
      </c>
    </row>
    <row r="374" spans="1:1" x14ac:dyDescent="0.3">
      <c r="A374" t="s">
        <v>244</v>
      </c>
    </row>
    <row r="375" spans="1:1" x14ac:dyDescent="0.3">
      <c r="A375" t="s">
        <v>245</v>
      </c>
    </row>
    <row r="376" spans="1:1" x14ac:dyDescent="0.3">
      <c r="A376" t="s">
        <v>246</v>
      </c>
    </row>
    <row r="377" spans="1:1" x14ac:dyDescent="0.3">
      <c r="A377" t="s">
        <v>247</v>
      </c>
    </row>
    <row r="378" spans="1:1" x14ac:dyDescent="0.3">
      <c r="A378" t="s">
        <v>248</v>
      </c>
    </row>
    <row r="379" spans="1:1" x14ac:dyDescent="0.3">
      <c r="A379" t="s">
        <v>249</v>
      </c>
    </row>
    <row r="380" spans="1:1" x14ac:dyDescent="0.3">
      <c r="A380" t="s">
        <v>250</v>
      </c>
    </row>
    <row r="381" spans="1:1" x14ac:dyDescent="0.3">
      <c r="A381" t="s">
        <v>251</v>
      </c>
    </row>
    <row r="382" spans="1:1" x14ac:dyDescent="0.3">
      <c r="A382" t="s">
        <v>252</v>
      </c>
    </row>
    <row r="383" spans="1:1" x14ac:dyDescent="0.3">
      <c r="A383" t="s">
        <v>253</v>
      </c>
    </row>
    <row r="384" spans="1:1" x14ac:dyDescent="0.3">
      <c r="A384" t="s">
        <v>254</v>
      </c>
    </row>
    <row r="385" spans="1:1" x14ac:dyDescent="0.3">
      <c r="A385" t="s">
        <v>255</v>
      </c>
    </row>
    <row r="386" spans="1:1" x14ac:dyDescent="0.3">
      <c r="A386" t="s">
        <v>256</v>
      </c>
    </row>
    <row r="387" spans="1:1" x14ac:dyDescent="0.3">
      <c r="A387" t="s">
        <v>257</v>
      </c>
    </row>
    <row r="388" spans="1:1" x14ac:dyDescent="0.3">
      <c r="A388" t="s">
        <v>258</v>
      </c>
    </row>
    <row r="389" spans="1:1" x14ac:dyDescent="0.3">
      <c r="A389" t="s">
        <v>259</v>
      </c>
    </row>
    <row r="390" spans="1:1" x14ac:dyDescent="0.3">
      <c r="A390" t="s">
        <v>260</v>
      </c>
    </row>
    <row r="391" spans="1:1" x14ac:dyDescent="0.3">
      <c r="A391" t="s">
        <v>261</v>
      </c>
    </row>
    <row r="392" spans="1:1" x14ac:dyDescent="0.3">
      <c r="A392" t="s">
        <v>262</v>
      </c>
    </row>
    <row r="393" spans="1:1" x14ac:dyDescent="0.3">
      <c r="A393" t="s">
        <v>263</v>
      </c>
    </row>
    <row r="394" spans="1:1" x14ac:dyDescent="0.3">
      <c r="A394" t="s">
        <v>264</v>
      </c>
    </row>
    <row r="395" spans="1:1" x14ac:dyDescent="0.3">
      <c r="A395" t="s">
        <v>265</v>
      </c>
    </row>
    <row r="396" spans="1:1" x14ac:dyDescent="0.3">
      <c r="A396" t="s">
        <v>266</v>
      </c>
    </row>
    <row r="397" spans="1:1" x14ac:dyDescent="0.3">
      <c r="A397" t="s">
        <v>267</v>
      </c>
    </row>
    <row r="398" spans="1:1" x14ac:dyDescent="0.3">
      <c r="A398" t="s">
        <v>268</v>
      </c>
    </row>
    <row r="399" spans="1:1" x14ac:dyDescent="0.3">
      <c r="A399" t="s">
        <v>269</v>
      </c>
    </row>
    <row r="400" spans="1:1" x14ac:dyDescent="0.3">
      <c r="A400" t="s">
        <v>270</v>
      </c>
    </row>
    <row r="401" spans="1:1" x14ac:dyDescent="0.3">
      <c r="A401" t="s">
        <v>271</v>
      </c>
    </row>
    <row r="402" spans="1:1" x14ac:dyDescent="0.3">
      <c r="A402" t="s">
        <v>272</v>
      </c>
    </row>
    <row r="403" spans="1:1" x14ac:dyDescent="0.3">
      <c r="A403" t="s">
        <v>273</v>
      </c>
    </row>
    <row r="404" spans="1:1" x14ac:dyDescent="0.3">
      <c r="A404" t="s">
        <v>274</v>
      </c>
    </row>
    <row r="405" spans="1:1" x14ac:dyDescent="0.3">
      <c r="A405" t="s">
        <v>275</v>
      </c>
    </row>
    <row r="406" spans="1:1" x14ac:dyDescent="0.3">
      <c r="A406" t="s">
        <v>276</v>
      </c>
    </row>
    <row r="407" spans="1:1" x14ac:dyDescent="0.3">
      <c r="A407" t="s">
        <v>277</v>
      </c>
    </row>
    <row r="408" spans="1:1" x14ac:dyDescent="0.3">
      <c r="A408" t="s">
        <v>278</v>
      </c>
    </row>
    <row r="409" spans="1:1" x14ac:dyDescent="0.3">
      <c r="A409" t="s">
        <v>279</v>
      </c>
    </row>
    <row r="410" spans="1:1" x14ac:dyDescent="0.3">
      <c r="A410" t="s">
        <v>280</v>
      </c>
    </row>
    <row r="411" spans="1:1" x14ac:dyDescent="0.3">
      <c r="A411" t="s">
        <v>281</v>
      </c>
    </row>
    <row r="412" spans="1:1" x14ac:dyDescent="0.3">
      <c r="A412" t="s">
        <v>282</v>
      </c>
    </row>
    <row r="413" spans="1:1" x14ac:dyDescent="0.3">
      <c r="A413" t="s">
        <v>283</v>
      </c>
    </row>
    <row r="414" spans="1:1" x14ac:dyDescent="0.3">
      <c r="A414" t="s">
        <v>284</v>
      </c>
    </row>
    <row r="415" spans="1:1" x14ac:dyDescent="0.3">
      <c r="A415" t="s">
        <v>285</v>
      </c>
    </row>
    <row r="416" spans="1:1" x14ac:dyDescent="0.3">
      <c r="A416" t="s">
        <v>286</v>
      </c>
    </row>
    <row r="417" spans="1:1" x14ac:dyDescent="0.3">
      <c r="A417" t="s">
        <v>287</v>
      </c>
    </row>
    <row r="418" spans="1:1" x14ac:dyDescent="0.3">
      <c r="A418" t="s">
        <v>288</v>
      </c>
    </row>
    <row r="419" spans="1:1" x14ac:dyDescent="0.3">
      <c r="A419" t="s">
        <v>289</v>
      </c>
    </row>
    <row r="420" spans="1:1" x14ac:dyDescent="0.3">
      <c r="A420" t="s">
        <v>290</v>
      </c>
    </row>
    <row r="421" spans="1:1" x14ac:dyDescent="0.3">
      <c r="A421" t="s">
        <v>291</v>
      </c>
    </row>
    <row r="422" spans="1:1" x14ac:dyDescent="0.3">
      <c r="A422" t="s">
        <v>292</v>
      </c>
    </row>
    <row r="423" spans="1:1" x14ac:dyDescent="0.3">
      <c r="A423" t="s">
        <v>293</v>
      </c>
    </row>
    <row r="424" spans="1:1" x14ac:dyDescent="0.3">
      <c r="A424" t="s">
        <v>294</v>
      </c>
    </row>
    <row r="425" spans="1:1" x14ac:dyDescent="0.3">
      <c r="A425" t="s">
        <v>295</v>
      </c>
    </row>
    <row r="426" spans="1:1" x14ac:dyDescent="0.3">
      <c r="A426" t="s">
        <v>296</v>
      </c>
    </row>
    <row r="427" spans="1:1" x14ac:dyDescent="0.3">
      <c r="A427" t="s">
        <v>297</v>
      </c>
    </row>
    <row r="428" spans="1:1" x14ac:dyDescent="0.3">
      <c r="A428" t="s">
        <v>298</v>
      </c>
    </row>
    <row r="429" spans="1:1" x14ac:dyDescent="0.3">
      <c r="A429" t="s">
        <v>299</v>
      </c>
    </row>
    <row r="430" spans="1:1" x14ac:dyDescent="0.3">
      <c r="A430" t="s">
        <v>300</v>
      </c>
    </row>
    <row r="431" spans="1:1" x14ac:dyDescent="0.3">
      <c r="A431" t="s">
        <v>301</v>
      </c>
    </row>
    <row r="432" spans="1:1" x14ac:dyDescent="0.3">
      <c r="A432" t="s">
        <v>302</v>
      </c>
    </row>
    <row r="433" spans="1:1" x14ac:dyDescent="0.3">
      <c r="A433" t="s">
        <v>303</v>
      </c>
    </row>
    <row r="434" spans="1:1" x14ac:dyDescent="0.3">
      <c r="A434" t="s">
        <v>304</v>
      </c>
    </row>
    <row r="435" spans="1:1" x14ac:dyDescent="0.3">
      <c r="A435" t="s">
        <v>305</v>
      </c>
    </row>
    <row r="436" spans="1:1" x14ac:dyDescent="0.3">
      <c r="A436" t="s">
        <v>306</v>
      </c>
    </row>
    <row r="437" spans="1:1" x14ac:dyDescent="0.3">
      <c r="A437" t="s">
        <v>307</v>
      </c>
    </row>
    <row r="438" spans="1:1" x14ac:dyDescent="0.3">
      <c r="A438" t="s">
        <v>308</v>
      </c>
    </row>
    <row r="439" spans="1:1" x14ac:dyDescent="0.3">
      <c r="A439" t="s">
        <v>309</v>
      </c>
    </row>
    <row r="440" spans="1:1" x14ac:dyDescent="0.3">
      <c r="A440" t="s">
        <v>310</v>
      </c>
    </row>
    <row r="441" spans="1:1" x14ac:dyDescent="0.3">
      <c r="A441" t="s">
        <v>311</v>
      </c>
    </row>
    <row r="442" spans="1:1" x14ac:dyDescent="0.3">
      <c r="A442" t="s">
        <v>312</v>
      </c>
    </row>
    <row r="443" spans="1:1" x14ac:dyDescent="0.3">
      <c r="A443" t="s">
        <v>313</v>
      </c>
    </row>
    <row r="444" spans="1:1" x14ac:dyDescent="0.3">
      <c r="A444" t="s">
        <v>314</v>
      </c>
    </row>
    <row r="445" spans="1:1" x14ac:dyDescent="0.3">
      <c r="A445" t="s">
        <v>315</v>
      </c>
    </row>
    <row r="446" spans="1:1" x14ac:dyDescent="0.3">
      <c r="A446" t="s">
        <v>316</v>
      </c>
    </row>
    <row r="447" spans="1:1" x14ac:dyDescent="0.3">
      <c r="A447" t="s">
        <v>317</v>
      </c>
    </row>
    <row r="448" spans="1:1" x14ac:dyDescent="0.3">
      <c r="A448" t="s">
        <v>318</v>
      </c>
    </row>
    <row r="449" spans="1:1" x14ac:dyDescent="0.3">
      <c r="A449" t="s">
        <v>319</v>
      </c>
    </row>
    <row r="450" spans="1:1" x14ac:dyDescent="0.3">
      <c r="A450" t="s">
        <v>320</v>
      </c>
    </row>
    <row r="451" spans="1:1" x14ac:dyDescent="0.3">
      <c r="A451" t="s">
        <v>321</v>
      </c>
    </row>
    <row r="452" spans="1:1" x14ac:dyDescent="0.3">
      <c r="A452" t="s">
        <v>322</v>
      </c>
    </row>
    <row r="453" spans="1:1" x14ac:dyDescent="0.3">
      <c r="A453" t="s">
        <v>323</v>
      </c>
    </row>
    <row r="454" spans="1:1" x14ac:dyDescent="0.3">
      <c r="A454" t="s">
        <v>324</v>
      </c>
    </row>
    <row r="455" spans="1:1" x14ac:dyDescent="0.3">
      <c r="A455" t="s">
        <v>325</v>
      </c>
    </row>
    <row r="456" spans="1:1" x14ac:dyDescent="0.3">
      <c r="A456" t="s">
        <v>326</v>
      </c>
    </row>
    <row r="457" spans="1:1" x14ac:dyDescent="0.3">
      <c r="A457" t="s">
        <v>327</v>
      </c>
    </row>
    <row r="458" spans="1:1" x14ac:dyDescent="0.3">
      <c r="A458" t="s">
        <v>328</v>
      </c>
    </row>
    <row r="459" spans="1:1" x14ac:dyDescent="0.3">
      <c r="A459" t="s">
        <v>329</v>
      </c>
    </row>
    <row r="460" spans="1:1" x14ac:dyDescent="0.3">
      <c r="A460" t="s">
        <v>330</v>
      </c>
    </row>
    <row r="461" spans="1:1" x14ac:dyDescent="0.3">
      <c r="A461" t="s">
        <v>331</v>
      </c>
    </row>
    <row r="462" spans="1:1" x14ac:dyDescent="0.3">
      <c r="A462" t="s">
        <v>332</v>
      </c>
    </row>
    <row r="463" spans="1:1" x14ac:dyDescent="0.3">
      <c r="A463" t="s">
        <v>333</v>
      </c>
    </row>
    <row r="464" spans="1:1" x14ac:dyDescent="0.3">
      <c r="A464" t="s">
        <v>334</v>
      </c>
    </row>
    <row r="465" spans="1:1" x14ac:dyDescent="0.3">
      <c r="A465" t="s">
        <v>335</v>
      </c>
    </row>
    <row r="466" spans="1:1" x14ac:dyDescent="0.3">
      <c r="A466" t="s">
        <v>336</v>
      </c>
    </row>
    <row r="467" spans="1:1" x14ac:dyDescent="0.3">
      <c r="A467" t="s">
        <v>337</v>
      </c>
    </row>
    <row r="468" spans="1:1" x14ac:dyDescent="0.3">
      <c r="A468" t="s">
        <v>338</v>
      </c>
    </row>
    <row r="469" spans="1:1" x14ac:dyDescent="0.3">
      <c r="A469" t="s">
        <v>339</v>
      </c>
    </row>
    <row r="470" spans="1:1" x14ac:dyDescent="0.3">
      <c r="A470" t="s">
        <v>340</v>
      </c>
    </row>
    <row r="471" spans="1:1" x14ac:dyDescent="0.3">
      <c r="A471" t="s">
        <v>341</v>
      </c>
    </row>
    <row r="472" spans="1:1" x14ac:dyDescent="0.3">
      <c r="A472" t="s">
        <v>342</v>
      </c>
    </row>
    <row r="473" spans="1:1" x14ac:dyDescent="0.3">
      <c r="A473" t="s">
        <v>343</v>
      </c>
    </row>
    <row r="474" spans="1:1" x14ac:dyDescent="0.3">
      <c r="A474" t="s">
        <v>344</v>
      </c>
    </row>
    <row r="475" spans="1:1" x14ac:dyDescent="0.3">
      <c r="A475" t="s">
        <v>345</v>
      </c>
    </row>
    <row r="476" spans="1:1" x14ac:dyDescent="0.3">
      <c r="A476" t="s">
        <v>346</v>
      </c>
    </row>
    <row r="477" spans="1:1" x14ac:dyDescent="0.3">
      <c r="A477" t="s">
        <v>347</v>
      </c>
    </row>
    <row r="478" spans="1:1" x14ac:dyDescent="0.3">
      <c r="A478" t="s">
        <v>348</v>
      </c>
    </row>
    <row r="479" spans="1:1" x14ac:dyDescent="0.3">
      <c r="A479" t="s">
        <v>349</v>
      </c>
    </row>
    <row r="480" spans="1:1" x14ac:dyDescent="0.3">
      <c r="A480" t="s">
        <v>350</v>
      </c>
    </row>
    <row r="481" spans="1:1" x14ac:dyDescent="0.3">
      <c r="A481" t="s">
        <v>351</v>
      </c>
    </row>
    <row r="482" spans="1:1" x14ac:dyDescent="0.3">
      <c r="A482" t="s">
        <v>352</v>
      </c>
    </row>
    <row r="483" spans="1:1" x14ac:dyDescent="0.3">
      <c r="A483" t="s">
        <v>353</v>
      </c>
    </row>
    <row r="484" spans="1:1" x14ac:dyDescent="0.3">
      <c r="A484" t="s">
        <v>354</v>
      </c>
    </row>
    <row r="485" spans="1:1" x14ac:dyDescent="0.3">
      <c r="A485" t="s">
        <v>355</v>
      </c>
    </row>
    <row r="486" spans="1:1" x14ac:dyDescent="0.3">
      <c r="A486" t="s">
        <v>356</v>
      </c>
    </row>
    <row r="487" spans="1:1" x14ac:dyDescent="0.3">
      <c r="A487" t="s">
        <v>357</v>
      </c>
    </row>
    <row r="488" spans="1:1" x14ac:dyDescent="0.3">
      <c r="A488" t="s">
        <v>358</v>
      </c>
    </row>
    <row r="489" spans="1:1" x14ac:dyDescent="0.3">
      <c r="A489" t="s">
        <v>359</v>
      </c>
    </row>
    <row r="490" spans="1:1" x14ac:dyDescent="0.3">
      <c r="A490" t="s">
        <v>360</v>
      </c>
    </row>
    <row r="491" spans="1:1" x14ac:dyDescent="0.3">
      <c r="A491" t="s">
        <v>361</v>
      </c>
    </row>
    <row r="492" spans="1:1" x14ac:dyDescent="0.3">
      <c r="A492" t="s">
        <v>362</v>
      </c>
    </row>
    <row r="493" spans="1:1" x14ac:dyDescent="0.3">
      <c r="A493" t="s">
        <v>363</v>
      </c>
    </row>
    <row r="494" spans="1:1" x14ac:dyDescent="0.3">
      <c r="A494" t="s">
        <v>364</v>
      </c>
    </row>
    <row r="495" spans="1:1" x14ac:dyDescent="0.3">
      <c r="A495" t="s">
        <v>365</v>
      </c>
    </row>
    <row r="496" spans="1:1" x14ac:dyDescent="0.3">
      <c r="A496" t="s">
        <v>366</v>
      </c>
    </row>
    <row r="497" spans="1:1" x14ac:dyDescent="0.3">
      <c r="A497" t="s">
        <v>367</v>
      </c>
    </row>
    <row r="498" spans="1:1" x14ac:dyDescent="0.3">
      <c r="A498" t="s">
        <v>368</v>
      </c>
    </row>
    <row r="499" spans="1:1" x14ac:dyDescent="0.3">
      <c r="A499" t="s">
        <v>369</v>
      </c>
    </row>
    <row r="500" spans="1:1" x14ac:dyDescent="0.3">
      <c r="A500" t="s">
        <v>370</v>
      </c>
    </row>
    <row r="501" spans="1:1" x14ac:dyDescent="0.3">
      <c r="A501" t="s">
        <v>371</v>
      </c>
    </row>
    <row r="502" spans="1:1" x14ac:dyDescent="0.3">
      <c r="A502" t="s">
        <v>372</v>
      </c>
    </row>
    <row r="503" spans="1:1" x14ac:dyDescent="0.3">
      <c r="A503" t="s">
        <v>373</v>
      </c>
    </row>
    <row r="504" spans="1:1" x14ac:dyDescent="0.3">
      <c r="A504" t="s">
        <v>374</v>
      </c>
    </row>
    <row r="505" spans="1:1" x14ac:dyDescent="0.3">
      <c r="A505" t="s">
        <v>375</v>
      </c>
    </row>
    <row r="506" spans="1:1" x14ac:dyDescent="0.3">
      <c r="A506" t="s">
        <v>376</v>
      </c>
    </row>
    <row r="507" spans="1:1" x14ac:dyDescent="0.3">
      <c r="A507" t="s">
        <v>377</v>
      </c>
    </row>
    <row r="508" spans="1:1" x14ac:dyDescent="0.3">
      <c r="A508" t="s">
        <v>378</v>
      </c>
    </row>
    <row r="509" spans="1:1" x14ac:dyDescent="0.3">
      <c r="A509" t="s">
        <v>379</v>
      </c>
    </row>
    <row r="510" spans="1:1" x14ac:dyDescent="0.3">
      <c r="A510" t="s">
        <v>380</v>
      </c>
    </row>
    <row r="511" spans="1:1" x14ac:dyDescent="0.3">
      <c r="A511" t="s">
        <v>381</v>
      </c>
    </row>
    <row r="512" spans="1:1" x14ac:dyDescent="0.3">
      <c r="A512" t="s">
        <v>382</v>
      </c>
    </row>
    <row r="513" spans="1:1" x14ac:dyDescent="0.3">
      <c r="A513" t="s">
        <v>383</v>
      </c>
    </row>
    <row r="514" spans="1:1" x14ac:dyDescent="0.3">
      <c r="A514" t="s">
        <v>384</v>
      </c>
    </row>
    <row r="515" spans="1:1" x14ac:dyDescent="0.3">
      <c r="A515" t="s">
        <v>385</v>
      </c>
    </row>
    <row r="516" spans="1:1" x14ac:dyDescent="0.3">
      <c r="A516" t="s">
        <v>386</v>
      </c>
    </row>
    <row r="517" spans="1:1" x14ac:dyDescent="0.3">
      <c r="A517" t="s">
        <v>387</v>
      </c>
    </row>
    <row r="518" spans="1:1" x14ac:dyDescent="0.3">
      <c r="A518" t="s">
        <v>388</v>
      </c>
    </row>
    <row r="519" spans="1:1" x14ac:dyDescent="0.3">
      <c r="A519" t="s">
        <v>389</v>
      </c>
    </row>
    <row r="520" spans="1:1" x14ac:dyDescent="0.3">
      <c r="A520" t="s">
        <v>390</v>
      </c>
    </row>
    <row r="521" spans="1:1" x14ac:dyDescent="0.3">
      <c r="A521" t="s">
        <v>391</v>
      </c>
    </row>
    <row r="522" spans="1:1" x14ac:dyDescent="0.3">
      <c r="A522" t="s">
        <v>392</v>
      </c>
    </row>
    <row r="523" spans="1:1" x14ac:dyDescent="0.3">
      <c r="A523" t="s">
        <v>393</v>
      </c>
    </row>
    <row r="524" spans="1:1" x14ac:dyDescent="0.3">
      <c r="A524" t="s">
        <v>394</v>
      </c>
    </row>
    <row r="525" spans="1:1" x14ac:dyDescent="0.3">
      <c r="A525" t="s">
        <v>395</v>
      </c>
    </row>
    <row r="526" spans="1:1" x14ac:dyDescent="0.3">
      <c r="A526" t="s">
        <v>396</v>
      </c>
    </row>
    <row r="527" spans="1:1" x14ac:dyDescent="0.3">
      <c r="A527" t="s">
        <v>397</v>
      </c>
    </row>
    <row r="528" spans="1:1" x14ac:dyDescent="0.3">
      <c r="A528" t="s">
        <v>398</v>
      </c>
    </row>
    <row r="529" spans="1:1" x14ac:dyDescent="0.3">
      <c r="A529" t="s">
        <v>399</v>
      </c>
    </row>
    <row r="530" spans="1:1" x14ac:dyDescent="0.3">
      <c r="A530" t="s">
        <v>400</v>
      </c>
    </row>
    <row r="531" spans="1:1" x14ac:dyDescent="0.3">
      <c r="A531" t="s">
        <v>1134</v>
      </c>
    </row>
    <row r="532" spans="1:1" x14ac:dyDescent="0.3">
      <c r="A532" t="s">
        <v>1135</v>
      </c>
    </row>
    <row r="533" spans="1:1" x14ac:dyDescent="0.3">
      <c r="A533" t="s">
        <v>1136</v>
      </c>
    </row>
    <row r="534" spans="1:1" x14ac:dyDescent="0.3">
      <c r="A534" t="s">
        <v>1137</v>
      </c>
    </row>
    <row r="535" spans="1:1" x14ac:dyDescent="0.3">
      <c r="A535" t="s">
        <v>1138</v>
      </c>
    </row>
    <row r="536" spans="1:1" x14ac:dyDescent="0.3">
      <c r="A536" t="s">
        <v>1139</v>
      </c>
    </row>
    <row r="537" spans="1:1" x14ac:dyDescent="0.3">
      <c r="A537" t="s">
        <v>1140</v>
      </c>
    </row>
    <row r="538" spans="1:1" x14ac:dyDescent="0.3">
      <c r="A538" t="s">
        <v>1141</v>
      </c>
    </row>
    <row r="539" spans="1:1" x14ac:dyDescent="0.3">
      <c r="A539" t="s">
        <v>1142</v>
      </c>
    </row>
    <row r="540" spans="1:1" x14ac:dyDescent="0.3">
      <c r="A540" t="s">
        <v>1143</v>
      </c>
    </row>
    <row r="541" spans="1:1" x14ac:dyDescent="0.3">
      <c r="A541" t="s">
        <v>1144</v>
      </c>
    </row>
    <row r="542" spans="1:1" x14ac:dyDescent="0.3">
      <c r="A542" t="s">
        <v>1145</v>
      </c>
    </row>
    <row r="543" spans="1:1" x14ac:dyDescent="0.3">
      <c r="A543" t="s">
        <v>1146</v>
      </c>
    </row>
    <row r="544" spans="1:1" x14ac:dyDescent="0.3">
      <c r="A544" t="s">
        <v>1147</v>
      </c>
    </row>
    <row r="545" spans="1:1" x14ac:dyDescent="0.3">
      <c r="A545" t="s">
        <v>1148</v>
      </c>
    </row>
    <row r="546" spans="1:1" x14ac:dyDescent="0.3">
      <c r="A546" t="s">
        <v>1149</v>
      </c>
    </row>
    <row r="547" spans="1:1" x14ac:dyDescent="0.3">
      <c r="A547" t="s">
        <v>1150</v>
      </c>
    </row>
    <row r="548" spans="1:1" x14ac:dyDescent="0.3">
      <c r="A548" t="s">
        <v>1151</v>
      </c>
    </row>
    <row r="549" spans="1:1" x14ac:dyDescent="0.3">
      <c r="A549" t="s">
        <v>1152</v>
      </c>
    </row>
    <row r="550" spans="1:1" x14ac:dyDescent="0.3">
      <c r="A550" t="s">
        <v>1153</v>
      </c>
    </row>
    <row r="551" spans="1:1" x14ac:dyDescent="0.3">
      <c r="A551" t="s">
        <v>1154</v>
      </c>
    </row>
    <row r="552" spans="1:1" x14ac:dyDescent="0.3">
      <c r="A552" t="s">
        <v>1155</v>
      </c>
    </row>
    <row r="553" spans="1:1" x14ac:dyDescent="0.3">
      <c r="A553" t="s">
        <v>1156</v>
      </c>
    </row>
    <row r="554" spans="1:1" x14ac:dyDescent="0.3">
      <c r="A554" t="s">
        <v>1157</v>
      </c>
    </row>
    <row r="555" spans="1:1" x14ac:dyDescent="0.3">
      <c r="A555" t="s">
        <v>1158</v>
      </c>
    </row>
    <row r="556" spans="1:1" x14ac:dyDescent="0.3">
      <c r="A556" t="s">
        <v>1159</v>
      </c>
    </row>
    <row r="557" spans="1:1" x14ac:dyDescent="0.3">
      <c r="A557" t="s">
        <v>1160</v>
      </c>
    </row>
    <row r="558" spans="1:1" x14ac:dyDescent="0.3">
      <c r="A558" t="s">
        <v>1161</v>
      </c>
    </row>
    <row r="559" spans="1:1" x14ac:dyDescent="0.3">
      <c r="A559" t="s">
        <v>1162</v>
      </c>
    </row>
    <row r="560" spans="1:1" x14ac:dyDescent="0.3">
      <c r="A560" t="s">
        <v>1163</v>
      </c>
    </row>
    <row r="561" spans="1:1" x14ac:dyDescent="0.3">
      <c r="A561" t="s">
        <v>1164</v>
      </c>
    </row>
    <row r="562" spans="1:1" x14ac:dyDescent="0.3">
      <c r="A562" t="s">
        <v>1165</v>
      </c>
    </row>
    <row r="563" spans="1:1" x14ac:dyDescent="0.3">
      <c r="A563" t="s">
        <v>1166</v>
      </c>
    </row>
    <row r="564" spans="1:1" x14ac:dyDescent="0.3">
      <c r="A564" t="s">
        <v>1167</v>
      </c>
    </row>
    <row r="565" spans="1:1" x14ac:dyDescent="0.3">
      <c r="A565" t="s">
        <v>1168</v>
      </c>
    </row>
    <row r="566" spans="1:1" x14ac:dyDescent="0.3">
      <c r="A566" t="s">
        <v>1169</v>
      </c>
    </row>
    <row r="567" spans="1:1" x14ac:dyDescent="0.3">
      <c r="A567" t="s">
        <v>1170</v>
      </c>
    </row>
    <row r="568" spans="1:1" x14ac:dyDescent="0.3">
      <c r="A568" t="s">
        <v>1171</v>
      </c>
    </row>
    <row r="569" spans="1:1" x14ac:dyDescent="0.3">
      <c r="A569" t="s">
        <v>1172</v>
      </c>
    </row>
    <row r="570" spans="1:1" x14ac:dyDescent="0.3">
      <c r="A570" t="s">
        <v>1173</v>
      </c>
    </row>
    <row r="571" spans="1:1" x14ac:dyDescent="0.3">
      <c r="A571" t="s">
        <v>1174</v>
      </c>
    </row>
    <row r="572" spans="1:1" x14ac:dyDescent="0.3">
      <c r="A572" t="s">
        <v>1175</v>
      </c>
    </row>
    <row r="573" spans="1:1" x14ac:dyDescent="0.3">
      <c r="A573" t="s">
        <v>1176</v>
      </c>
    </row>
    <row r="574" spans="1:1" x14ac:dyDescent="0.3">
      <c r="A574" t="s">
        <v>1177</v>
      </c>
    </row>
    <row r="575" spans="1:1" x14ac:dyDescent="0.3">
      <c r="A575" t="s">
        <v>1178</v>
      </c>
    </row>
    <row r="576" spans="1:1" x14ac:dyDescent="0.3">
      <c r="A576" t="s">
        <v>1179</v>
      </c>
    </row>
    <row r="577" spans="1:1" x14ac:dyDescent="0.3">
      <c r="A577" t="s">
        <v>1180</v>
      </c>
    </row>
    <row r="578" spans="1:1" x14ac:dyDescent="0.3">
      <c r="A578" t="s">
        <v>1181</v>
      </c>
    </row>
    <row r="579" spans="1:1" x14ac:dyDescent="0.3">
      <c r="A579" t="s">
        <v>1182</v>
      </c>
    </row>
    <row r="580" spans="1:1" x14ac:dyDescent="0.3">
      <c r="A580" t="s">
        <v>1183</v>
      </c>
    </row>
    <row r="581" spans="1:1" x14ac:dyDescent="0.3">
      <c r="A581" t="s">
        <v>1184</v>
      </c>
    </row>
    <row r="582" spans="1:1" x14ac:dyDescent="0.3">
      <c r="A582" t="s">
        <v>1185</v>
      </c>
    </row>
    <row r="583" spans="1:1" x14ac:dyDescent="0.3">
      <c r="A583" t="s">
        <v>1186</v>
      </c>
    </row>
    <row r="584" spans="1:1" x14ac:dyDescent="0.3">
      <c r="A584" t="s">
        <v>1187</v>
      </c>
    </row>
    <row r="585" spans="1:1" x14ac:dyDescent="0.3">
      <c r="A585" t="s">
        <v>1188</v>
      </c>
    </row>
    <row r="586" spans="1:1" x14ac:dyDescent="0.3">
      <c r="A586" t="s">
        <v>1189</v>
      </c>
    </row>
    <row r="587" spans="1:1" x14ac:dyDescent="0.3">
      <c r="A587" t="s">
        <v>1190</v>
      </c>
    </row>
    <row r="588" spans="1:1" x14ac:dyDescent="0.3">
      <c r="A588" t="s">
        <v>1191</v>
      </c>
    </row>
    <row r="589" spans="1:1" x14ac:dyDescent="0.3">
      <c r="A589" t="s">
        <v>1192</v>
      </c>
    </row>
    <row r="590" spans="1:1" x14ac:dyDescent="0.3">
      <c r="A590" t="s">
        <v>1193</v>
      </c>
    </row>
    <row r="591" spans="1:1" x14ac:dyDescent="0.3">
      <c r="A591" t="s">
        <v>1194</v>
      </c>
    </row>
    <row r="592" spans="1:1" x14ac:dyDescent="0.3">
      <c r="A592" t="s">
        <v>1195</v>
      </c>
    </row>
    <row r="593" spans="1:1" x14ac:dyDescent="0.3">
      <c r="A593" t="s">
        <v>1196</v>
      </c>
    </row>
    <row r="594" spans="1:1" x14ac:dyDescent="0.3">
      <c r="A594" t="s">
        <v>1197</v>
      </c>
    </row>
    <row r="595" spans="1:1" x14ac:dyDescent="0.3">
      <c r="A595" t="s">
        <v>1198</v>
      </c>
    </row>
    <row r="596" spans="1:1" x14ac:dyDescent="0.3">
      <c r="A596" t="s">
        <v>1199</v>
      </c>
    </row>
    <row r="597" spans="1:1" x14ac:dyDescent="0.3">
      <c r="A597" t="s">
        <v>1200</v>
      </c>
    </row>
    <row r="598" spans="1:1" x14ac:dyDescent="0.3">
      <c r="A598" t="s">
        <v>1201</v>
      </c>
    </row>
    <row r="599" spans="1:1" x14ac:dyDescent="0.3">
      <c r="A599" t="s">
        <v>1202</v>
      </c>
    </row>
    <row r="600" spans="1:1" x14ac:dyDescent="0.3">
      <c r="A600" t="s">
        <v>1203</v>
      </c>
    </row>
    <row r="601" spans="1:1" x14ac:dyDescent="0.3">
      <c r="A601" t="s">
        <v>1204</v>
      </c>
    </row>
    <row r="602" spans="1:1" x14ac:dyDescent="0.3">
      <c r="A602" t="s">
        <v>1205</v>
      </c>
    </row>
    <row r="603" spans="1:1" x14ac:dyDescent="0.3">
      <c r="A603" t="s">
        <v>1206</v>
      </c>
    </row>
    <row r="604" spans="1:1" x14ac:dyDescent="0.3">
      <c r="A604" t="s">
        <v>1207</v>
      </c>
    </row>
    <row r="605" spans="1:1" x14ac:dyDescent="0.3">
      <c r="A605" t="s">
        <v>1208</v>
      </c>
    </row>
    <row r="606" spans="1:1" x14ac:dyDescent="0.3">
      <c r="A606" t="s">
        <v>1209</v>
      </c>
    </row>
    <row r="607" spans="1:1" x14ac:dyDescent="0.3">
      <c r="A607" t="s">
        <v>1210</v>
      </c>
    </row>
    <row r="608" spans="1:1" x14ac:dyDescent="0.3">
      <c r="A608" t="s">
        <v>1211</v>
      </c>
    </row>
    <row r="609" spans="1:1" x14ac:dyDescent="0.3">
      <c r="A609" t="s">
        <v>1212</v>
      </c>
    </row>
    <row r="610" spans="1:1" x14ac:dyDescent="0.3">
      <c r="A610" t="s">
        <v>1213</v>
      </c>
    </row>
    <row r="611" spans="1:1" x14ac:dyDescent="0.3">
      <c r="A611" t="s">
        <v>1214</v>
      </c>
    </row>
    <row r="612" spans="1:1" x14ac:dyDescent="0.3">
      <c r="A612" t="s">
        <v>1215</v>
      </c>
    </row>
    <row r="613" spans="1:1" x14ac:dyDescent="0.3">
      <c r="A613" t="s">
        <v>1216</v>
      </c>
    </row>
    <row r="614" spans="1:1" x14ac:dyDescent="0.3">
      <c r="A614" t="s">
        <v>1217</v>
      </c>
    </row>
    <row r="615" spans="1:1" x14ac:dyDescent="0.3">
      <c r="A615" t="s">
        <v>1218</v>
      </c>
    </row>
    <row r="616" spans="1:1" x14ac:dyDescent="0.3">
      <c r="A616" t="s">
        <v>1219</v>
      </c>
    </row>
    <row r="617" spans="1:1" x14ac:dyDescent="0.3">
      <c r="A617" t="s">
        <v>1220</v>
      </c>
    </row>
    <row r="618" spans="1:1" x14ac:dyDescent="0.3">
      <c r="A618" t="s">
        <v>1221</v>
      </c>
    </row>
    <row r="619" spans="1:1" x14ac:dyDescent="0.3">
      <c r="A619" t="s">
        <v>1222</v>
      </c>
    </row>
    <row r="620" spans="1:1" x14ac:dyDescent="0.3">
      <c r="A620" t="s">
        <v>1223</v>
      </c>
    </row>
    <row r="621" spans="1:1" x14ac:dyDescent="0.3">
      <c r="A621" t="s">
        <v>1224</v>
      </c>
    </row>
    <row r="622" spans="1:1" x14ac:dyDescent="0.3">
      <c r="A622" t="s">
        <v>1225</v>
      </c>
    </row>
    <row r="623" spans="1:1" x14ac:dyDescent="0.3">
      <c r="A623" t="s">
        <v>1226</v>
      </c>
    </row>
    <row r="624" spans="1:1" x14ac:dyDescent="0.3">
      <c r="A624" t="s">
        <v>1227</v>
      </c>
    </row>
    <row r="625" spans="1:1" x14ac:dyDescent="0.3">
      <c r="A625" t="s">
        <v>1228</v>
      </c>
    </row>
    <row r="626" spans="1:1" x14ac:dyDescent="0.3">
      <c r="A626" t="s">
        <v>1229</v>
      </c>
    </row>
    <row r="627" spans="1:1" x14ac:dyDescent="0.3">
      <c r="A627" t="s">
        <v>1230</v>
      </c>
    </row>
    <row r="628" spans="1:1" x14ac:dyDescent="0.3">
      <c r="A628" t="s">
        <v>1231</v>
      </c>
    </row>
    <row r="629" spans="1:1" x14ac:dyDescent="0.3">
      <c r="A629" t="s">
        <v>1232</v>
      </c>
    </row>
    <row r="630" spans="1:1" x14ac:dyDescent="0.3">
      <c r="A630" t="s">
        <v>1233</v>
      </c>
    </row>
    <row r="631" spans="1:1" x14ac:dyDescent="0.3">
      <c r="A631" t="s">
        <v>1234</v>
      </c>
    </row>
    <row r="632" spans="1:1" x14ac:dyDescent="0.3">
      <c r="A632" t="s">
        <v>1235</v>
      </c>
    </row>
    <row r="633" spans="1:1" x14ac:dyDescent="0.3">
      <c r="A633" t="s">
        <v>1236</v>
      </c>
    </row>
    <row r="634" spans="1:1" x14ac:dyDescent="0.3">
      <c r="A634" t="s">
        <v>1237</v>
      </c>
    </row>
    <row r="635" spans="1:1" x14ac:dyDescent="0.3">
      <c r="A635" t="s">
        <v>1238</v>
      </c>
    </row>
    <row r="636" spans="1:1" x14ac:dyDescent="0.3">
      <c r="A636" t="s">
        <v>1239</v>
      </c>
    </row>
    <row r="637" spans="1:1" x14ac:dyDescent="0.3">
      <c r="A637" t="s">
        <v>1240</v>
      </c>
    </row>
    <row r="638" spans="1:1" x14ac:dyDescent="0.3">
      <c r="A638" t="s">
        <v>1241</v>
      </c>
    </row>
    <row r="639" spans="1:1" x14ac:dyDescent="0.3">
      <c r="A639" t="s">
        <v>1242</v>
      </c>
    </row>
    <row r="640" spans="1:1" x14ac:dyDescent="0.3">
      <c r="A640" t="s">
        <v>1243</v>
      </c>
    </row>
    <row r="641" spans="1:1" x14ac:dyDescent="0.3">
      <c r="A641" t="s">
        <v>1244</v>
      </c>
    </row>
    <row r="642" spans="1:1" x14ac:dyDescent="0.3">
      <c r="A642" t="s">
        <v>1245</v>
      </c>
    </row>
    <row r="643" spans="1:1" x14ac:dyDescent="0.3">
      <c r="A643" t="s">
        <v>1246</v>
      </c>
    </row>
    <row r="644" spans="1:1" x14ac:dyDescent="0.3">
      <c r="A644" t="s">
        <v>1247</v>
      </c>
    </row>
    <row r="645" spans="1:1" x14ac:dyDescent="0.3">
      <c r="A645" t="s">
        <v>1248</v>
      </c>
    </row>
    <row r="646" spans="1:1" x14ac:dyDescent="0.3">
      <c r="A646" t="s">
        <v>1249</v>
      </c>
    </row>
    <row r="647" spans="1:1" x14ac:dyDescent="0.3">
      <c r="A647" t="s">
        <v>1250</v>
      </c>
    </row>
    <row r="648" spans="1:1" x14ac:dyDescent="0.3">
      <c r="A648" t="s">
        <v>1251</v>
      </c>
    </row>
    <row r="649" spans="1:1" x14ac:dyDescent="0.3">
      <c r="A649" t="s">
        <v>1252</v>
      </c>
    </row>
    <row r="650" spans="1:1" x14ac:dyDescent="0.3">
      <c r="A650" t="s">
        <v>1253</v>
      </c>
    </row>
    <row r="651" spans="1:1" x14ac:dyDescent="0.3">
      <c r="A651" t="s">
        <v>401</v>
      </c>
    </row>
    <row r="652" spans="1:1" x14ac:dyDescent="0.3">
      <c r="A652" t="s">
        <v>402</v>
      </c>
    </row>
    <row r="653" spans="1:1" x14ac:dyDescent="0.3">
      <c r="A653" t="s">
        <v>403</v>
      </c>
    </row>
    <row r="654" spans="1:1" x14ac:dyDescent="0.3">
      <c r="A654" t="s">
        <v>404</v>
      </c>
    </row>
    <row r="655" spans="1:1" x14ac:dyDescent="0.3">
      <c r="A655" t="s">
        <v>405</v>
      </c>
    </row>
    <row r="656" spans="1:1" x14ac:dyDescent="0.3">
      <c r="A656" t="s">
        <v>406</v>
      </c>
    </row>
    <row r="657" spans="1:1" x14ac:dyDescent="0.3">
      <c r="A657" t="s">
        <v>407</v>
      </c>
    </row>
    <row r="658" spans="1:1" x14ac:dyDescent="0.3">
      <c r="A658" t="s">
        <v>408</v>
      </c>
    </row>
    <row r="659" spans="1:1" x14ac:dyDescent="0.3">
      <c r="A659" t="s">
        <v>409</v>
      </c>
    </row>
    <row r="660" spans="1:1" x14ac:dyDescent="0.3">
      <c r="A660" t="s">
        <v>410</v>
      </c>
    </row>
    <row r="661" spans="1:1" x14ac:dyDescent="0.3">
      <c r="A661" t="s">
        <v>411</v>
      </c>
    </row>
    <row r="662" spans="1:1" x14ac:dyDescent="0.3">
      <c r="A662" t="s">
        <v>412</v>
      </c>
    </row>
    <row r="663" spans="1:1" x14ac:dyDescent="0.3">
      <c r="A663" t="s">
        <v>413</v>
      </c>
    </row>
    <row r="664" spans="1:1" x14ac:dyDescent="0.3">
      <c r="A664" t="s">
        <v>414</v>
      </c>
    </row>
    <row r="665" spans="1:1" x14ac:dyDescent="0.3">
      <c r="A665" t="s">
        <v>415</v>
      </c>
    </row>
    <row r="666" spans="1:1" x14ac:dyDescent="0.3">
      <c r="A666" t="s">
        <v>416</v>
      </c>
    </row>
    <row r="667" spans="1:1" x14ac:dyDescent="0.3">
      <c r="A667" t="s">
        <v>417</v>
      </c>
    </row>
    <row r="668" spans="1:1" x14ac:dyDescent="0.3">
      <c r="A668" t="s">
        <v>418</v>
      </c>
    </row>
    <row r="669" spans="1:1" x14ac:dyDescent="0.3">
      <c r="A669" t="s">
        <v>419</v>
      </c>
    </row>
    <row r="670" spans="1:1" x14ac:dyDescent="0.3">
      <c r="A670" t="s">
        <v>420</v>
      </c>
    </row>
    <row r="671" spans="1:1" x14ac:dyDescent="0.3">
      <c r="A671" t="s">
        <v>421</v>
      </c>
    </row>
    <row r="672" spans="1:1" x14ac:dyDescent="0.3">
      <c r="A672" t="s">
        <v>422</v>
      </c>
    </row>
    <row r="673" spans="1:1" x14ac:dyDescent="0.3">
      <c r="A673" t="s">
        <v>423</v>
      </c>
    </row>
    <row r="674" spans="1:1" x14ac:dyDescent="0.3">
      <c r="A674" t="s">
        <v>424</v>
      </c>
    </row>
    <row r="675" spans="1:1" x14ac:dyDescent="0.3">
      <c r="A675" t="s">
        <v>425</v>
      </c>
    </row>
    <row r="676" spans="1:1" x14ac:dyDescent="0.3">
      <c r="A676" t="s">
        <v>426</v>
      </c>
    </row>
    <row r="677" spans="1:1" x14ac:dyDescent="0.3">
      <c r="A677" t="s">
        <v>427</v>
      </c>
    </row>
    <row r="678" spans="1:1" x14ac:dyDescent="0.3">
      <c r="A678" t="s">
        <v>428</v>
      </c>
    </row>
    <row r="679" spans="1:1" x14ac:dyDescent="0.3">
      <c r="A679" t="s">
        <v>429</v>
      </c>
    </row>
    <row r="680" spans="1:1" x14ac:dyDescent="0.3">
      <c r="A680" t="s">
        <v>430</v>
      </c>
    </row>
    <row r="681" spans="1:1" x14ac:dyDescent="0.3">
      <c r="A681" t="s">
        <v>431</v>
      </c>
    </row>
    <row r="682" spans="1:1" x14ac:dyDescent="0.3">
      <c r="A682" t="s">
        <v>432</v>
      </c>
    </row>
    <row r="683" spans="1:1" x14ac:dyDescent="0.3">
      <c r="A683" t="s">
        <v>433</v>
      </c>
    </row>
    <row r="684" spans="1:1" x14ac:dyDescent="0.3">
      <c r="A684" t="s">
        <v>434</v>
      </c>
    </row>
    <row r="685" spans="1:1" x14ac:dyDescent="0.3">
      <c r="A685" t="s">
        <v>435</v>
      </c>
    </row>
    <row r="686" spans="1:1" x14ac:dyDescent="0.3">
      <c r="A686" t="s">
        <v>436</v>
      </c>
    </row>
    <row r="687" spans="1:1" x14ac:dyDescent="0.3">
      <c r="A687" t="s">
        <v>437</v>
      </c>
    </row>
    <row r="688" spans="1:1" x14ac:dyDescent="0.3">
      <c r="A688" t="s">
        <v>438</v>
      </c>
    </row>
    <row r="689" spans="1:1" x14ac:dyDescent="0.3">
      <c r="A689" t="s">
        <v>439</v>
      </c>
    </row>
    <row r="690" spans="1:1" x14ac:dyDescent="0.3">
      <c r="A690" t="s">
        <v>440</v>
      </c>
    </row>
    <row r="691" spans="1:1" x14ac:dyDescent="0.3">
      <c r="A691" t="s">
        <v>441</v>
      </c>
    </row>
    <row r="692" spans="1:1" x14ac:dyDescent="0.3">
      <c r="A692" t="s">
        <v>442</v>
      </c>
    </row>
    <row r="693" spans="1:1" x14ac:dyDescent="0.3">
      <c r="A693" t="s">
        <v>443</v>
      </c>
    </row>
    <row r="694" spans="1:1" x14ac:dyDescent="0.3">
      <c r="A694" t="s">
        <v>444</v>
      </c>
    </row>
    <row r="695" spans="1:1" x14ac:dyDescent="0.3">
      <c r="A695" t="s">
        <v>445</v>
      </c>
    </row>
    <row r="696" spans="1:1" x14ac:dyDescent="0.3">
      <c r="A696" t="s">
        <v>446</v>
      </c>
    </row>
    <row r="697" spans="1:1" x14ac:dyDescent="0.3">
      <c r="A697" t="s">
        <v>447</v>
      </c>
    </row>
    <row r="698" spans="1:1" x14ac:dyDescent="0.3">
      <c r="A698" t="s">
        <v>448</v>
      </c>
    </row>
    <row r="699" spans="1:1" x14ac:dyDescent="0.3">
      <c r="A699" t="s">
        <v>449</v>
      </c>
    </row>
    <row r="700" spans="1:1" x14ac:dyDescent="0.3">
      <c r="A700" t="s">
        <v>450</v>
      </c>
    </row>
    <row r="701" spans="1:1" x14ac:dyDescent="0.3">
      <c r="A701" t="s">
        <v>451</v>
      </c>
    </row>
    <row r="702" spans="1:1" x14ac:dyDescent="0.3">
      <c r="A702" t="s">
        <v>452</v>
      </c>
    </row>
    <row r="703" spans="1:1" x14ac:dyDescent="0.3">
      <c r="A703" t="s">
        <v>453</v>
      </c>
    </row>
    <row r="704" spans="1:1" x14ac:dyDescent="0.3">
      <c r="A704" t="s">
        <v>454</v>
      </c>
    </row>
    <row r="705" spans="1:1" x14ac:dyDescent="0.3">
      <c r="A705" t="s">
        <v>455</v>
      </c>
    </row>
    <row r="706" spans="1:1" x14ac:dyDescent="0.3">
      <c r="A706" t="s">
        <v>456</v>
      </c>
    </row>
    <row r="707" spans="1:1" x14ac:dyDescent="0.3">
      <c r="A707" t="s">
        <v>457</v>
      </c>
    </row>
    <row r="708" spans="1:1" x14ac:dyDescent="0.3">
      <c r="A708" t="s">
        <v>458</v>
      </c>
    </row>
    <row r="709" spans="1:1" x14ac:dyDescent="0.3">
      <c r="A709" t="s">
        <v>459</v>
      </c>
    </row>
    <row r="710" spans="1:1" x14ac:dyDescent="0.3">
      <c r="A710" t="s">
        <v>460</v>
      </c>
    </row>
    <row r="711" spans="1:1" x14ac:dyDescent="0.3">
      <c r="A711" t="s">
        <v>461</v>
      </c>
    </row>
    <row r="712" spans="1:1" x14ac:dyDescent="0.3">
      <c r="A712" t="s">
        <v>462</v>
      </c>
    </row>
    <row r="713" spans="1:1" x14ac:dyDescent="0.3">
      <c r="A713" t="s">
        <v>463</v>
      </c>
    </row>
    <row r="714" spans="1:1" x14ac:dyDescent="0.3">
      <c r="A714" t="s">
        <v>464</v>
      </c>
    </row>
    <row r="715" spans="1:1" x14ac:dyDescent="0.3">
      <c r="A715" t="s">
        <v>465</v>
      </c>
    </row>
    <row r="716" spans="1:1" x14ac:dyDescent="0.3">
      <c r="A716" t="s">
        <v>466</v>
      </c>
    </row>
    <row r="717" spans="1:1" x14ac:dyDescent="0.3">
      <c r="A717" t="s">
        <v>467</v>
      </c>
    </row>
    <row r="718" spans="1:1" x14ac:dyDescent="0.3">
      <c r="A718" t="s">
        <v>468</v>
      </c>
    </row>
    <row r="719" spans="1:1" x14ac:dyDescent="0.3">
      <c r="A719" t="s">
        <v>469</v>
      </c>
    </row>
    <row r="720" spans="1:1" x14ac:dyDescent="0.3">
      <c r="A720" t="s">
        <v>470</v>
      </c>
    </row>
    <row r="721" spans="1:1" x14ac:dyDescent="0.3">
      <c r="A721" t="s">
        <v>471</v>
      </c>
    </row>
    <row r="722" spans="1:1" x14ac:dyDescent="0.3">
      <c r="A722" t="s">
        <v>472</v>
      </c>
    </row>
    <row r="723" spans="1:1" x14ac:dyDescent="0.3">
      <c r="A723" t="s">
        <v>473</v>
      </c>
    </row>
    <row r="724" spans="1:1" x14ac:dyDescent="0.3">
      <c r="A724" t="s">
        <v>474</v>
      </c>
    </row>
    <row r="725" spans="1:1" x14ac:dyDescent="0.3">
      <c r="A725" t="s">
        <v>475</v>
      </c>
    </row>
    <row r="726" spans="1:1" x14ac:dyDescent="0.3">
      <c r="A726" t="s">
        <v>476</v>
      </c>
    </row>
    <row r="727" spans="1:1" x14ac:dyDescent="0.3">
      <c r="A727" t="s">
        <v>477</v>
      </c>
    </row>
    <row r="728" spans="1:1" x14ac:dyDescent="0.3">
      <c r="A728" t="s">
        <v>478</v>
      </c>
    </row>
    <row r="729" spans="1:1" x14ac:dyDescent="0.3">
      <c r="A729" t="s">
        <v>479</v>
      </c>
    </row>
    <row r="730" spans="1:1" x14ac:dyDescent="0.3">
      <c r="A730" t="s">
        <v>480</v>
      </c>
    </row>
    <row r="731" spans="1:1" x14ac:dyDescent="0.3">
      <c r="A731" t="s">
        <v>1254</v>
      </c>
    </row>
    <row r="732" spans="1:1" x14ac:dyDescent="0.3">
      <c r="A732" t="s">
        <v>1255</v>
      </c>
    </row>
    <row r="733" spans="1:1" x14ac:dyDescent="0.3">
      <c r="A733" t="s">
        <v>1256</v>
      </c>
    </row>
    <row r="734" spans="1:1" x14ac:dyDescent="0.3">
      <c r="A734" t="s">
        <v>1257</v>
      </c>
    </row>
    <row r="735" spans="1:1" x14ac:dyDescent="0.3">
      <c r="A735" t="s">
        <v>1258</v>
      </c>
    </row>
    <row r="736" spans="1:1" x14ac:dyDescent="0.3">
      <c r="A736" t="s">
        <v>1259</v>
      </c>
    </row>
    <row r="737" spans="1:1" x14ac:dyDescent="0.3">
      <c r="A737" t="s">
        <v>1260</v>
      </c>
    </row>
    <row r="738" spans="1:1" x14ac:dyDescent="0.3">
      <c r="A738" t="s">
        <v>1261</v>
      </c>
    </row>
    <row r="739" spans="1:1" x14ac:dyDescent="0.3">
      <c r="A739" t="s">
        <v>1262</v>
      </c>
    </row>
    <row r="740" spans="1:1" x14ac:dyDescent="0.3">
      <c r="A740" t="s">
        <v>1263</v>
      </c>
    </row>
    <row r="741" spans="1:1" x14ac:dyDescent="0.3">
      <c r="A741" t="s">
        <v>1264</v>
      </c>
    </row>
    <row r="742" spans="1:1" x14ac:dyDescent="0.3">
      <c r="A742" t="s">
        <v>1265</v>
      </c>
    </row>
    <row r="743" spans="1:1" x14ac:dyDescent="0.3">
      <c r="A743" t="s">
        <v>1266</v>
      </c>
    </row>
    <row r="744" spans="1:1" x14ac:dyDescent="0.3">
      <c r="A744" t="s">
        <v>1267</v>
      </c>
    </row>
    <row r="745" spans="1:1" x14ac:dyDescent="0.3">
      <c r="A745" t="s">
        <v>1268</v>
      </c>
    </row>
    <row r="746" spans="1:1" x14ac:dyDescent="0.3">
      <c r="A746" t="s">
        <v>1269</v>
      </c>
    </row>
    <row r="747" spans="1:1" x14ac:dyDescent="0.3">
      <c r="A747" t="s">
        <v>1270</v>
      </c>
    </row>
    <row r="748" spans="1:1" x14ac:dyDescent="0.3">
      <c r="A748" t="s">
        <v>1271</v>
      </c>
    </row>
    <row r="749" spans="1:1" x14ac:dyDescent="0.3">
      <c r="A749" t="s">
        <v>1272</v>
      </c>
    </row>
    <row r="750" spans="1:1" x14ac:dyDescent="0.3">
      <c r="A750" t="s">
        <v>1273</v>
      </c>
    </row>
    <row r="751" spans="1:1" x14ac:dyDescent="0.3">
      <c r="A751" t="s">
        <v>481</v>
      </c>
    </row>
    <row r="752" spans="1:1" x14ac:dyDescent="0.3">
      <c r="A752" t="s">
        <v>482</v>
      </c>
    </row>
    <row r="753" spans="1:1" x14ac:dyDescent="0.3">
      <c r="A753" t="s">
        <v>483</v>
      </c>
    </row>
    <row r="754" spans="1:1" x14ac:dyDescent="0.3">
      <c r="A754" t="s">
        <v>484</v>
      </c>
    </row>
    <row r="755" spans="1:1" x14ac:dyDescent="0.3">
      <c r="A755" t="s">
        <v>485</v>
      </c>
    </row>
    <row r="756" spans="1:1" x14ac:dyDescent="0.3">
      <c r="A756" t="s">
        <v>486</v>
      </c>
    </row>
    <row r="757" spans="1:1" x14ac:dyDescent="0.3">
      <c r="A757" t="s">
        <v>487</v>
      </c>
    </row>
    <row r="758" spans="1:1" x14ac:dyDescent="0.3">
      <c r="A758" t="s">
        <v>488</v>
      </c>
    </row>
    <row r="759" spans="1:1" x14ac:dyDescent="0.3">
      <c r="A759" t="s">
        <v>489</v>
      </c>
    </row>
    <row r="760" spans="1:1" x14ac:dyDescent="0.3">
      <c r="A760" t="s">
        <v>490</v>
      </c>
    </row>
    <row r="761" spans="1:1" x14ac:dyDescent="0.3">
      <c r="A761" t="s">
        <v>491</v>
      </c>
    </row>
    <row r="762" spans="1:1" x14ac:dyDescent="0.3">
      <c r="A762" t="s">
        <v>492</v>
      </c>
    </row>
    <row r="763" spans="1:1" x14ac:dyDescent="0.3">
      <c r="A763" t="s">
        <v>493</v>
      </c>
    </row>
    <row r="764" spans="1:1" x14ac:dyDescent="0.3">
      <c r="A764" t="s">
        <v>494</v>
      </c>
    </row>
    <row r="765" spans="1:1" x14ac:dyDescent="0.3">
      <c r="A765" t="s">
        <v>495</v>
      </c>
    </row>
    <row r="766" spans="1:1" x14ac:dyDescent="0.3">
      <c r="A766" t="s">
        <v>496</v>
      </c>
    </row>
    <row r="767" spans="1:1" x14ac:dyDescent="0.3">
      <c r="A767" t="s">
        <v>497</v>
      </c>
    </row>
    <row r="768" spans="1:1" x14ac:dyDescent="0.3">
      <c r="A768" t="s">
        <v>498</v>
      </c>
    </row>
    <row r="769" spans="1:1" x14ac:dyDescent="0.3">
      <c r="A769" t="s">
        <v>499</v>
      </c>
    </row>
    <row r="770" spans="1:1" x14ac:dyDescent="0.3">
      <c r="A770" t="s">
        <v>500</v>
      </c>
    </row>
    <row r="771" spans="1:1" x14ac:dyDescent="0.3">
      <c r="A771" t="s">
        <v>501</v>
      </c>
    </row>
    <row r="772" spans="1:1" x14ac:dyDescent="0.3">
      <c r="A772" t="s">
        <v>502</v>
      </c>
    </row>
    <row r="773" spans="1:1" x14ac:dyDescent="0.3">
      <c r="A773" t="s">
        <v>503</v>
      </c>
    </row>
    <row r="774" spans="1:1" x14ac:dyDescent="0.3">
      <c r="A774" t="s">
        <v>504</v>
      </c>
    </row>
    <row r="775" spans="1:1" x14ac:dyDescent="0.3">
      <c r="A775" t="s">
        <v>505</v>
      </c>
    </row>
    <row r="776" spans="1:1" x14ac:dyDescent="0.3">
      <c r="A776" t="s">
        <v>506</v>
      </c>
    </row>
    <row r="777" spans="1:1" x14ac:dyDescent="0.3">
      <c r="A777" t="s">
        <v>507</v>
      </c>
    </row>
    <row r="778" spans="1:1" x14ac:dyDescent="0.3">
      <c r="A778" t="s">
        <v>508</v>
      </c>
    </row>
    <row r="779" spans="1:1" x14ac:dyDescent="0.3">
      <c r="A779" t="s">
        <v>509</v>
      </c>
    </row>
    <row r="780" spans="1:1" x14ac:dyDescent="0.3">
      <c r="A780" t="s">
        <v>510</v>
      </c>
    </row>
    <row r="781" spans="1:1" x14ac:dyDescent="0.3">
      <c r="A781" t="s">
        <v>511</v>
      </c>
    </row>
    <row r="782" spans="1:1" x14ac:dyDescent="0.3">
      <c r="A782" t="s">
        <v>512</v>
      </c>
    </row>
    <row r="783" spans="1:1" x14ac:dyDescent="0.3">
      <c r="A783" t="s">
        <v>513</v>
      </c>
    </row>
    <row r="784" spans="1:1" x14ac:dyDescent="0.3">
      <c r="A784" t="s">
        <v>514</v>
      </c>
    </row>
    <row r="785" spans="1:1" x14ac:dyDescent="0.3">
      <c r="A785" t="s">
        <v>515</v>
      </c>
    </row>
    <row r="786" spans="1:1" x14ac:dyDescent="0.3">
      <c r="A786" t="s">
        <v>516</v>
      </c>
    </row>
    <row r="787" spans="1:1" x14ac:dyDescent="0.3">
      <c r="A787" t="s">
        <v>517</v>
      </c>
    </row>
    <row r="788" spans="1:1" x14ac:dyDescent="0.3">
      <c r="A788" t="s">
        <v>518</v>
      </c>
    </row>
    <row r="789" spans="1:1" x14ac:dyDescent="0.3">
      <c r="A789" t="s">
        <v>519</v>
      </c>
    </row>
    <row r="790" spans="1:1" x14ac:dyDescent="0.3">
      <c r="A790" t="s">
        <v>520</v>
      </c>
    </row>
    <row r="791" spans="1:1" x14ac:dyDescent="0.3">
      <c r="A791" t="s">
        <v>521</v>
      </c>
    </row>
    <row r="792" spans="1:1" x14ac:dyDescent="0.3">
      <c r="A792" t="s">
        <v>522</v>
      </c>
    </row>
    <row r="793" spans="1:1" x14ac:dyDescent="0.3">
      <c r="A793" t="s">
        <v>523</v>
      </c>
    </row>
    <row r="794" spans="1:1" x14ac:dyDescent="0.3">
      <c r="A794" t="s">
        <v>524</v>
      </c>
    </row>
    <row r="795" spans="1:1" x14ac:dyDescent="0.3">
      <c r="A795" t="s">
        <v>525</v>
      </c>
    </row>
    <row r="796" spans="1:1" x14ac:dyDescent="0.3">
      <c r="A796" t="s">
        <v>526</v>
      </c>
    </row>
    <row r="797" spans="1:1" x14ac:dyDescent="0.3">
      <c r="A797" t="s">
        <v>527</v>
      </c>
    </row>
    <row r="798" spans="1:1" x14ac:dyDescent="0.3">
      <c r="A798" t="s">
        <v>528</v>
      </c>
    </row>
    <row r="799" spans="1:1" x14ac:dyDescent="0.3">
      <c r="A799" t="s">
        <v>529</v>
      </c>
    </row>
    <row r="800" spans="1:1" x14ac:dyDescent="0.3">
      <c r="A800" t="s">
        <v>530</v>
      </c>
    </row>
    <row r="801" spans="1:1" x14ac:dyDescent="0.3">
      <c r="A801" t="s">
        <v>531</v>
      </c>
    </row>
    <row r="802" spans="1:1" x14ac:dyDescent="0.3">
      <c r="A802" t="s">
        <v>532</v>
      </c>
    </row>
    <row r="803" spans="1:1" x14ac:dyDescent="0.3">
      <c r="A803" t="s">
        <v>533</v>
      </c>
    </row>
    <row r="804" spans="1:1" x14ac:dyDescent="0.3">
      <c r="A804" t="s">
        <v>534</v>
      </c>
    </row>
    <row r="805" spans="1:1" x14ac:dyDescent="0.3">
      <c r="A805" t="s">
        <v>535</v>
      </c>
    </row>
    <row r="806" spans="1:1" x14ac:dyDescent="0.3">
      <c r="A806" t="s">
        <v>536</v>
      </c>
    </row>
    <row r="807" spans="1:1" x14ac:dyDescent="0.3">
      <c r="A807" t="s">
        <v>537</v>
      </c>
    </row>
    <row r="808" spans="1:1" x14ac:dyDescent="0.3">
      <c r="A808" t="s">
        <v>538</v>
      </c>
    </row>
    <row r="809" spans="1:1" x14ac:dyDescent="0.3">
      <c r="A809" t="s">
        <v>539</v>
      </c>
    </row>
    <row r="810" spans="1:1" x14ac:dyDescent="0.3">
      <c r="A810" t="s">
        <v>540</v>
      </c>
    </row>
    <row r="811" spans="1:1" x14ac:dyDescent="0.3">
      <c r="A811" t="s">
        <v>541</v>
      </c>
    </row>
    <row r="812" spans="1:1" x14ac:dyDescent="0.3">
      <c r="A812" t="s">
        <v>542</v>
      </c>
    </row>
    <row r="813" spans="1:1" x14ac:dyDescent="0.3">
      <c r="A813" t="s">
        <v>543</v>
      </c>
    </row>
    <row r="814" spans="1:1" x14ac:dyDescent="0.3">
      <c r="A814" t="s">
        <v>544</v>
      </c>
    </row>
    <row r="815" spans="1:1" x14ac:dyDescent="0.3">
      <c r="A815" t="s">
        <v>545</v>
      </c>
    </row>
    <row r="816" spans="1:1" x14ac:dyDescent="0.3">
      <c r="A816" t="s">
        <v>546</v>
      </c>
    </row>
    <row r="817" spans="1:1" x14ac:dyDescent="0.3">
      <c r="A817" t="s">
        <v>547</v>
      </c>
    </row>
    <row r="818" spans="1:1" x14ac:dyDescent="0.3">
      <c r="A818" t="s">
        <v>548</v>
      </c>
    </row>
    <row r="819" spans="1:1" x14ac:dyDescent="0.3">
      <c r="A819" t="s">
        <v>549</v>
      </c>
    </row>
    <row r="820" spans="1:1" x14ac:dyDescent="0.3">
      <c r="A820" t="s">
        <v>550</v>
      </c>
    </row>
    <row r="821" spans="1:1" x14ac:dyDescent="0.3">
      <c r="A821" t="s">
        <v>551</v>
      </c>
    </row>
    <row r="822" spans="1:1" x14ac:dyDescent="0.3">
      <c r="A822" t="s">
        <v>552</v>
      </c>
    </row>
    <row r="823" spans="1:1" x14ac:dyDescent="0.3">
      <c r="A823" t="s">
        <v>553</v>
      </c>
    </row>
    <row r="824" spans="1:1" x14ac:dyDescent="0.3">
      <c r="A824" t="s">
        <v>554</v>
      </c>
    </row>
    <row r="825" spans="1:1" x14ac:dyDescent="0.3">
      <c r="A825" t="s">
        <v>555</v>
      </c>
    </row>
    <row r="826" spans="1:1" x14ac:dyDescent="0.3">
      <c r="A826" t="s">
        <v>556</v>
      </c>
    </row>
    <row r="827" spans="1:1" x14ac:dyDescent="0.3">
      <c r="A827" t="s">
        <v>557</v>
      </c>
    </row>
    <row r="828" spans="1:1" x14ac:dyDescent="0.3">
      <c r="A828" t="s">
        <v>558</v>
      </c>
    </row>
    <row r="829" spans="1:1" x14ac:dyDescent="0.3">
      <c r="A829" t="s">
        <v>559</v>
      </c>
    </row>
    <row r="830" spans="1:1" x14ac:dyDescent="0.3">
      <c r="A830" t="s">
        <v>560</v>
      </c>
    </row>
    <row r="831" spans="1:1" x14ac:dyDescent="0.3">
      <c r="A831" t="s">
        <v>561</v>
      </c>
    </row>
    <row r="832" spans="1:1" x14ac:dyDescent="0.3">
      <c r="A832" t="s">
        <v>562</v>
      </c>
    </row>
    <row r="833" spans="1:1" x14ac:dyDescent="0.3">
      <c r="A833" t="s">
        <v>563</v>
      </c>
    </row>
    <row r="834" spans="1:1" x14ac:dyDescent="0.3">
      <c r="A834" t="s">
        <v>564</v>
      </c>
    </row>
    <row r="835" spans="1:1" x14ac:dyDescent="0.3">
      <c r="A835" t="s">
        <v>565</v>
      </c>
    </row>
    <row r="836" spans="1:1" x14ac:dyDescent="0.3">
      <c r="A836" t="s">
        <v>566</v>
      </c>
    </row>
    <row r="837" spans="1:1" x14ac:dyDescent="0.3">
      <c r="A837" t="s">
        <v>567</v>
      </c>
    </row>
    <row r="838" spans="1:1" x14ac:dyDescent="0.3">
      <c r="A838" t="s">
        <v>568</v>
      </c>
    </row>
    <row r="839" spans="1:1" x14ac:dyDescent="0.3">
      <c r="A839" t="s">
        <v>569</v>
      </c>
    </row>
    <row r="840" spans="1:1" x14ac:dyDescent="0.3">
      <c r="A840" t="s">
        <v>570</v>
      </c>
    </row>
    <row r="841" spans="1:1" x14ac:dyDescent="0.3">
      <c r="A841" t="s">
        <v>571</v>
      </c>
    </row>
    <row r="842" spans="1:1" x14ac:dyDescent="0.3">
      <c r="A842" t="s">
        <v>572</v>
      </c>
    </row>
    <row r="843" spans="1:1" x14ac:dyDescent="0.3">
      <c r="A843" t="s">
        <v>573</v>
      </c>
    </row>
    <row r="844" spans="1:1" x14ac:dyDescent="0.3">
      <c r="A844" t="s">
        <v>574</v>
      </c>
    </row>
    <row r="845" spans="1:1" x14ac:dyDescent="0.3">
      <c r="A845" t="s">
        <v>575</v>
      </c>
    </row>
    <row r="846" spans="1:1" x14ac:dyDescent="0.3">
      <c r="A846" t="s">
        <v>576</v>
      </c>
    </row>
    <row r="847" spans="1:1" x14ac:dyDescent="0.3">
      <c r="A847" t="s">
        <v>577</v>
      </c>
    </row>
    <row r="848" spans="1:1" x14ac:dyDescent="0.3">
      <c r="A848" t="s">
        <v>578</v>
      </c>
    </row>
    <row r="849" spans="1:1" x14ac:dyDescent="0.3">
      <c r="A849" t="s">
        <v>579</v>
      </c>
    </row>
    <row r="850" spans="1:1" x14ac:dyDescent="0.3">
      <c r="A850" t="s">
        <v>580</v>
      </c>
    </row>
    <row r="851" spans="1:1" x14ac:dyDescent="0.3">
      <c r="A851" t="s">
        <v>581</v>
      </c>
    </row>
    <row r="852" spans="1:1" x14ac:dyDescent="0.3">
      <c r="A852" t="s">
        <v>582</v>
      </c>
    </row>
    <row r="853" spans="1:1" x14ac:dyDescent="0.3">
      <c r="A853" t="s">
        <v>583</v>
      </c>
    </row>
    <row r="854" spans="1:1" x14ac:dyDescent="0.3">
      <c r="A854" t="s">
        <v>584</v>
      </c>
    </row>
    <row r="855" spans="1:1" x14ac:dyDescent="0.3">
      <c r="A855" t="s">
        <v>585</v>
      </c>
    </row>
    <row r="856" spans="1:1" x14ac:dyDescent="0.3">
      <c r="A856" t="s">
        <v>586</v>
      </c>
    </row>
    <row r="857" spans="1:1" x14ac:dyDescent="0.3">
      <c r="A857" t="s">
        <v>587</v>
      </c>
    </row>
    <row r="858" spans="1:1" x14ac:dyDescent="0.3">
      <c r="A858" t="s">
        <v>588</v>
      </c>
    </row>
    <row r="859" spans="1:1" x14ac:dyDescent="0.3">
      <c r="A859" t="s">
        <v>589</v>
      </c>
    </row>
    <row r="860" spans="1:1" x14ac:dyDescent="0.3">
      <c r="A860" t="s">
        <v>590</v>
      </c>
    </row>
    <row r="861" spans="1:1" x14ac:dyDescent="0.3">
      <c r="A861" t="s">
        <v>591</v>
      </c>
    </row>
    <row r="862" spans="1:1" x14ac:dyDescent="0.3">
      <c r="A862" t="s">
        <v>592</v>
      </c>
    </row>
    <row r="863" spans="1:1" x14ac:dyDescent="0.3">
      <c r="A863" t="s">
        <v>593</v>
      </c>
    </row>
    <row r="864" spans="1:1" x14ac:dyDescent="0.3">
      <c r="A864" t="s">
        <v>594</v>
      </c>
    </row>
    <row r="865" spans="1:1" x14ac:dyDescent="0.3">
      <c r="A865" t="s">
        <v>595</v>
      </c>
    </row>
    <row r="866" spans="1:1" x14ac:dyDescent="0.3">
      <c r="A866" t="s">
        <v>596</v>
      </c>
    </row>
    <row r="867" spans="1:1" x14ac:dyDescent="0.3">
      <c r="A867" t="s">
        <v>597</v>
      </c>
    </row>
    <row r="868" spans="1:1" x14ac:dyDescent="0.3">
      <c r="A868" t="s">
        <v>598</v>
      </c>
    </row>
    <row r="869" spans="1:1" x14ac:dyDescent="0.3">
      <c r="A869" t="s">
        <v>599</v>
      </c>
    </row>
    <row r="870" spans="1:1" x14ac:dyDescent="0.3">
      <c r="A870" t="s">
        <v>600</v>
      </c>
    </row>
    <row r="871" spans="1:1" x14ac:dyDescent="0.3">
      <c r="A871" t="s">
        <v>601</v>
      </c>
    </row>
    <row r="872" spans="1:1" x14ac:dyDescent="0.3">
      <c r="A872" t="s">
        <v>602</v>
      </c>
    </row>
    <row r="873" spans="1:1" x14ac:dyDescent="0.3">
      <c r="A873" t="s">
        <v>603</v>
      </c>
    </row>
    <row r="874" spans="1:1" x14ac:dyDescent="0.3">
      <c r="A874" t="s">
        <v>604</v>
      </c>
    </row>
    <row r="875" spans="1:1" x14ac:dyDescent="0.3">
      <c r="A875" t="s">
        <v>605</v>
      </c>
    </row>
    <row r="876" spans="1:1" x14ac:dyDescent="0.3">
      <c r="A876" t="s">
        <v>606</v>
      </c>
    </row>
    <row r="877" spans="1:1" x14ac:dyDescent="0.3">
      <c r="A877" t="s">
        <v>607</v>
      </c>
    </row>
    <row r="878" spans="1:1" x14ac:dyDescent="0.3">
      <c r="A878" t="s">
        <v>608</v>
      </c>
    </row>
    <row r="879" spans="1:1" x14ac:dyDescent="0.3">
      <c r="A879" t="s">
        <v>609</v>
      </c>
    </row>
    <row r="880" spans="1:1" x14ac:dyDescent="0.3">
      <c r="A880" t="s">
        <v>610</v>
      </c>
    </row>
    <row r="881" spans="1:1" x14ac:dyDescent="0.3">
      <c r="A881" t="s">
        <v>611</v>
      </c>
    </row>
    <row r="882" spans="1:1" x14ac:dyDescent="0.3">
      <c r="A882" t="s">
        <v>612</v>
      </c>
    </row>
    <row r="883" spans="1:1" x14ac:dyDescent="0.3">
      <c r="A883" t="s">
        <v>613</v>
      </c>
    </row>
    <row r="884" spans="1:1" x14ac:dyDescent="0.3">
      <c r="A884" t="s">
        <v>614</v>
      </c>
    </row>
    <row r="885" spans="1:1" x14ac:dyDescent="0.3">
      <c r="A885" t="s">
        <v>615</v>
      </c>
    </row>
    <row r="886" spans="1:1" x14ac:dyDescent="0.3">
      <c r="A886" t="s">
        <v>616</v>
      </c>
    </row>
    <row r="887" spans="1:1" x14ac:dyDescent="0.3">
      <c r="A887" t="s">
        <v>617</v>
      </c>
    </row>
    <row r="888" spans="1:1" x14ac:dyDescent="0.3">
      <c r="A888" t="s">
        <v>618</v>
      </c>
    </row>
    <row r="889" spans="1:1" x14ac:dyDescent="0.3">
      <c r="A889" t="s">
        <v>619</v>
      </c>
    </row>
    <row r="890" spans="1:1" x14ac:dyDescent="0.3">
      <c r="A890" t="s">
        <v>620</v>
      </c>
    </row>
    <row r="891" spans="1:1" x14ac:dyDescent="0.3">
      <c r="A891" t="s">
        <v>621</v>
      </c>
    </row>
    <row r="892" spans="1:1" x14ac:dyDescent="0.3">
      <c r="A892" t="s">
        <v>622</v>
      </c>
    </row>
    <row r="893" spans="1:1" x14ac:dyDescent="0.3">
      <c r="A893" t="s">
        <v>623</v>
      </c>
    </row>
    <row r="894" spans="1:1" x14ac:dyDescent="0.3">
      <c r="A894" t="s">
        <v>624</v>
      </c>
    </row>
    <row r="895" spans="1:1" x14ac:dyDescent="0.3">
      <c r="A895" t="s">
        <v>625</v>
      </c>
    </row>
    <row r="896" spans="1:1" x14ac:dyDescent="0.3">
      <c r="A896" t="s">
        <v>626</v>
      </c>
    </row>
    <row r="897" spans="1:1" x14ac:dyDescent="0.3">
      <c r="A897" t="s">
        <v>627</v>
      </c>
    </row>
    <row r="898" spans="1:1" x14ac:dyDescent="0.3">
      <c r="A898" t="s">
        <v>628</v>
      </c>
    </row>
    <row r="899" spans="1:1" x14ac:dyDescent="0.3">
      <c r="A899" t="s">
        <v>629</v>
      </c>
    </row>
    <row r="900" spans="1:1" x14ac:dyDescent="0.3">
      <c r="A900" t="s">
        <v>630</v>
      </c>
    </row>
    <row r="901" spans="1:1" x14ac:dyDescent="0.3">
      <c r="A901" t="s">
        <v>631</v>
      </c>
    </row>
    <row r="902" spans="1:1" x14ac:dyDescent="0.3">
      <c r="A902" t="s">
        <v>632</v>
      </c>
    </row>
    <row r="903" spans="1:1" x14ac:dyDescent="0.3">
      <c r="A903" t="s">
        <v>633</v>
      </c>
    </row>
    <row r="904" spans="1:1" x14ac:dyDescent="0.3">
      <c r="A904" t="s">
        <v>634</v>
      </c>
    </row>
    <row r="905" spans="1:1" x14ac:dyDescent="0.3">
      <c r="A905" t="s">
        <v>635</v>
      </c>
    </row>
    <row r="906" spans="1:1" x14ac:dyDescent="0.3">
      <c r="A906" t="s">
        <v>636</v>
      </c>
    </row>
    <row r="907" spans="1:1" x14ac:dyDescent="0.3">
      <c r="A907" t="s">
        <v>637</v>
      </c>
    </row>
    <row r="908" spans="1:1" x14ac:dyDescent="0.3">
      <c r="A908" t="s">
        <v>638</v>
      </c>
    </row>
    <row r="909" spans="1:1" x14ac:dyDescent="0.3">
      <c r="A909" t="s">
        <v>639</v>
      </c>
    </row>
    <row r="910" spans="1:1" x14ac:dyDescent="0.3">
      <c r="A910" t="s">
        <v>640</v>
      </c>
    </row>
    <row r="911" spans="1:1" x14ac:dyDescent="0.3">
      <c r="A911" t="s">
        <v>1274</v>
      </c>
    </row>
    <row r="912" spans="1:1" x14ac:dyDescent="0.3">
      <c r="A912" t="s">
        <v>1275</v>
      </c>
    </row>
    <row r="913" spans="1:1" x14ac:dyDescent="0.3">
      <c r="A913" t="s">
        <v>1276</v>
      </c>
    </row>
    <row r="914" spans="1:1" x14ac:dyDescent="0.3">
      <c r="A914" t="s">
        <v>1277</v>
      </c>
    </row>
    <row r="915" spans="1:1" x14ac:dyDescent="0.3">
      <c r="A915" t="s">
        <v>1278</v>
      </c>
    </row>
    <row r="916" spans="1:1" x14ac:dyDescent="0.3">
      <c r="A916" t="s">
        <v>1279</v>
      </c>
    </row>
    <row r="917" spans="1:1" x14ac:dyDescent="0.3">
      <c r="A917" t="s">
        <v>1280</v>
      </c>
    </row>
    <row r="918" spans="1:1" x14ac:dyDescent="0.3">
      <c r="A918" t="s">
        <v>1281</v>
      </c>
    </row>
    <row r="919" spans="1:1" x14ac:dyDescent="0.3">
      <c r="A919" t="s">
        <v>1282</v>
      </c>
    </row>
    <row r="920" spans="1:1" x14ac:dyDescent="0.3">
      <c r="A920" t="s">
        <v>1283</v>
      </c>
    </row>
    <row r="921" spans="1:1" x14ac:dyDescent="0.3">
      <c r="A921" t="s">
        <v>1284</v>
      </c>
    </row>
    <row r="922" spans="1:1" x14ac:dyDescent="0.3">
      <c r="A922" t="s">
        <v>1285</v>
      </c>
    </row>
    <row r="923" spans="1:1" x14ac:dyDescent="0.3">
      <c r="A923" t="s">
        <v>1286</v>
      </c>
    </row>
    <row r="924" spans="1:1" x14ac:dyDescent="0.3">
      <c r="A924" t="s">
        <v>1287</v>
      </c>
    </row>
    <row r="925" spans="1:1" x14ac:dyDescent="0.3">
      <c r="A925" t="s">
        <v>1288</v>
      </c>
    </row>
    <row r="926" spans="1:1" x14ac:dyDescent="0.3">
      <c r="A926" t="s">
        <v>1289</v>
      </c>
    </row>
    <row r="927" spans="1:1" x14ac:dyDescent="0.3">
      <c r="A927" t="s">
        <v>1290</v>
      </c>
    </row>
    <row r="928" spans="1:1" x14ac:dyDescent="0.3">
      <c r="A928" t="s">
        <v>1291</v>
      </c>
    </row>
    <row r="929" spans="1:1" x14ac:dyDescent="0.3">
      <c r="A929" t="s">
        <v>1292</v>
      </c>
    </row>
    <row r="930" spans="1:1" x14ac:dyDescent="0.3">
      <c r="A930" t="s">
        <v>1293</v>
      </c>
    </row>
    <row r="931" spans="1:1" x14ac:dyDescent="0.3">
      <c r="A931" t="s">
        <v>1294</v>
      </c>
    </row>
    <row r="932" spans="1:1" x14ac:dyDescent="0.3">
      <c r="A932" t="s">
        <v>1295</v>
      </c>
    </row>
    <row r="933" spans="1:1" x14ac:dyDescent="0.3">
      <c r="A933" t="s">
        <v>1296</v>
      </c>
    </row>
    <row r="934" spans="1:1" x14ac:dyDescent="0.3">
      <c r="A934" t="s">
        <v>1297</v>
      </c>
    </row>
    <row r="935" spans="1:1" x14ac:dyDescent="0.3">
      <c r="A935" t="s">
        <v>1298</v>
      </c>
    </row>
    <row r="936" spans="1:1" x14ac:dyDescent="0.3">
      <c r="A936" t="s">
        <v>1299</v>
      </c>
    </row>
    <row r="937" spans="1:1" x14ac:dyDescent="0.3">
      <c r="A937" t="s">
        <v>1300</v>
      </c>
    </row>
    <row r="938" spans="1:1" x14ac:dyDescent="0.3">
      <c r="A938" t="s">
        <v>1301</v>
      </c>
    </row>
    <row r="939" spans="1:1" x14ac:dyDescent="0.3">
      <c r="A939" t="s">
        <v>1302</v>
      </c>
    </row>
    <row r="940" spans="1:1" x14ac:dyDescent="0.3">
      <c r="A940" t="s">
        <v>1303</v>
      </c>
    </row>
    <row r="941" spans="1:1" x14ac:dyDescent="0.3">
      <c r="A941" t="s">
        <v>1304</v>
      </c>
    </row>
    <row r="942" spans="1:1" x14ac:dyDescent="0.3">
      <c r="A942" t="s">
        <v>1305</v>
      </c>
    </row>
    <row r="943" spans="1:1" x14ac:dyDescent="0.3">
      <c r="A943" t="s">
        <v>1306</v>
      </c>
    </row>
    <row r="944" spans="1:1" x14ac:dyDescent="0.3">
      <c r="A944" t="s">
        <v>1307</v>
      </c>
    </row>
    <row r="945" spans="1:1" x14ac:dyDescent="0.3">
      <c r="A945" t="s">
        <v>1308</v>
      </c>
    </row>
    <row r="946" spans="1:1" x14ac:dyDescent="0.3">
      <c r="A946" t="s">
        <v>1309</v>
      </c>
    </row>
    <row r="947" spans="1:1" x14ac:dyDescent="0.3">
      <c r="A947" t="s">
        <v>1310</v>
      </c>
    </row>
    <row r="948" spans="1:1" x14ac:dyDescent="0.3">
      <c r="A948" t="s">
        <v>1311</v>
      </c>
    </row>
    <row r="949" spans="1:1" x14ac:dyDescent="0.3">
      <c r="A949" t="s">
        <v>1312</v>
      </c>
    </row>
    <row r="950" spans="1:1" x14ac:dyDescent="0.3">
      <c r="A950" t="s">
        <v>1313</v>
      </c>
    </row>
    <row r="951" spans="1:1" x14ac:dyDescent="0.3">
      <c r="A951" t="s">
        <v>1314</v>
      </c>
    </row>
    <row r="952" spans="1:1" x14ac:dyDescent="0.3">
      <c r="A952" t="s">
        <v>1315</v>
      </c>
    </row>
    <row r="953" spans="1:1" x14ac:dyDescent="0.3">
      <c r="A953" t="s">
        <v>1316</v>
      </c>
    </row>
    <row r="954" spans="1:1" x14ac:dyDescent="0.3">
      <c r="A954" t="s">
        <v>1317</v>
      </c>
    </row>
    <row r="955" spans="1:1" x14ac:dyDescent="0.3">
      <c r="A955" t="s">
        <v>1318</v>
      </c>
    </row>
    <row r="956" spans="1:1" x14ac:dyDescent="0.3">
      <c r="A956" t="s">
        <v>1319</v>
      </c>
    </row>
    <row r="957" spans="1:1" x14ac:dyDescent="0.3">
      <c r="A957" t="s">
        <v>1320</v>
      </c>
    </row>
    <row r="958" spans="1:1" x14ac:dyDescent="0.3">
      <c r="A958" t="s">
        <v>1321</v>
      </c>
    </row>
    <row r="959" spans="1:1" x14ac:dyDescent="0.3">
      <c r="A959" t="s">
        <v>1322</v>
      </c>
    </row>
    <row r="960" spans="1:1" x14ac:dyDescent="0.3">
      <c r="A960" t="s">
        <v>1323</v>
      </c>
    </row>
    <row r="961" spans="1:1" x14ac:dyDescent="0.3">
      <c r="A961" t="s">
        <v>1324</v>
      </c>
    </row>
    <row r="962" spans="1:1" x14ac:dyDescent="0.3">
      <c r="A962" t="s">
        <v>1325</v>
      </c>
    </row>
    <row r="963" spans="1:1" x14ac:dyDescent="0.3">
      <c r="A963" t="s">
        <v>1326</v>
      </c>
    </row>
    <row r="964" spans="1:1" x14ac:dyDescent="0.3">
      <c r="A964" t="s">
        <v>1327</v>
      </c>
    </row>
    <row r="965" spans="1:1" x14ac:dyDescent="0.3">
      <c r="A965" t="s">
        <v>1328</v>
      </c>
    </row>
    <row r="966" spans="1:1" x14ac:dyDescent="0.3">
      <c r="A966" t="s">
        <v>1329</v>
      </c>
    </row>
    <row r="967" spans="1:1" x14ac:dyDescent="0.3">
      <c r="A967" t="s">
        <v>1330</v>
      </c>
    </row>
    <row r="968" spans="1:1" x14ac:dyDescent="0.3">
      <c r="A968" t="s">
        <v>1331</v>
      </c>
    </row>
    <row r="969" spans="1:1" x14ac:dyDescent="0.3">
      <c r="A969" t="s">
        <v>1332</v>
      </c>
    </row>
    <row r="970" spans="1:1" x14ac:dyDescent="0.3">
      <c r="A970" t="s">
        <v>1333</v>
      </c>
    </row>
    <row r="971" spans="1:1" x14ac:dyDescent="0.3">
      <c r="A971" t="s">
        <v>641</v>
      </c>
    </row>
    <row r="972" spans="1:1" x14ac:dyDescent="0.3">
      <c r="A972" t="s">
        <v>642</v>
      </c>
    </row>
    <row r="973" spans="1:1" x14ac:dyDescent="0.3">
      <c r="A973" t="s">
        <v>643</v>
      </c>
    </row>
    <row r="974" spans="1:1" x14ac:dyDescent="0.3">
      <c r="A974" t="s">
        <v>644</v>
      </c>
    </row>
    <row r="975" spans="1:1" x14ac:dyDescent="0.3">
      <c r="A975" t="s">
        <v>645</v>
      </c>
    </row>
    <row r="976" spans="1:1" x14ac:dyDescent="0.3">
      <c r="A976" t="s">
        <v>646</v>
      </c>
    </row>
    <row r="977" spans="1:1" x14ac:dyDescent="0.3">
      <c r="A977" t="s">
        <v>647</v>
      </c>
    </row>
    <row r="978" spans="1:1" x14ac:dyDescent="0.3">
      <c r="A978" t="s">
        <v>648</v>
      </c>
    </row>
    <row r="979" spans="1:1" x14ac:dyDescent="0.3">
      <c r="A979" t="s">
        <v>649</v>
      </c>
    </row>
    <row r="980" spans="1:1" x14ac:dyDescent="0.3">
      <c r="A980" t="s">
        <v>650</v>
      </c>
    </row>
    <row r="981" spans="1:1" x14ac:dyDescent="0.3">
      <c r="A981" t="s">
        <v>651</v>
      </c>
    </row>
    <row r="982" spans="1:1" x14ac:dyDescent="0.3">
      <c r="A982" t="s">
        <v>652</v>
      </c>
    </row>
    <row r="983" spans="1:1" x14ac:dyDescent="0.3">
      <c r="A983" t="s">
        <v>653</v>
      </c>
    </row>
    <row r="984" spans="1:1" x14ac:dyDescent="0.3">
      <c r="A984" t="s">
        <v>654</v>
      </c>
    </row>
    <row r="985" spans="1:1" x14ac:dyDescent="0.3">
      <c r="A985" t="s">
        <v>655</v>
      </c>
    </row>
    <row r="986" spans="1:1" x14ac:dyDescent="0.3">
      <c r="A986" t="s">
        <v>656</v>
      </c>
    </row>
    <row r="987" spans="1:1" x14ac:dyDescent="0.3">
      <c r="A987" t="s">
        <v>657</v>
      </c>
    </row>
    <row r="988" spans="1:1" x14ac:dyDescent="0.3">
      <c r="A988" t="s">
        <v>658</v>
      </c>
    </row>
    <row r="989" spans="1:1" x14ac:dyDescent="0.3">
      <c r="A989" t="s">
        <v>659</v>
      </c>
    </row>
    <row r="990" spans="1:1" x14ac:dyDescent="0.3">
      <c r="A990" t="s">
        <v>660</v>
      </c>
    </row>
    <row r="991" spans="1:1" x14ac:dyDescent="0.3">
      <c r="A991" t="s">
        <v>661</v>
      </c>
    </row>
    <row r="992" spans="1:1" x14ac:dyDescent="0.3">
      <c r="A992" t="s">
        <v>662</v>
      </c>
    </row>
    <row r="993" spans="1:1" x14ac:dyDescent="0.3">
      <c r="A993" t="s">
        <v>663</v>
      </c>
    </row>
    <row r="994" spans="1:1" x14ac:dyDescent="0.3">
      <c r="A994" t="s">
        <v>664</v>
      </c>
    </row>
    <row r="995" spans="1:1" x14ac:dyDescent="0.3">
      <c r="A995" t="s">
        <v>665</v>
      </c>
    </row>
    <row r="996" spans="1:1" x14ac:dyDescent="0.3">
      <c r="A996" t="s">
        <v>666</v>
      </c>
    </row>
    <row r="997" spans="1:1" x14ac:dyDescent="0.3">
      <c r="A997" t="s">
        <v>667</v>
      </c>
    </row>
    <row r="998" spans="1:1" x14ac:dyDescent="0.3">
      <c r="A998" t="s">
        <v>668</v>
      </c>
    </row>
    <row r="999" spans="1:1" x14ac:dyDescent="0.3">
      <c r="A999" t="s">
        <v>669</v>
      </c>
    </row>
    <row r="1000" spans="1:1" x14ac:dyDescent="0.3">
      <c r="A1000" t="s">
        <v>670</v>
      </c>
    </row>
    <row r="1001" spans="1:1" x14ac:dyDescent="0.3">
      <c r="A1001" t="s">
        <v>671</v>
      </c>
    </row>
    <row r="1002" spans="1:1" x14ac:dyDescent="0.3">
      <c r="A1002" t="s">
        <v>672</v>
      </c>
    </row>
    <row r="1003" spans="1:1" x14ac:dyDescent="0.3">
      <c r="A1003" t="s">
        <v>673</v>
      </c>
    </row>
    <row r="1004" spans="1:1" x14ac:dyDescent="0.3">
      <c r="A1004" t="s">
        <v>674</v>
      </c>
    </row>
    <row r="1005" spans="1:1" x14ac:dyDescent="0.3">
      <c r="A1005" t="s">
        <v>675</v>
      </c>
    </row>
    <row r="1006" spans="1:1" x14ac:dyDescent="0.3">
      <c r="A1006" t="s">
        <v>676</v>
      </c>
    </row>
    <row r="1007" spans="1:1" x14ac:dyDescent="0.3">
      <c r="A1007" t="s">
        <v>677</v>
      </c>
    </row>
    <row r="1008" spans="1:1" x14ac:dyDescent="0.3">
      <c r="A1008" t="s">
        <v>678</v>
      </c>
    </row>
    <row r="1009" spans="1:1" x14ac:dyDescent="0.3">
      <c r="A1009" t="s">
        <v>679</v>
      </c>
    </row>
    <row r="1010" spans="1:1" x14ac:dyDescent="0.3">
      <c r="A1010" t="s">
        <v>680</v>
      </c>
    </row>
    <row r="1011" spans="1:1" x14ac:dyDescent="0.3">
      <c r="A1011" t="s">
        <v>681</v>
      </c>
    </row>
    <row r="1012" spans="1:1" x14ac:dyDescent="0.3">
      <c r="A1012" t="s">
        <v>682</v>
      </c>
    </row>
    <row r="1013" spans="1:1" x14ac:dyDescent="0.3">
      <c r="A1013" t="s">
        <v>683</v>
      </c>
    </row>
    <row r="1014" spans="1:1" x14ac:dyDescent="0.3">
      <c r="A1014" t="s">
        <v>684</v>
      </c>
    </row>
    <row r="1015" spans="1:1" x14ac:dyDescent="0.3">
      <c r="A1015" t="s">
        <v>685</v>
      </c>
    </row>
    <row r="1016" spans="1:1" x14ac:dyDescent="0.3">
      <c r="A1016" t="s">
        <v>686</v>
      </c>
    </row>
    <row r="1017" spans="1:1" x14ac:dyDescent="0.3">
      <c r="A1017" t="s">
        <v>687</v>
      </c>
    </row>
    <row r="1018" spans="1:1" x14ac:dyDescent="0.3">
      <c r="A1018" t="s">
        <v>688</v>
      </c>
    </row>
    <row r="1019" spans="1:1" x14ac:dyDescent="0.3">
      <c r="A1019" t="s">
        <v>689</v>
      </c>
    </row>
    <row r="1020" spans="1:1" x14ac:dyDescent="0.3">
      <c r="A1020" t="s">
        <v>690</v>
      </c>
    </row>
    <row r="1021" spans="1:1" x14ac:dyDescent="0.3">
      <c r="A1021" t="s">
        <v>691</v>
      </c>
    </row>
    <row r="1022" spans="1:1" x14ac:dyDescent="0.3">
      <c r="A1022" t="s">
        <v>692</v>
      </c>
    </row>
    <row r="1023" spans="1:1" x14ac:dyDescent="0.3">
      <c r="A1023" t="s">
        <v>693</v>
      </c>
    </row>
    <row r="1024" spans="1:1" x14ac:dyDescent="0.3">
      <c r="A1024" t="s">
        <v>694</v>
      </c>
    </row>
    <row r="1025" spans="1:1" x14ac:dyDescent="0.3">
      <c r="A1025" t="s">
        <v>695</v>
      </c>
    </row>
    <row r="1026" spans="1:1" x14ac:dyDescent="0.3">
      <c r="A1026" t="s">
        <v>696</v>
      </c>
    </row>
    <row r="1027" spans="1:1" x14ac:dyDescent="0.3">
      <c r="A1027" t="s">
        <v>697</v>
      </c>
    </row>
    <row r="1028" spans="1:1" x14ac:dyDescent="0.3">
      <c r="A1028" t="s">
        <v>698</v>
      </c>
    </row>
    <row r="1029" spans="1:1" x14ac:dyDescent="0.3">
      <c r="A1029" t="s">
        <v>699</v>
      </c>
    </row>
    <row r="1030" spans="1:1" x14ac:dyDescent="0.3">
      <c r="A1030" t="s">
        <v>700</v>
      </c>
    </row>
    <row r="1031" spans="1:1" x14ac:dyDescent="0.3">
      <c r="A1031" t="s">
        <v>701</v>
      </c>
    </row>
    <row r="1032" spans="1:1" x14ac:dyDescent="0.3">
      <c r="A1032" t="s">
        <v>702</v>
      </c>
    </row>
    <row r="1033" spans="1:1" x14ac:dyDescent="0.3">
      <c r="A1033" t="s">
        <v>703</v>
      </c>
    </row>
    <row r="1034" spans="1:1" x14ac:dyDescent="0.3">
      <c r="A1034" t="s">
        <v>704</v>
      </c>
    </row>
    <row r="1035" spans="1:1" x14ac:dyDescent="0.3">
      <c r="A1035" t="s">
        <v>705</v>
      </c>
    </row>
    <row r="1036" spans="1:1" x14ac:dyDescent="0.3">
      <c r="A1036" t="s">
        <v>706</v>
      </c>
    </row>
    <row r="1037" spans="1:1" x14ac:dyDescent="0.3">
      <c r="A1037" t="s">
        <v>707</v>
      </c>
    </row>
    <row r="1038" spans="1:1" x14ac:dyDescent="0.3">
      <c r="A1038" t="s">
        <v>708</v>
      </c>
    </row>
    <row r="1039" spans="1:1" x14ac:dyDescent="0.3">
      <c r="A1039" t="s">
        <v>709</v>
      </c>
    </row>
    <row r="1040" spans="1:1" x14ac:dyDescent="0.3">
      <c r="A1040" t="s">
        <v>710</v>
      </c>
    </row>
    <row r="1041" spans="1:1" x14ac:dyDescent="0.3">
      <c r="A1041" t="s">
        <v>711</v>
      </c>
    </row>
    <row r="1042" spans="1:1" x14ac:dyDescent="0.3">
      <c r="A1042" t="s">
        <v>712</v>
      </c>
    </row>
    <row r="1043" spans="1:1" x14ac:dyDescent="0.3">
      <c r="A1043" t="s">
        <v>713</v>
      </c>
    </row>
    <row r="1044" spans="1:1" x14ac:dyDescent="0.3">
      <c r="A1044" t="s">
        <v>714</v>
      </c>
    </row>
    <row r="1045" spans="1:1" x14ac:dyDescent="0.3">
      <c r="A1045" t="s">
        <v>715</v>
      </c>
    </row>
    <row r="1046" spans="1:1" x14ac:dyDescent="0.3">
      <c r="A1046" t="s">
        <v>716</v>
      </c>
    </row>
    <row r="1047" spans="1:1" x14ac:dyDescent="0.3">
      <c r="A1047" t="s">
        <v>717</v>
      </c>
    </row>
    <row r="1048" spans="1:1" x14ac:dyDescent="0.3">
      <c r="A1048" t="s">
        <v>718</v>
      </c>
    </row>
    <row r="1049" spans="1:1" x14ac:dyDescent="0.3">
      <c r="A1049" t="s">
        <v>719</v>
      </c>
    </row>
    <row r="1050" spans="1:1" x14ac:dyDescent="0.3">
      <c r="A1050" t="s">
        <v>720</v>
      </c>
    </row>
    <row r="1051" spans="1:1" x14ac:dyDescent="0.3">
      <c r="A1051" t="s">
        <v>721</v>
      </c>
    </row>
    <row r="1052" spans="1:1" x14ac:dyDescent="0.3">
      <c r="A1052" t="s">
        <v>722</v>
      </c>
    </row>
    <row r="1053" spans="1:1" x14ac:dyDescent="0.3">
      <c r="A1053" t="s">
        <v>723</v>
      </c>
    </row>
    <row r="1054" spans="1:1" x14ac:dyDescent="0.3">
      <c r="A1054" t="s">
        <v>724</v>
      </c>
    </row>
    <row r="1055" spans="1:1" x14ac:dyDescent="0.3">
      <c r="A1055" t="s">
        <v>725</v>
      </c>
    </row>
    <row r="1056" spans="1:1" x14ac:dyDescent="0.3">
      <c r="A1056" t="s">
        <v>726</v>
      </c>
    </row>
    <row r="1057" spans="1:1" x14ac:dyDescent="0.3">
      <c r="A1057" t="s">
        <v>727</v>
      </c>
    </row>
    <row r="1058" spans="1:1" x14ac:dyDescent="0.3">
      <c r="A1058" t="s">
        <v>728</v>
      </c>
    </row>
    <row r="1059" spans="1:1" x14ac:dyDescent="0.3">
      <c r="A1059" t="s">
        <v>729</v>
      </c>
    </row>
    <row r="1060" spans="1:1" x14ac:dyDescent="0.3">
      <c r="A1060" t="s">
        <v>730</v>
      </c>
    </row>
    <row r="1061" spans="1:1" x14ac:dyDescent="0.3">
      <c r="A1061" t="s">
        <v>731</v>
      </c>
    </row>
    <row r="1062" spans="1:1" x14ac:dyDescent="0.3">
      <c r="A1062" t="s">
        <v>732</v>
      </c>
    </row>
    <row r="1063" spans="1:1" x14ac:dyDescent="0.3">
      <c r="A1063" t="s">
        <v>733</v>
      </c>
    </row>
    <row r="1064" spans="1:1" x14ac:dyDescent="0.3">
      <c r="A1064" t="s">
        <v>734</v>
      </c>
    </row>
    <row r="1065" spans="1:1" x14ac:dyDescent="0.3">
      <c r="A1065" t="s">
        <v>735</v>
      </c>
    </row>
    <row r="1066" spans="1:1" x14ac:dyDescent="0.3">
      <c r="A1066" t="s">
        <v>736</v>
      </c>
    </row>
    <row r="1067" spans="1:1" x14ac:dyDescent="0.3">
      <c r="A1067" t="s">
        <v>737</v>
      </c>
    </row>
    <row r="1068" spans="1:1" x14ac:dyDescent="0.3">
      <c r="A1068" t="s">
        <v>738</v>
      </c>
    </row>
    <row r="1069" spans="1:1" x14ac:dyDescent="0.3">
      <c r="A1069" t="s">
        <v>739</v>
      </c>
    </row>
    <row r="1070" spans="1:1" x14ac:dyDescent="0.3">
      <c r="A1070" t="s">
        <v>740</v>
      </c>
    </row>
    <row r="1071" spans="1:1" x14ac:dyDescent="0.3">
      <c r="A1071" t="s">
        <v>741</v>
      </c>
    </row>
    <row r="1072" spans="1:1" x14ac:dyDescent="0.3">
      <c r="A1072" t="s">
        <v>742</v>
      </c>
    </row>
    <row r="1073" spans="1:1" x14ac:dyDescent="0.3">
      <c r="A1073" t="s">
        <v>743</v>
      </c>
    </row>
    <row r="1074" spans="1:1" x14ac:dyDescent="0.3">
      <c r="A1074" t="s">
        <v>744</v>
      </c>
    </row>
    <row r="1075" spans="1:1" x14ac:dyDescent="0.3">
      <c r="A1075" t="s">
        <v>745</v>
      </c>
    </row>
    <row r="1076" spans="1:1" x14ac:dyDescent="0.3">
      <c r="A1076" t="s">
        <v>746</v>
      </c>
    </row>
    <row r="1077" spans="1:1" x14ac:dyDescent="0.3">
      <c r="A1077" t="s">
        <v>747</v>
      </c>
    </row>
    <row r="1078" spans="1:1" x14ac:dyDescent="0.3">
      <c r="A1078" t="s">
        <v>748</v>
      </c>
    </row>
    <row r="1079" spans="1:1" x14ac:dyDescent="0.3">
      <c r="A1079" t="s">
        <v>749</v>
      </c>
    </row>
    <row r="1080" spans="1:1" x14ac:dyDescent="0.3">
      <c r="A1080" t="s">
        <v>750</v>
      </c>
    </row>
    <row r="1081" spans="1:1" x14ac:dyDescent="0.3">
      <c r="A1081" t="s">
        <v>751</v>
      </c>
    </row>
    <row r="1082" spans="1:1" x14ac:dyDescent="0.3">
      <c r="A1082" t="s">
        <v>752</v>
      </c>
    </row>
    <row r="1083" spans="1:1" x14ac:dyDescent="0.3">
      <c r="A1083" t="s">
        <v>753</v>
      </c>
    </row>
    <row r="1084" spans="1:1" x14ac:dyDescent="0.3">
      <c r="A1084" t="s">
        <v>754</v>
      </c>
    </row>
    <row r="1085" spans="1:1" x14ac:dyDescent="0.3">
      <c r="A1085" t="s">
        <v>755</v>
      </c>
    </row>
    <row r="1086" spans="1:1" x14ac:dyDescent="0.3">
      <c r="A1086" t="s">
        <v>756</v>
      </c>
    </row>
    <row r="1087" spans="1:1" x14ac:dyDescent="0.3">
      <c r="A1087" t="s">
        <v>757</v>
      </c>
    </row>
    <row r="1088" spans="1:1" x14ac:dyDescent="0.3">
      <c r="A1088" t="s">
        <v>758</v>
      </c>
    </row>
    <row r="1089" spans="1:1" x14ac:dyDescent="0.3">
      <c r="A1089" t="s">
        <v>759</v>
      </c>
    </row>
    <row r="1090" spans="1:1" x14ac:dyDescent="0.3">
      <c r="A1090" t="s">
        <v>760</v>
      </c>
    </row>
    <row r="1091" spans="1:1" x14ac:dyDescent="0.3">
      <c r="A1091" t="s">
        <v>761</v>
      </c>
    </row>
    <row r="1092" spans="1:1" x14ac:dyDescent="0.3">
      <c r="A1092" t="s">
        <v>762</v>
      </c>
    </row>
    <row r="1093" spans="1:1" x14ac:dyDescent="0.3">
      <c r="A1093" t="s">
        <v>763</v>
      </c>
    </row>
    <row r="1094" spans="1:1" x14ac:dyDescent="0.3">
      <c r="A1094" t="s">
        <v>764</v>
      </c>
    </row>
    <row r="1095" spans="1:1" x14ac:dyDescent="0.3">
      <c r="A1095" t="s">
        <v>765</v>
      </c>
    </row>
    <row r="1096" spans="1:1" x14ac:dyDescent="0.3">
      <c r="A1096" t="s">
        <v>766</v>
      </c>
    </row>
    <row r="1097" spans="1:1" x14ac:dyDescent="0.3">
      <c r="A1097" t="s">
        <v>767</v>
      </c>
    </row>
    <row r="1098" spans="1:1" x14ac:dyDescent="0.3">
      <c r="A1098" t="s">
        <v>768</v>
      </c>
    </row>
    <row r="1099" spans="1:1" x14ac:dyDescent="0.3">
      <c r="A1099" t="s">
        <v>769</v>
      </c>
    </row>
    <row r="1100" spans="1:1" x14ac:dyDescent="0.3">
      <c r="A1100" t="s">
        <v>770</v>
      </c>
    </row>
    <row r="1101" spans="1:1" x14ac:dyDescent="0.3">
      <c r="A1101" t="s">
        <v>771</v>
      </c>
    </row>
    <row r="1102" spans="1:1" x14ac:dyDescent="0.3">
      <c r="A1102" t="s">
        <v>772</v>
      </c>
    </row>
    <row r="1103" spans="1:1" x14ac:dyDescent="0.3">
      <c r="A1103" t="s">
        <v>773</v>
      </c>
    </row>
    <row r="1104" spans="1:1" x14ac:dyDescent="0.3">
      <c r="A1104" t="s">
        <v>774</v>
      </c>
    </row>
    <row r="1105" spans="1:1" x14ac:dyDescent="0.3">
      <c r="A1105" t="s">
        <v>775</v>
      </c>
    </row>
    <row r="1106" spans="1:1" x14ac:dyDescent="0.3">
      <c r="A1106" t="s">
        <v>776</v>
      </c>
    </row>
    <row r="1107" spans="1:1" x14ac:dyDescent="0.3">
      <c r="A1107" t="s">
        <v>777</v>
      </c>
    </row>
    <row r="1108" spans="1:1" x14ac:dyDescent="0.3">
      <c r="A1108" t="s">
        <v>778</v>
      </c>
    </row>
    <row r="1109" spans="1:1" x14ac:dyDescent="0.3">
      <c r="A1109" t="s">
        <v>779</v>
      </c>
    </row>
    <row r="1110" spans="1:1" x14ac:dyDescent="0.3">
      <c r="A1110" t="s">
        <v>780</v>
      </c>
    </row>
    <row r="1111" spans="1:1" x14ac:dyDescent="0.3">
      <c r="A1111" t="s">
        <v>781</v>
      </c>
    </row>
    <row r="1112" spans="1:1" x14ac:dyDescent="0.3">
      <c r="A1112" t="s">
        <v>782</v>
      </c>
    </row>
    <row r="1113" spans="1:1" x14ac:dyDescent="0.3">
      <c r="A1113" t="s">
        <v>783</v>
      </c>
    </row>
    <row r="1114" spans="1:1" x14ac:dyDescent="0.3">
      <c r="A1114" t="s">
        <v>784</v>
      </c>
    </row>
    <row r="1115" spans="1:1" x14ac:dyDescent="0.3">
      <c r="A1115" t="s">
        <v>785</v>
      </c>
    </row>
    <row r="1116" spans="1:1" x14ac:dyDescent="0.3">
      <c r="A1116" t="s">
        <v>786</v>
      </c>
    </row>
    <row r="1117" spans="1:1" x14ac:dyDescent="0.3">
      <c r="A1117" t="s">
        <v>787</v>
      </c>
    </row>
    <row r="1118" spans="1:1" x14ac:dyDescent="0.3">
      <c r="A1118" t="s">
        <v>788</v>
      </c>
    </row>
    <row r="1119" spans="1:1" x14ac:dyDescent="0.3">
      <c r="A1119" t="s">
        <v>789</v>
      </c>
    </row>
    <row r="1120" spans="1:1" x14ac:dyDescent="0.3">
      <c r="A1120" t="s">
        <v>790</v>
      </c>
    </row>
    <row r="1121" spans="1:1" x14ac:dyDescent="0.3">
      <c r="A1121" t="s">
        <v>791</v>
      </c>
    </row>
    <row r="1122" spans="1:1" x14ac:dyDescent="0.3">
      <c r="A1122" t="s">
        <v>792</v>
      </c>
    </row>
    <row r="1123" spans="1:1" x14ac:dyDescent="0.3">
      <c r="A1123" t="s">
        <v>793</v>
      </c>
    </row>
    <row r="1124" spans="1:1" x14ac:dyDescent="0.3">
      <c r="A1124" t="s">
        <v>794</v>
      </c>
    </row>
    <row r="1125" spans="1:1" x14ac:dyDescent="0.3">
      <c r="A1125" t="s">
        <v>795</v>
      </c>
    </row>
    <row r="1126" spans="1:1" x14ac:dyDescent="0.3">
      <c r="A1126" t="s">
        <v>796</v>
      </c>
    </row>
    <row r="1127" spans="1:1" x14ac:dyDescent="0.3">
      <c r="A1127" t="s">
        <v>797</v>
      </c>
    </row>
    <row r="1128" spans="1:1" x14ac:dyDescent="0.3">
      <c r="A1128" t="s">
        <v>798</v>
      </c>
    </row>
    <row r="1129" spans="1:1" x14ac:dyDescent="0.3">
      <c r="A1129" t="s">
        <v>799</v>
      </c>
    </row>
    <row r="1130" spans="1:1" x14ac:dyDescent="0.3">
      <c r="A1130" t="s">
        <v>800</v>
      </c>
    </row>
    <row r="1131" spans="1:1" x14ac:dyDescent="0.3">
      <c r="A1131" t="s">
        <v>801</v>
      </c>
    </row>
    <row r="1132" spans="1:1" x14ac:dyDescent="0.3">
      <c r="A1132" t="s">
        <v>802</v>
      </c>
    </row>
    <row r="1133" spans="1:1" x14ac:dyDescent="0.3">
      <c r="A1133" t="s">
        <v>803</v>
      </c>
    </row>
    <row r="1134" spans="1:1" x14ac:dyDescent="0.3">
      <c r="A1134" t="s">
        <v>804</v>
      </c>
    </row>
    <row r="1135" spans="1:1" x14ac:dyDescent="0.3">
      <c r="A1135" t="s">
        <v>805</v>
      </c>
    </row>
    <row r="1136" spans="1:1" x14ac:dyDescent="0.3">
      <c r="A1136" t="s">
        <v>806</v>
      </c>
    </row>
    <row r="1137" spans="1:1" x14ac:dyDescent="0.3">
      <c r="A1137" t="s">
        <v>807</v>
      </c>
    </row>
    <row r="1138" spans="1:1" x14ac:dyDescent="0.3">
      <c r="A1138" t="s">
        <v>808</v>
      </c>
    </row>
    <row r="1139" spans="1:1" x14ac:dyDescent="0.3">
      <c r="A1139" t="s">
        <v>809</v>
      </c>
    </row>
    <row r="1140" spans="1:1" x14ac:dyDescent="0.3">
      <c r="A1140" t="s">
        <v>810</v>
      </c>
    </row>
    <row r="1141" spans="1:1" x14ac:dyDescent="0.3">
      <c r="A1141" t="s">
        <v>811</v>
      </c>
    </row>
    <row r="1142" spans="1:1" x14ac:dyDescent="0.3">
      <c r="A1142" t="s">
        <v>812</v>
      </c>
    </row>
    <row r="1143" spans="1:1" x14ac:dyDescent="0.3">
      <c r="A1143" t="s">
        <v>813</v>
      </c>
    </row>
    <row r="1144" spans="1:1" x14ac:dyDescent="0.3">
      <c r="A1144" t="s">
        <v>814</v>
      </c>
    </row>
    <row r="1145" spans="1:1" x14ac:dyDescent="0.3">
      <c r="A1145" t="s">
        <v>815</v>
      </c>
    </row>
    <row r="1146" spans="1:1" x14ac:dyDescent="0.3">
      <c r="A1146" t="s">
        <v>816</v>
      </c>
    </row>
    <row r="1147" spans="1:1" x14ac:dyDescent="0.3">
      <c r="A1147" t="s">
        <v>817</v>
      </c>
    </row>
    <row r="1148" spans="1:1" x14ac:dyDescent="0.3">
      <c r="A1148" t="s">
        <v>818</v>
      </c>
    </row>
    <row r="1149" spans="1:1" x14ac:dyDescent="0.3">
      <c r="A1149" t="s">
        <v>819</v>
      </c>
    </row>
    <row r="1150" spans="1:1" x14ac:dyDescent="0.3">
      <c r="A1150" t="s">
        <v>820</v>
      </c>
    </row>
    <row r="1151" spans="1:1" x14ac:dyDescent="0.3">
      <c r="A1151" t="s">
        <v>821</v>
      </c>
    </row>
    <row r="1152" spans="1:1" x14ac:dyDescent="0.3">
      <c r="A1152" t="s">
        <v>822</v>
      </c>
    </row>
    <row r="1153" spans="1:1" x14ac:dyDescent="0.3">
      <c r="A1153" t="s">
        <v>823</v>
      </c>
    </row>
    <row r="1154" spans="1:1" x14ac:dyDescent="0.3">
      <c r="A1154" t="s">
        <v>824</v>
      </c>
    </row>
    <row r="1155" spans="1:1" x14ac:dyDescent="0.3">
      <c r="A1155" t="s">
        <v>825</v>
      </c>
    </row>
    <row r="1156" spans="1:1" x14ac:dyDescent="0.3">
      <c r="A1156" t="s">
        <v>826</v>
      </c>
    </row>
    <row r="1157" spans="1:1" x14ac:dyDescent="0.3">
      <c r="A1157" t="s">
        <v>827</v>
      </c>
    </row>
    <row r="1158" spans="1:1" x14ac:dyDescent="0.3">
      <c r="A1158" t="s">
        <v>828</v>
      </c>
    </row>
    <row r="1159" spans="1:1" x14ac:dyDescent="0.3">
      <c r="A1159" t="s">
        <v>829</v>
      </c>
    </row>
    <row r="1160" spans="1:1" x14ac:dyDescent="0.3">
      <c r="A1160" t="s">
        <v>830</v>
      </c>
    </row>
    <row r="1161" spans="1:1" x14ac:dyDescent="0.3">
      <c r="A1161" t="s">
        <v>831</v>
      </c>
    </row>
    <row r="1162" spans="1:1" x14ac:dyDescent="0.3">
      <c r="A1162" t="s">
        <v>832</v>
      </c>
    </row>
    <row r="1163" spans="1:1" x14ac:dyDescent="0.3">
      <c r="A1163" t="s">
        <v>833</v>
      </c>
    </row>
    <row r="1164" spans="1:1" x14ac:dyDescent="0.3">
      <c r="A1164" t="s">
        <v>834</v>
      </c>
    </row>
    <row r="1165" spans="1:1" x14ac:dyDescent="0.3">
      <c r="A1165" t="s">
        <v>835</v>
      </c>
    </row>
    <row r="1166" spans="1:1" x14ac:dyDescent="0.3">
      <c r="A1166" t="s">
        <v>836</v>
      </c>
    </row>
    <row r="1167" spans="1:1" x14ac:dyDescent="0.3">
      <c r="A1167" t="s">
        <v>837</v>
      </c>
    </row>
    <row r="1168" spans="1:1" x14ac:dyDescent="0.3">
      <c r="A1168" t="s">
        <v>838</v>
      </c>
    </row>
    <row r="1169" spans="1:1" x14ac:dyDescent="0.3">
      <c r="A1169" t="s">
        <v>839</v>
      </c>
    </row>
    <row r="1170" spans="1:1" x14ac:dyDescent="0.3">
      <c r="A1170" t="s">
        <v>840</v>
      </c>
    </row>
    <row r="1171" spans="1:1" x14ac:dyDescent="0.3">
      <c r="A1171" t="s">
        <v>841</v>
      </c>
    </row>
    <row r="1172" spans="1:1" x14ac:dyDescent="0.3">
      <c r="A1172" t="s">
        <v>842</v>
      </c>
    </row>
    <row r="1173" spans="1:1" x14ac:dyDescent="0.3">
      <c r="A1173" t="s">
        <v>843</v>
      </c>
    </row>
    <row r="1174" spans="1:1" x14ac:dyDescent="0.3">
      <c r="A1174" t="s">
        <v>844</v>
      </c>
    </row>
    <row r="1175" spans="1:1" x14ac:dyDescent="0.3">
      <c r="A1175" t="s">
        <v>845</v>
      </c>
    </row>
    <row r="1176" spans="1:1" x14ac:dyDescent="0.3">
      <c r="A1176" t="s">
        <v>846</v>
      </c>
    </row>
    <row r="1177" spans="1:1" x14ac:dyDescent="0.3">
      <c r="A1177" t="s">
        <v>847</v>
      </c>
    </row>
    <row r="1178" spans="1:1" x14ac:dyDescent="0.3">
      <c r="A1178" t="s">
        <v>848</v>
      </c>
    </row>
    <row r="1179" spans="1:1" x14ac:dyDescent="0.3">
      <c r="A1179" t="s">
        <v>849</v>
      </c>
    </row>
    <row r="1180" spans="1:1" x14ac:dyDescent="0.3">
      <c r="A1180" t="s">
        <v>850</v>
      </c>
    </row>
    <row r="1181" spans="1:1" x14ac:dyDescent="0.3">
      <c r="A1181" t="s">
        <v>851</v>
      </c>
    </row>
    <row r="1182" spans="1:1" x14ac:dyDescent="0.3">
      <c r="A1182" t="s">
        <v>852</v>
      </c>
    </row>
    <row r="1183" spans="1:1" x14ac:dyDescent="0.3">
      <c r="A1183" t="s">
        <v>853</v>
      </c>
    </row>
    <row r="1184" spans="1:1" x14ac:dyDescent="0.3">
      <c r="A1184" t="s">
        <v>854</v>
      </c>
    </row>
    <row r="1185" spans="1:1" x14ac:dyDescent="0.3">
      <c r="A1185" t="s">
        <v>855</v>
      </c>
    </row>
    <row r="1186" spans="1:1" x14ac:dyDescent="0.3">
      <c r="A1186" t="s">
        <v>856</v>
      </c>
    </row>
    <row r="1187" spans="1:1" x14ac:dyDescent="0.3">
      <c r="A1187" t="s">
        <v>857</v>
      </c>
    </row>
    <row r="1188" spans="1:1" x14ac:dyDescent="0.3">
      <c r="A1188" t="s">
        <v>858</v>
      </c>
    </row>
    <row r="1189" spans="1:1" x14ac:dyDescent="0.3">
      <c r="A1189" t="s">
        <v>859</v>
      </c>
    </row>
    <row r="1190" spans="1:1" x14ac:dyDescent="0.3">
      <c r="A1190" t="s">
        <v>860</v>
      </c>
    </row>
    <row r="1191" spans="1:1" x14ac:dyDescent="0.3">
      <c r="A1191" t="s">
        <v>861</v>
      </c>
    </row>
    <row r="1192" spans="1:1" x14ac:dyDescent="0.3">
      <c r="A1192" t="s">
        <v>862</v>
      </c>
    </row>
    <row r="1193" spans="1:1" x14ac:dyDescent="0.3">
      <c r="A1193" t="s">
        <v>863</v>
      </c>
    </row>
    <row r="1194" spans="1:1" x14ac:dyDescent="0.3">
      <c r="A1194" t="s">
        <v>864</v>
      </c>
    </row>
    <row r="1195" spans="1:1" x14ac:dyDescent="0.3">
      <c r="A1195" t="s">
        <v>865</v>
      </c>
    </row>
    <row r="1196" spans="1:1" x14ac:dyDescent="0.3">
      <c r="A1196" t="s">
        <v>866</v>
      </c>
    </row>
    <row r="1197" spans="1:1" x14ac:dyDescent="0.3">
      <c r="A1197" t="s">
        <v>867</v>
      </c>
    </row>
    <row r="1198" spans="1:1" x14ac:dyDescent="0.3">
      <c r="A1198" t="s">
        <v>868</v>
      </c>
    </row>
    <row r="1199" spans="1:1" x14ac:dyDescent="0.3">
      <c r="A1199" t="s">
        <v>869</v>
      </c>
    </row>
    <row r="1200" spans="1:1" x14ac:dyDescent="0.3">
      <c r="A1200" t="s">
        <v>870</v>
      </c>
    </row>
    <row r="1201" spans="1:1" x14ac:dyDescent="0.3">
      <c r="A1201" t="s">
        <v>871</v>
      </c>
    </row>
    <row r="1202" spans="1:1" x14ac:dyDescent="0.3">
      <c r="A1202" t="s">
        <v>872</v>
      </c>
    </row>
    <row r="1203" spans="1:1" x14ac:dyDescent="0.3">
      <c r="A1203" t="s">
        <v>873</v>
      </c>
    </row>
    <row r="1204" spans="1:1" x14ac:dyDescent="0.3">
      <c r="A1204" t="s">
        <v>874</v>
      </c>
    </row>
    <row r="1205" spans="1:1" x14ac:dyDescent="0.3">
      <c r="A1205" t="s">
        <v>875</v>
      </c>
    </row>
    <row r="1206" spans="1:1" x14ac:dyDescent="0.3">
      <c r="A1206" t="s">
        <v>876</v>
      </c>
    </row>
    <row r="1207" spans="1:1" x14ac:dyDescent="0.3">
      <c r="A1207" t="s">
        <v>877</v>
      </c>
    </row>
    <row r="1208" spans="1:1" x14ac:dyDescent="0.3">
      <c r="A1208" t="s">
        <v>878</v>
      </c>
    </row>
    <row r="1209" spans="1:1" x14ac:dyDescent="0.3">
      <c r="A1209" t="s">
        <v>879</v>
      </c>
    </row>
    <row r="1210" spans="1:1" x14ac:dyDescent="0.3">
      <c r="A1210" t="s">
        <v>880</v>
      </c>
    </row>
  </sheetData>
  <sortState ref="K1:K13">
    <sortCondition descending="1" ref="K1"/>
  </sortState>
  <pageMargins left="0.7" right="0.7" top="0.75" bottom="0.75" header="0.3" footer="0.3"/>
  <pageSetup paperSize="9" orientation="landscape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1"/>
  <sheetViews>
    <sheetView topLeftCell="A95" workbookViewId="0">
      <selection activeCell="C1" sqref="C1:C121"/>
    </sheetView>
  </sheetViews>
  <sheetFormatPr defaultRowHeight="14.4" x14ac:dyDescent="0.3"/>
  <cols>
    <col min="1" max="1" width="11.6640625"/>
  </cols>
  <sheetData>
    <row r="1" spans="1:3" x14ac:dyDescent="0.3">
      <c r="A1" s="4" t="s">
        <v>882</v>
      </c>
      <c r="C1" t="str">
        <f>"SELECT * FROM altreva.all_eurusd where file like '%"&amp;A1&amp;"%' and pnl &gt; (SELECT avg(pnl) FROM altreva.all_eurusd where file like '%"&amp;A1&amp;"%') order by pnl desc limit 1 INTO OUTFILE ""C:\\ProgramData\\MySQL\\MySQL Server 5.7\\Uploads\\"&amp;A1&amp; "-cmp.csv" &amp; """;"</f>
        <v>SELECT * FROM altreva.all_eurusd where file like '%00k_77f1_1%' and pnl &gt; (SELECT avg(pnl) FROM altreva.all_eurusd where file like '%00k_77f1_1%') order by pnl desc limit 1 INTO OUTFILE "C:\\ProgramData\\MySQL\\MySQL Server 5.7\\Uploads\\00k_77f1_1-cmp.csv";</v>
      </c>
    </row>
    <row r="2" spans="1:3" x14ac:dyDescent="0.3">
      <c r="A2" s="4" t="s">
        <v>886</v>
      </c>
      <c r="C2" t="str">
        <f t="shared" ref="C2:C65" si="0">"SELECT * FROM altreva.all_eurusd where file like '%"&amp;A2&amp;"%' and pnl &gt; (SELECT avg(pnl) FROM altreva.all_eurusd where file like '%"&amp;A2&amp;"%') order by pnl desc limit 1 INTO OUTFILE ""C:\\ProgramData\\MySQL\\MySQL Server 5.7\\Uploads\\"&amp;A2&amp; "-cmp.csv" &amp; """;"</f>
        <v>SELECT * FROM altreva.all_eurusd where file like '%00k_77f2_5%' and pnl &gt; (SELECT avg(pnl) FROM altreva.all_eurusd where file like '%00k_77f2_5%') order by pnl desc limit 1 INTO OUTFILE "C:\\ProgramData\\MySQL\\MySQL Server 5.7\\Uploads\\00k_77f2_5-cmp.csv";</v>
      </c>
    </row>
    <row r="3" spans="1:3" x14ac:dyDescent="0.3">
      <c r="A3" s="4" t="s">
        <v>889</v>
      </c>
      <c r="C3" t="str">
        <f t="shared" si="0"/>
        <v>SELECT * FROM altreva.all_eurusd where file like '%00k_77f2_8%' and pnl &gt; (SELECT avg(pnl) FROM altreva.all_eurusd where file like '%00k_77f2_8%') order by pnl desc limit 1 INTO OUTFILE "C:\\ProgramData\\MySQL\\MySQL Server 5.7\\Uploads\\00k_77f2_8-cmp.csv";</v>
      </c>
    </row>
    <row r="4" spans="1:3" x14ac:dyDescent="0.3">
      <c r="A4" s="4" t="s">
        <v>884</v>
      </c>
      <c r="C4" t="str">
        <f t="shared" si="0"/>
        <v>SELECT * FROM altreva.all_eurusd where file like '%00k_77f1_3%' and pnl &gt; (SELECT avg(pnl) FROM altreva.all_eurusd where file like '%00k_77f1_3%') order by pnl desc limit 1 INTO OUTFILE "C:\\ProgramData\\MySQL\\MySQL Server 5.7\\Uploads\\00k_77f1_3-cmp.csv";</v>
      </c>
    </row>
    <row r="5" spans="1:3" x14ac:dyDescent="0.3">
      <c r="A5" s="4" t="s">
        <v>883</v>
      </c>
      <c r="C5" t="str">
        <f t="shared" si="0"/>
        <v>SELECT * FROM altreva.all_eurusd where file like '%00k_77f1_2%' and pnl &gt; (SELECT avg(pnl) FROM altreva.all_eurusd where file like '%00k_77f1_2%') order by pnl desc limit 1 INTO OUTFILE "C:\\ProgramData\\MySQL\\MySQL Server 5.7\\Uploads\\00k_77f1_2-cmp.csv";</v>
      </c>
    </row>
    <row r="6" spans="1:3" x14ac:dyDescent="0.3">
      <c r="A6" s="4" t="s">
        <v>887</v>
      </c>
      <c r="C6" t="str">
        <f t="shared" si="0"/>
        <v>SELECT * FROM altreva.all_eurusd where file like '%00k_77f2_6%' and pnl &gt; (SELECT avg(pnl) FROM altreva.all_eurusd where file like '%00k_77f2_6%') order by pnl desc limit 1 INTO OUTFILE "C:\\ProgramData\\MySQL\\MySQL Server 5.7\\Uploads\\00k_77f2_6-cmp.csv";</v>
      </c>
    </row>
    <row r="7" spans="1:3" x14ac:dyDescent="0.3">
      <c r="A7" s="4" t="s">
        <v>888</v>
      </c>
      <c r="C7" t="str">
        <f t="shared" si="0"/>
        <v>SELECT * FROM altreva.all_eurusd where file like '%00k_77f2_7%' and pnl &gt; (SELECT avg(pnl) FROM altreva.all_eurusd where file like '%00k_77f2_7%') order by pnl desc limit 1 INTO OUTFILE "C:\\ProgramData\\MySQL\\MySQL Server 5.7\\Uploads\\00k_77f2_7-cmp.csv";</v>
      </c>
    </row>
    <row r="8" spans="1:3" x14ac:dyDescent="0.3">
      <c r="A8" s="4" t="s">
        <v>885</v>
      </c>
      <c r="C8" t="str">
        <f t="shared" si="0"/>
        <v>SELECT * FROM altreva.all_eurusd where file like '%00k_77f1_4%' and pnl &gt; (SELECT avg(pnl) FROM altreva.all_eurusd where file like '%00k_77f1_4%') order by pnl desc limit 1 INTO OUTFILE "C:\\ProgramData\\MySQL\\MySQL Server 5.7\\Uploads\\00k_77f1_4-cmp.csv";</v>
      </c>
    </row>
    <row r="9" spans="1:3" x14ac:dyDescent="0.3">
      <c r="A9" s="4" t="s">
        <v>964</v>
      </c>
      <c r="C9" t="str">
        <f t="shared" si="0"/>
        <v>SELECT * FROM altreva.all_eurusd where file like '%01k_05m1_5%' and pnl &gt; (SELECT avg(pnl) FROM altreva.all_eurusd where file like '%01k_05m1_5%') order by pnl desc limit 1 INTO OUTFILE "C:\\ProgramData\\MySQL\\MySQL Server 5.7\\Uploads\\01k_05m1_5-cmp.csv";</v>
      </c>
    </row>
    <row r="10" spans="1:3" x14ac:dyDescent="0.3">
      <c r="A10" s="4" t="s">
        <v>960</v>
      </c>
      <c r="C10" t="str">
        <f t="shared" si="0"/>
        <v>SELECT * FROM altreva.all_eurusd where file like '%01k_05m1_1%' and pnl &gt; (SELECT avg(pnl) FROM altreva.all_eurusd where file like '%01k_05m1_1%') order by pnl desc limit 1 INTO OUTFILE "C:\\ProgramData\\MySQL\\MySQL Server 5.7\\Uploads\\01k_05m1_1-cmp.csv";</v>
      </c>
    </row>
    <row r="11" spans="1:3" x14ac:dyDescent="0.3">
      <c r="A11" s="4" t="s">
        <v>961</v>
      </c>
      <c r="C11" t="str">
        <f t="shared" si="0"/>
        <v>SELECT * FROM altreva.all_eurusd where file like '%01k_05m1_2%' and pnl &gt; (SELECT avg(pnl) FROM altreva.all_eurusd where file like '%01k_05m1_2%') order by pnl desc limit 1 INTO OUTFILE "C:\\ProgramData\\MySQL\\MySQL Server 5.7\\Uploads\\01k_05m1_2-cmp.csv";</v>
      </c>
    </row>
    <row r="12" spans="1:3" x14ac:dyDescent="0.3">
      <c r="A12" s="4" t="s">
        <v>965</v>
      </c>
      <c r="C12" t="str">
        <f t="shared" si="0"/>
        <v>SELECT * FROM altreva.all_eurusd where file like '%01k_05m1_6%' and pnl &gt; (SELECT avg(pnl) FROM altreva.all_eurusd where file like '%01k_05m1_6%') order by pnl desc limit 1 INTO OUTFILE "C:\\ProgramData\\MySQL\\MySQL Server 5.7\\Uploads\\01k_05m1_6-cmp.csv";</v>
      </c>
    </row>
    <row r="13" spans="1:3" x14ac:dyDescent="0.3">
      <c r="A13" s="4" t="s">
        <v>962</v>
      </c>
      <c r="C13" t="str">
        <f t="shared" si="0"/>
        <v>SELECT * FROM altreva.all_eurusd where file like '%01k_05m1_3%' and pnl &gt; (SELECT avg(pnl) FROM altreva.all_eurusd where file like '%01k_05m1_3%') order by pnl desc limit 1 INTO OUTFILE "C:\\ProgramData\\MySQL\\MySQL Server 5.7\\Uploads\\01k_05m1_3-cmp.csv";</v>
      </c>
    </row>
    <row r="14" spans="1:3" x14ac:dyDescent="0.3">
      <c r="A14" s="4" t="s">
        <v>963</v>
      </c>
      <c r="C14" t="str">
        <f t="shared" si="0"/>
        <v>SELECT * FROM altreva.all_eurusd where file like '%01k_05m1_4%' and pnl &gt; (SELECT avg(pnl) FROM altreva.all_eurusd where file like '%01k_05m1_4%') order by pnl desc limit 1 INTO OUTFILE "C:\\ProgramData\\MySQL\\MySQL Server 5.7\\Uploads\\01k_05m1_4-cmp.csv";</v>
      </c>
    </row>
    <row r="15" spans="1:3" x14ac:dyDescent="0.3">
      <c r="A15" s="4" t="s">
        <v>966</v>
      </c>
      <c r="C15" t="str">
        <f t="shared" si="0"/>
        <v>SELECT * FROM altreva.all_eurusd where file like '%01k_05m1_7%' and pnl &gt; (SELECT avg(pnl) FROM altreva.all_eurusd where file like '%01k_05m1_7%') order by pnl desc limit 1 INTO OUTFILE "C:\\ProgramData\\MySQL\\MySQL Server 5.7\\Uploads\\01k_05m1_7-cmp.csv";</v>
      </c>
    </row>
    <row r="16" spans="1:3" x14ac:dyDescent="0.3">
      <c r="A16" s="4" t="s">
        <v>971</v>
      </c>
      <c r="C16" t="str">
        <f t="shared" si="0"/>
        <v>SELECT * FROM altreva.all_eurusd where file like '%01k_10h1_1%' and pnl &gt; (SELECT avg(pnl) FROM altreva.all_eurusd where file like '%01k_10h1_1%') order by pnl desc limit 1 INTO OUTFILE "C:\\ProgramData\\MySQL\\MySQL Server 5.7\\Uploads\\01k_10h1_1-cmp.csv";</v>
      </c>
    </row>
    <row r="17" spans="1:3" x14ac:dyDescent="0.3">
      <c r="A17" s="4" t="s">
        <v>972</v>
      </c>
      <c r="C17" t="str">
        <f t="shared" si="0"/>
        <v>SELECT * FROM altreva.all_eurusd where file like '%01k_10h1_2%' and pnl &gt; (SELECT avg(pnl) FROM altreva.all_eurusd where file like '%01k_10h1_2%') order by pnl desc limit 1 INTO OUTFILE "C:\\ProgramData\\MySQL\\MySQL Server 5.7\\Uploads\\01k_10h1_2-cmp.csv";</v>
      </c>
    </row>
    <row r="18" spans="1:3" x14ac:dyDescent="0.3">
      <c r="A18" s="4" t="s">
        <v>974</v>
      </c>
      <c r="C18" t="str">
        <f t="shared" si="0"/>
        <v>SELECT * FROM altreva.all_eurusd where file like '%01k_10j1_1%' and pnl &gt; (SELECT avg(pnl) FROM altreva.all_eurusd where file like '%01k_10j1_1%') order by pnl desc limit 1 INTO OUTFILE "C:\\ProgramData\\MySQL\\MySQL Server 5.7\\Uploads\\01k_10j1_1-cmp.csv";</v>
      </c>
    </row>
    <row r="19" spans="1:3" x14ac:dyDescent="0.3">
      <c r="A19" s="4" t="s">
        <v>970</v>
      </c>
      <c r="C19" t="str">
        <f t="shared" si="0"/>
        <v>SELECT * FROM altreva.all_eurusd where file like '%01k_05m2_2%' and pnl &gt; (SELECT avg(pnl) FROM altreva.all_eurusd where file like '%01k_05m2_2%') order by pnl desc limit 1 INTO OUTFILE "C:\\ProgramData\\MySQL\\MySQL Server 5.7\\Uploads\\01k_05m2_2-cmp.csv";</v>
      </c>
    </row>
    <row r="20" spans="1:3" x14ac:dyDescent="0.3">
      <c r="A20" s="4" t="s">
        <v>978</v>
      </c>
      <c r="C20" t="str">
        <f t="shared" si="0"/>
        <v>SELECT * FROM altreva.all_eurusd where file like '%01k_10j1_5%' and pnl &gt; (SELECT avg(pnl) FROM altreva.all_eurusd where file like '%01k_10j1_5%') order by pnl desc limit 1 INTO OUTFILE "C:\\ProgramData\\MySQL\\MySQL Server 5.7\\Uploads\\01k_10j1_5-cmp.csv";</v>
      </c>
    </row>
    <row r="21" spans="1:3" x14ac:dyDescent="0.3">
      <c r="A21" s="4" t="s">
        <v>975</v>
      </c>
      <c r="C21" t="str">
        <f t="shared" si="0"/>
        <v>SELECT * FROM altreva.all_eurusd where file like '%01k_10j1_2%' and pnl &gt; (SELECT avg(pnl) FROM altreva.all_eurusd where file like '%01k_10j1_2%') order by pnl desc limit 1 INTO OUTFILE "C:\\ProgramData\\MySQL\\MySQL Server 5.7\\Uploads\\01k_10j1_2-cmp.csv";</v>
      </c>
    </row>
    <row r="22" spans="1:3" x14ac:dyDescent="0.3">
      <c r="A22" s="4" t="s">
        <v>981</v>
      </c>
      <c r="C22" t="str">
        <f t="shared" si="0"/>
        <v>SELECT * FROM altreva.all_eurusd where file like '%01k_10j2_3%' and pnl &gt; (SELECT avg(pnl) FROM altreva.all_eurusd where file like '%01k_10j2_3%') order by pnl desc limit 1 INTO OUTFILE "C:\\ProgramData\\MySQL\\MySQL Server 5.7\\Uploads\\01k_10j2_3-cmp.csv";</v>
      </c>
    </row>
    <row r="23" spans="1:3" x14ac:dyDescent="0.3">
      <c r="A23" s="4" t="s">
        <v>968</v>
      </c>
      <c r="C23" t="str">
        <f t="shared" si="0"/>
        <v>SELECT * FROM altreva.all_eurusd where file like '%01k_05m1_9%' and pnl &gt; (SELECT avg(pnl) FROM altreva.all_eurusd where file like '%01k_05m1_9%') order by pnl desc limit 1 INTO OUTFILE "C:\\ProgramData\\MySQL\\MySQL Server 5.7\\Uploads\\01k_05m1_9-cmp.csv";</v>
      </c>
    </row>
    <row r="24" spans="1:3" x14ac:dyDescent="0.3">
      <c r="A24" s="4" t="s">
        <v>969</v>
      </c>
      <c r="C24" t="str">
        <f t="shared" si="0"/>
        <v>SELECT * FROM altreva.all_eurusd where file like '%01k_05m2_1%' and pnl &gt; (SELECT avg(pnl) FROM altreva.all_eurusd where file like '%01k_05m2_1%') order by pnl desc limit 1 INTO OUTFILE "C:\\ProgramData\\MySQL\\MySQL Server 5.7\\Uploads\\01k_05m2_1-cmp.csv";</v>
      </c>
    </row>
    <row r="25" spans="1:3" x14ac:dyDescent="0.3">
      <c r="A25" s="4" t="s">
        <v>890</v>
      </c>
      <c r="C25" t="str">
        <f t="shared" si="0"/>
        <v>SELECT * FROM altreva.all_eurusd where file like '%01k_77a1_1%' and pnl &gt; (SELECT avg(pnl) FROM altreva.all_eurusd where file like '%01k_77a1_1%') order by pnl desc limit 1 INTO OUTFILE "C:\\ProgramData\\MySQL\\MySQL Server 5.7\\Uploads\\01k_77a1_1-cmp.csv";</v>
      </c>
    </row>
    <row r="26" spans="1:3" x14ac:dyDescent="0.3">
      <c r="A26" s="4" t="s">
        <v>891</v>
      </c>
      <c r="C26" t="str">
        <f t="shared" si="0"/>
        <v>SELECT * FROM altreva.all_eurusd where file like '%01k_77a1_2%' and pnl &gt; (SELECT avg(pnl) FROM altreva.all_eurusd where file like '%01k_77a1_2%') order by pnl desc limit 1 INTO OUTFILE "C:\\ProgramData\\MySQL\\MySQL Server 5.7\\Uploads\\01k_77a1_2-cmp.csv";</v>
      </c>
    </row>
    <row r="27" spans="1:3" x14ac:dyDescent="0.3">
      <c r="A27" s="4" t="s">
        <v>892</v>
      </c>
      <c r="C27" t="str">
        <f t="shared" si="0"/>
        <v>SELECT * FROM altreva.all_eurusd where file like '%01k_77a1_3%' and pnl &gt; (SELECT avg(pnl) FROM altreva.all_eurusd where file like '%01k_77a1_3%') order by pnl desc limit 1 INTO OUTFILE "C:\\ProgramData\\MySQL\\MySQL Server 5.7\\Uploads\\01k_77a1_3-cmp.csv";</v>
      </c>
    </row>
    <row r="28" spans="1:3" x14ac:dyDescent="0.3">
      <c r="A28" s="4" t="s">
        <v>893</v>
      </c>
      <c r="C28" t="str">
        <f t="shared" si="0"/>
        <v>SELECT * FROM altreva.all_eurusd where file like '%01k_77a1_4%' and pnl &gt; (SELECT avg(pnl) FROM altreva.all_eurusd where file like '%01k_77a1_4%') order by pnl desc limit 1 INTO OUTFILE "C:\\ProgramData\\MySQL\\MySQL Server 5.7\\Uploads\\01k_77a1_4-cmp.csv";</v>
      </c>
    </row>
    <row r="29" spans="1:3" x14ac:dyDescent="0.3">
      <c r="A29" s="4" t="s">
        <v>979</v>
      </c>
      <c r="C29" t="str">
        <f t="shared" si="0"/>
        <v>SELECT * FROM altreva.all_eurusd where file like '%01k_10j2_1%' and pnl &gt; (SELECT avg(pnl) FROM altreva.all_eurusd where file like '%01k_10j2_1%') order by pnl desc limit 1 INTO OUTFILE "C:\\ProgramData\\MySQL\\MySQL Server 5.7\\Uploads\\01k_10j2_1-cmp.csv";</v>
      </c>
    </row>
    <row r="30" spans="1:3" x14ac:dyDescent="0.3">
      <c r="A30" s="4" t="s">
        <v>894</v>
      </c>
      <c r="C30" t="str">
        <f t="shared" si="0"/>
        <v>SELECT * FROM altreva.all_eurusd where file like '%01k_77a2_5%' and pnl &gt; (SELECT avg(pnl) FROM altreva.all_eurusd where file like '%01k_77a2_5%') order by pnl desc limit 1 INTO OUTFILE "C:\\ProgramData\\MySQL\\MySQL Server 5.7\\Uploads\\01k_77a2_5-cmp.csv";</v>
      </c>
    </row>
    <row r="31" spans="1:3" x14ac:dyDescent="0.3">
      <c r="A31" s="4" t="s">
        <v>895</v>
      </c>
      <c r="C31" t="str">
        <f t="shared" si="0"/>
        <v>SELECT * FROM altreva.all_eurusd where file like '%01k_77a2_6%' and pnl &gt; (SELECT avg(pnl) FROM altreva.all_eurusd where file like '%01k_77a2_6%') order by pnl desc limit 1 INTO OUTFILE "C:\\ProgramData\\MySQL\\MySQL Server 5.7\\Uploads\\01k_77a2_6-cmp.csv";</v>
      </c>
    </row>
    <row r="32" spans="1:3" x14ac:dyDescent="0.3">
      <c r="A32" s="4" t="s">
        <v>896</v>
      </c>
      <c r="C32" t="str">
        <f t="shared" si="0"/>
        <v>SELECT * FROM altreva.all_eurusd where file like '%01k_77a2_7%' and pnl &gt; (SELECT avg(pnl) FROM altreva.all_eurusd where file like '%01k_77a2_7%') order by pnl desc limit 1 INTO OUTFILE "C:\\ProgramData\\MySQL\\MySQL Server 5.7\\Uploads\\01k_77a2_7-cmp.csv";</v>
      </c>
    </row>
    <row r="33" spans="1:3" x14ac:dyDescent="0.3">
      <c r="A33" s="4" t="s">
        <v>897</v>
      </c>
      <c r="C33" t="str">
        <f t="shared" si="0"/>
        <v>SELECT * FROM altreva.all_eurusd where file like '%01k_77a2_8%' and pnl &gt; (SELECT avg(pnl) FROM altreva.all_eurusd where file like '%01k_77a2_8%') order by pnl desc limit 1 INTO OUTFILE "C:\\ProgramData\\MySQL\\MySQL Server 5.7\\Uploads\\01k_77a2_8-cmp.csv";</v>
      </c>
    </row>
    <row r="34" spans="1:3" x14ac:dyDescent="0.3">
      <c r="A34" s="4" t="s">
        <v>967</v>
      </c>
      <c r="C34" t="str">
        <f t="shared" si="0"/>
        <v>SELECT * FROM altreva.all_eurusd where file like '%01k_05m1_8%' and pnl &gt; (SELECT avg(pnl) FROM altreva.all_eurusd where file like '%01k_05m1_8%') order by pnl desc limit 1 INTO OUTFILE "C:\\ProgramData\\MySQL\\MySQL Server 5.7\\Uploads\\01k_05m1_8-cmp.csv";</v>
      </c>
    </row>
    <row r="35" spans="1:3" x14ac:dyDescent="0.3">
      <c r="A35" s="4" t="s">
        <v>898</v>
      </c>
      <c r="C35" t="str">
        <f t="shared" si="0"/>
        <v>SELECT * FROM altreva.all_eurusd where file like '%01k_77i1_1%' and pnl &gt; (SELECT avg(pnl) FROM altreva.all_eurusd where file like '%01k_77i1_1%') order by pnl desc limit 1 INTO OUTFILE "C:\\ProgramData\\MySQL\\MySQL Server 5.7\\Uploads\\01k_77i1_1-cmp.csv";</v>
      </c>
    </row>
    <row r="36" spans="1:3" x14ac:dyDescent="0.3">
      <c r="A36" s="4" t="s">
        <v>973</v>
      </c>
      <c r="C36" t="str">
        <f t="shared" si="0"/>
        <v>SELECT * FROM altreva.all_eurusd where file like '%01k_10i1_2%' and pnl &gt; (SELECT avg(pnl) FROM altreva.all_eurusd where file like '%01k_10i1_2%') order by pnl desc limit 1 INTO OUTFILE "C:\\ProgramData\\MySQL\\MySQL Server 5.7\\Uploads\\01k_10i1_2-cmp.csv";</v>
      </c>
    </row>
    <row r="37" spans="1:3" x14ac:dyDescent="0.3">
      <c r="A37" s="4" t="s">
        <v>899</v>
      </c>
      <c r="C37" t="str">
        <f t="shared" si="0"/>
        <v>SELECT * FROM altreva.all_eurusd where file like '%01k_77i1_2%' and pnl &gt; (SELECT avg(pnl) FROM altreva.all_eurusd where file like '%01k_77i1_2%') order by pnl desc limit 1 INTO OUTFILE "C:\\ProgramData\\MySQL\\MySQL Server 5.7\\Uploads\\01k_77i1_2-cmp.csv";</v>
      </c>
    </row>
    <row r="38" spans="1:3" x14ac:dyDescent="0.3">
      <c r="A38" s="4" t="s">
        <v>976</v>
      </c>
      <c r="C38" t="str">
        <f t="shared" si="0"/>
        <v>SELECT * FROM altreva.all_eurusd where file like '%01k_10j1_3%' and pnl &gt; (SELECT avg(pnl) FROM altreva.all_eurusd where file like '%01k_10j1_3%') order by pnl desc limit 1 INTO OUTFILE "C:\\ProgramData\\MySQL\\MySQL Server 5.7\\Uploads\\01k_10j1_3-cmp.csv";</v>
      </c>
    </row>
    <row r="39" spans="1:3" x14ac:dyDescent="0.3">
      <c r="A39" s="4" t="s">
        <v>900</v>
      </c>
      <c r="C39" t="str">
        <f t="shared" si="0"/>
        <v>SELECT * FROM altreva.all_eurusd where file like '%01k_77i1_3%' and pnl &gt; (SELECT avg(pnl) FROM altreva.all_eurusd where file like '%01k_77i1_3%') order by pnl desc limit 1 INTO OUTFILE "C:\\ProgramData\\MySQL\\MySQL Server 5.7\\Uploads\\01k_77i1_3-cmp.csv";</v>
      </c>
    </row>
    <row r="40" spans="1:3" x14ac:dyDescent="0.3">
      <c r="A40" s="4" t="s">
        <v>901</v>
      </c>
      <c r="C40" t="str">
        <f t="shared" si="0"/>
        <v>SELECT * FROM altreva.all_eurusd where file like '%01k_77i1_4%' and pnl &gt; (SELECT avg(pnl) FROM altreva.all_eurusd where file like '%01k_77i1_4%') order by pnl desc limit 1 INTO OUTFILE "C:\\ProgramData\\MySQL\\MySQL Server 5.7\\Uploads\\01k_77i1_4-cmp.csv";</v>
      </c>
    </row>
    <row r="41" spans="1:3" x14ac:dyDescent="0.3">
      <c r="A41" s="4" t="s">
        <v>902</v>
      </c>
      <c r="C41" t="str">
        <f t="shared" si="0"/>
        <v>SELECT * FROM altreva.all_eurusd where file like '%01k_77i2_5%' and pnl &gt; (SELECT avg(pnl) FROM altreva.all_eurusd where file like '%01k_77i2_5%') order by pnl desc limit 1 INTO OUTFILE "C:\\ProgramData\\MySQL\\MySQL Server 5.7\\Uploads\\01k_77i2_5-cmp.csv";</v>
      </c>
    </row>
    <row r="42" spans="1:3" x14ac:dyDescent="0.3">
      <c r="A42" s="4" t="s">
        <v>904</v>
      </c>
      <c r="C42" t="str">
        <f t="shared" si="0"/>
        <v>SELECT * FROM altreva.all_eurusd where file like '%01k_77i2_7%' and pnl &gt; (SELECT avg(pnl) FROM altreva.all_eurusd where file like '%01k_77i2_7%') order by pnl desc limit 1 INTO OUTFILE "C:\\ProgramData\\MySQL\\MySQL Server 5.7\\Uploads\\01k_77i2_7-cmp.csv";</v>
      </c>
    </row>
    <row r="43" spans="1:3" x14ac:dyDescent="0.3">
      <c r="A43" s="4" t="s">
        <v>906</v>
      </c>
      <c r="C43" t="str">
        <f t="shared" si="0"/>
        <v>SELECT * FROM altreva.all_eurusd where file like '%01k_77i3_1%' and pnl &gt; (SELECT avg(pnl) FROM altreva.all_eurusd where file like '%01k_77i3_1%') order by pnl desc limit 1 INTO OUTFILE "C:\\ProgramData\\MySQL\\MySQL Server 5.7\\Uploads\\01k_77i3_1-cmp.csv";</v>
      </c>
    </row>
    <row r="44" spans="1:3" x14ac:dyDescent="0.3">
      <c r="A44" s="4" t="s">
        <v>905</v>
      </c>
      <c r="C44" t="str">
        <f t="shared" si="0"/>
        <v>SELECT * FROM altreva.all_eurusd where file like '%01k_77i2_8%' and pnl &gt; (SELECT avg(pnl) FROM altreva.all_eurusd where file like '%01k_77i2_8%') order by pnl desc limit 1 INTO OUTFILE "C:\\ProgramData\\MySQL\\MySQL Server 5.7\\Uploads\\01k_77i2_8-cmp.csv";</v>
      </c>
    </row>
    <row r="45" spans="1:3" x14ac:dyDescent="0.3">
      <c r="A45" s="4" t="s">
        <v>907</v>
      </c>
      <c r="C45" t="str">
        <f t="shared" si="0"/>
        <v>SELECT * FROM altreva.all_eurusd where file like '%01k_77i3_2%' and pnl &gt; (SELECT avg(pnl) FROM altreva.all_eurusd where file like '%01k_77i3_2%') order by pnl desc limit 1 INTO OUTFILE "C:\\ProgramData\\MySQL\\MySQL Server 5.7\\Uploads\\01k_77i3_2-cmp.csv";</v>
      </c>
    </row>
    <row r="46" spans="1:3" x14ac:dyDescent="0.3">
      <c r="A46" s="4" t="s">
        <v>909</v>
      </c>
      <c r="C46" t="str">
        <f t="shared" si="0"/>
        <v>SELECT * FROM altreva.all_eurusd where file like '%01k_77i3_4%' and pnl &gt; (SELECT avg(pnl) FROM altreva.all_eurusd where file like '%01k_77i3_4%') order by pnl desc limit 1 INTO OUTFILE "C:\\ProgramData\\MySQL\\MySQL Server 5.7\\Uploads\\01k_77i3_4-cmp.csv";</v>
      </c>
    </row>
    <row r="47" spans="1:3" x14ac:dyDescent="0.3">
      <c r="A47" s="4" t="s">
        <v>903</v>
      </c>
      <c r="C47" t="str">
        <f t="shared" si="0"/>
        <v>SELECT * FROM altreva.all_eurusd where file like '%01k_77i2_6%' and pnl &gt; (SELECT avg(pnl) FROM altreva.all_eurusd where file like '%01k_77i2_6%') order by pnl desc limit 1 INTO OUTFILE "C:\\ProgramData\\MySQL\\MySQL Server 5.7\\Uploads\\01k_77i2_6-cmp.csv";</v>
      </c>
    </row>
    <row r="48" spans="1:3" x14ac:dyDescent="0.3">
      <c r="A48" s="4" t="s">
        <v>908</v>
      </c>
      <c r="C48" t="str">
        <f t="shared" si="0"/>
        <v>SELECT * FROM altreva.all_eurusd where file like '%01k_77i3_3%' and pnl &gt; (SELECT avg(pnl) FROM altreva.all_eurusd where file like '%01k_77i3_3%') order by pnl desc limit 1 INTO OUTFILE "C:\\ProgramData\\MySQL\\MySQL Server 5.7\\Uploads\\01k_77i3_3-cmp.csv";</v>
      </c>
    </row>
    <row r="49" spans="1:3" x14ac:dyDescent="0.3">
      <c r="A49" s="4" t="s">
        <v>977</v>
      </c>
      <c r="C49" t="str">
        <f t="shared" si="0"/>
        <v>SELECT * FROM altreva.all_eurusd where file like '%01k_10j1_4%' and pnl &gt; (SELECT avg(pnl) FROM altreva.all_eurusd where file like '%01k_10j1_4%') order by pnl desc limit 1 INTO OUTFILE "C:\\ProgramData\\MySQL\\MySQL Server 5.7\\Uploads\\01k_10j1_4-cmp.csv";</v>
      </c>
    </row>
    <row r="50" spans="1:3" x14ac:dyDescent="0.3">
      <c r="A50" s="4" t="s">
        <v>987</v>
      </c>
      <c r="C50" t="str">
        <f t="shared" si="0"/>
        <v>SELECT * FROM altreva.all_eurusd where file like '%05k_10d2_2%' and pnl &gt; (SELECT avg(pnl) FROM altreva.all_eurusd where file like '%05k_10d2_2%') order by pnl desc limit 1 INTO OUTFILE "C:\\ProgramData\\MySQL\\MySQL Server 5.7\\Uploads\\05k_10d2_2-cmp.csv";</v>
      </c>
    </row>
    <row r="51" spans="1:3" x14ac:dyDescent="0.3">
      <c r="A51" s="4" t="s">
        <v>984</v>
      </c>
      <c r="C51" t="str">
        <f t="shared" si="0"/>
        <v>SELECT * FROM altreva.all_eurusd where file like '%05k_10b3_3%' and pnl &gt; (SELECT avg(pnl) FROM altreva.all_eurusd where file like '%05k_10b3_3%') order by pnl desc limit 1 INTO OUTFILE "C:\\ProgramData\\MySQL\\MySQL Server 5.7\\Uploads\\05k_10b3_3-cmp.csv";</v>
      </c>
    </row>
    <row r="52" spans="1:3" x14ac:dyDescent="0.3">
      <c r="A52" s="4" t="s">
        <v>988</v>
      </c>
      <c r="C52" t="str">
        <f t="shared" si="0"/>
        <v>SELECT * FROM altreva.all_eurusd where file like '%05k_10d3_3%' and pnl &gt; (SELECT avg(pnl) FROM altreva.all_eurusd where file like '%05k_10d3_3%') order by pnl desc limit 1 INTO OUTFILE "C:\\ProgramData\\MySQL\\MySQL Server 5.7\\Uploads\\05k_10d3_3-cmp.csv";</v>
      </c>
    </row>
    <row r="53" spans="1:3" x14ac:dyDescent="0.3">
      <c r="A53" s="4" t="s">
        <v>986</v>
      </c>
      <c r="C53" t="str">
        <f t="shared" si="0"/>
        <v>SELECT * FROM altreva.all_eurusd where file like '%05k_10d1_1%' and pnl &gt; (SELECT avg(pnl) FROM altreva.all_eurusd where file like '%05k_10d1_1%') order by pnl desc limit 1 INTO OUTFILE "C:\\ProgramData\\MySQL\\MySQL Server 5.7\\Uploads\\05k_10d1_1-cmp.csv";</v>
      </c>
    </row>
    <row r="54" spans="1:3" x14ac:dyDescent="0.3">
      <c r="A54" s="4" t="s">
        <v>983</v>
      </c>
      <c r="C54" t="str">
        <f t="shared" si="0"/>
        <v>SELECT * FROM altreva.all_eurusd where file like '%01k_10j2_5%' and pnl &gt; (SELECT avg(pnl) FROM altreva.all_eurusd where file like '%01k_10j2_5%') order by pnl desc limit 1 INTO OUTFILE "C:\\ProgramData\\MySQL\\MySQL Server 5.7\\Uploads\\01k_10j2_5-cmp.csv";</v>
      </c>
    </row>
    <row r="55" spans="1:3" x14ac:dyDescent="0.3">
      <c r="A55" s="4" t="s">
        <v>985</v>
      </c>
      <c r="C55" t="str">
        <f t="shared" si="0"/>
        <v>SELECT * FROM altreva.all_eurusd where file like '%05k_10b4_4%' and pnl &gt; (SELECT avg(pnl) FROM altreva.all_eurusd where file like '%05k_10b4_4%') order by pnl desc limit 1 INTO OUTFILE "C:\\ProgramData\\MySQL\\MySQL Server 5.7\\Uploads\\05k_10b4_4-cmp.csv";</v>
      </c>
    </row>
    <row r="56" spans="1:3" x14ac:dyDescent="0.3">
      <c r="A56" s="4" t="s">
        <v>989</v>
      </c>
      <c r="C56" t="str">
        <f t="shared" si="0"/>
        <v>SELECT * FROM altreva.all_eurusd where file like '%05k_10e1_1%' and pnl &gt; (SELECT avg(pnl) FROM altreva.all_eurusd where file like '%05k_10e1_1%') order by pnl desc limit 1 INTO OUTFILE "C:\\ProgramData\\MySQL\\MySQL Server 5.7\\Uploads\\05k_10e1_1-cmp.csv";</v>
      </c>
    </row>
    <row r="57" spans="1:3" x14ac:dyDescent="0.3">
      <c r="A57" s="4" t="s">
        <v>910</v>
      </c>
      <c r="C57" t="str">
        <f t="shared" si="0"/>
        <v>SELECT * FROM altreva.all_eurusd where file like '%01k_77j1_1%' and pnl &gt; (SELECT avg(pnl) FROM altreva.all_eurusd where file like '%01k_77j1_1%') order by pnl desc limit 1 INTO OUTFILE "C:\\ProgramData\\MySQL\\MySQL Server 5.7\\Uploads\\01k_77j1_1-cmp.csv";</v>
      </c>
    </row>
    <row r="58" spans="1:3" x14ac:dyDescent="0.3">
      <c r="A58" s="4" t="s">
        <v>990</v>
      </c>
      <c r="C58" t="str">
        <f t="shared" si="0"/>
        <v>SELECT * FROM altreva.all_eurusd where file like '%05k_10e2_2%' and pnl &gt; (SELECT avg(pnl) FROM altreva.all_eurusd where file like '%05k_10e2_2%') order by pnl desc limit 1 INTO OUTFILE "C:\\ProgramData\\MySQL\\MySQL Server 5.7\\Uploads\\05k_10e2_2-cmp.csv";</v>
      </c>
    </row>
    <row r="59" spans="1:3" x14ac:dyDescent="0.3">
      <c r="A59" s="4" t="s">
        <v>980</v>
      </c>
      <c r="C59" t="str">
        <f t="shared" si="0"/>
        <v>SELECT * FROM altreva.all_eurusd where file like '%01k_10j2_2%' and pnl &gt; (SELECT avg(pnl) FROM altreva.all_eurusd where file like '%01k_10j2_2%') order by pnl desc limit 1 INTO OUTFILE "C:\\ProgramData\\MySQL\\MySQL Server 5.7\\Uploads\\01k_10j2_2-cmp.csv";</v>
      </c>
    </row>
    <row r="60" spans="1:3" x14ac:dyDescent="0.3">
      <c r="A60" s="4" t="s">
        <v>911</v>
      </c>
      <c r="C60" t="str">
        <f t="shared" si="0"/>
        <v>SELECT * FROM altreva.all_eurusd where file like '%05k_77b1_1%' and pnl &gt; (SELECT avg(pnl) FROM altreva.all_eurusd where file like '%05k_77b1_1%') order by pnl desc limit 1 INTO OUTFILE "C:\\ProgramData\\MySQL\\MySQL Server 5.7\\Uploads\\05k_77b1_1-cmp.csv";</v>
      </c>
    </row>
    <row r="61" spans="1:3" x14ac:dyDescent="0.3">
      <c r="A61" s="4" t="s">
        <v>912</v>
      </c>
      <c r="C61" t="str">
        <f t="shared" si="0"/>
        <v>SELECT * FROM altreva.all_eurusd where file like '%05k_77b1_2%' and pnl &gt; (SELECT avg(pnl) FROM altreva.all_eurusd where file like '%05k_77b1_2%') order by pnl desc limit 1 INTO OUTFILE "C:\\ProgramData\\MySQL\\MySQL Server 5.7\\Uploads\\05k_77b1_2-cmp.csv";</v>
      </c>
    </row>
    <row r="62" spans="1:3" x14ac:dyDescent="0.3">
      <c r="A62" s="4" t="s">
        <v>914</v>
      </c>
      <c r="C62" t="str">
        <f t="shared" si="0"/>
        <v>SELECT * FROM altreva.all_eurusd where file like '%05k_77b1_4%' and pnl &gt; (SELECT avg(pnl) FROM altreva.all_eurusd where file like '%05k_77b1_4%') order by pnl desc limit 1 INTO OUTFILE "C:\\ProgramData\\MySQL\\MySQL Server 5.7\\Uploads\\05k_77b1_4-cmp.csv";</v>
      </c>
    </row>
    <row r="63" spans="1:3" x14ac:dyDescent="0.3">
      <c r="A63" s="4" t="s">
        <v>915</v>
      </c>
      <c r="C63" t="str">
        <f t="shared" si="0"/>
        <v>SELECT * FROM altreva.all_eurusd where file like '%05k_77b2_5%' and pnl &gt; (SELECT avg(pnl) FROM altreva.all_eurusd where file like '%05k_77b2_5%') order by pnl desc limit 1 INTO OUTFILE "C:\\ProgramData\\MySQL\\MySQL Server 5.7\\Uploads\\05k_77b2_5-cmp.csv";</v>
      </c>
    </row>
    <row r="64" spans="1:3" x14ac:dyDescent="0.3">
      <c r="A64" s="4" t="s">
        <v>913</v>
      </c>
      <c r="C64" t="str">
        <f t="shared" si="0"/>
        <v>SELECT * FROM altreva.all_eurusd where file like '%05k_77b1_3%' and pnl &gt; (SELECT avg(pnl) FROM altreva.all_eurusd where file like '%05k_77b1_3%') order by pnl desc limit 1 INTO OUTFILE "C:\\ProgramData\\MySQL\\MySQL Server 5.7\\Uploads\\05k_77b1_3-cmp.csv";</v>
      </c>
    </row>
    <row r="65" spans="1:3" x14ac:dyDescent="0.3">
      <c r="A65" s="4" t="s">
        <v>916</v>
      </c>
      <c r="C65" t="str">
        <f t="shared" si="0"/>
        <v>SELECT * FROM altreva.all_eurusd where file like '%05k_77b2_6%' and pnl &gt; (SELECT avg(pnl) FROM altreva.all_eurusd where file like '%05k_77b2_6%') order by pnl desc limit 1 INTO OUTFILE "C:\\ProgramData\\MySQL\\MySQL Server 5.7\\Uploads\\05k_77b2_6-cmp.csv";</v>
      </c>
    </row>
    <row r="66" spans="1:3" x14ac:dyDescent="0.3">
      <c r="A66" s="4" t="s">
        <v>982</v>
      </c>
      <c r="C66" t="str">
        <f t="shared" ref="C66:C121" si="1">"SELECT * FROM altreva.all_eurusd where file like '%"&amp;A66&amp;"%' and pnl &gt; (SELECT avg(pnl) FROM altreva.all_eurusd where file like '%"&amp;A66&amp;"%') order by pnl desc limit 1 INTO OUTFILE ""C:\\ProgramData\\MySQL\\MySQL Server 5.7\\Uploads\\"&amp;A66&amp; "-cmp.csv" &amp; """;"</f>
        <v>SELECT * FROM altreva.all_eurusd where file like '%01k_10j2_4%' and pnl &gt; (SELECT avg(pnl) FROM altreva.all_eurusd where file like '%01k_10j2_4%') order by pnl desc limit 1 INTO OUTFILE "C:\\ProgramData\\MySQL\\MySQL Server 5.7\\Uploads\\01k_10j2_4-cmp.csv";</v>
      </c>
    </row>
    <row r="67" spans="1:3" x14ac:dyDescent="0.3">
      <c r="A67" s="4" t="s">
        <v>917</v>
      </c>
      <c r="C67" t="str">
        <f t="shared" si="1"/>
        <v>SELECT * FROM altreva.all_eurusd where file like '%05k_77b2_7%' and pnl &gt; (SELECT avg(pnl) FROM altreva.all_eurusd where file like '%05k_77b2_7%') order by pnl desc limit 1 INTO OUTFILE "C:\\ProgramData\\MySQL\\MySQL Server 5.7\\Uploads\\05k_77b2_7-cmp.csv";</v>
      </c>
    </row>
    <row r="68" spans="1:3" x14ac:dyDescent="0.3">
      <c r="A68" s="4" t="s">
        <v>918</v>
      </c>
      <c r="C68" t="str">
        <f t="shared" si="1"/>
        <v>SELECT * FROM altreva.all_eurusd where file like '%05k_77b2_8%' and pnl &gt; (SELECT avg(pnl) FROM altreva.all_eurusd where file like '%05k_77b2_8%') order by pnl desc limit 1 INTO OUTFILE "C:\\ProgramData\\MySQL\\MySQL Server 5.7\\Uploads\\05k_77b2_8-cmp.csv";</v>
      </c>
    </row>
    <row r="69" spans="1:3" x14ac:dyDescent="0.3">
      <c r="A69" s="4" t="s">
        <v>993</v>
      </c>
      <c r="C69" t="str">
        <f t="shared" si="1"/>
        <v>SELECT * FROM altreva.all_eurusd where file like '%05k_10f1_3%' and pnl &gt; (SELECT avg(pnl) FROM altreva.all_eurusd where file like '%05k_10f1_3%') order by pnl desc limit 1 INTO OUTFILE "C:\\ProgramData\\MySQL\\MySQL Server 5.7\\Uploads\\05k_10f1_3-cmp.csv";</v>
      </c>
    </row>
    <row r="70" spans="1:3" x14ac:dyDescent="0.3">
      <c r="A70" s="4" t="s">
        <v>991</v>
      </c>
      <c r="C70" t="str">
        <f t="shared" si="1"/>
        <v>SELECT * FROM altreva.all_eurusd where file like '%05k_10f1_1%' and pnl &gt; (SELECT avg(pnl) FROM altreva.all_eurusd where file like '%05k_10f1_1%') order by pnl desc limit 1 INTO OUTFILE "C:\\ProgramData\\MySQL\\MySQL Server 5.7\\Uploads\\05k_10f1_1-cmp.csv";</v>
      </c>
    </row>
    <row r="71" spans="1:3" x14ac:dyDescent="0.3">
      <c r="A71" s="4" t="s">
        <v>992</v>
      </c>
      <c r="C71" t="str">
        <f t="shared" si="1"/>
        <v>SELECT * FROM altreva.all_eurusd where file like '%05k_10f1_2%' and pnl &gt; (SELECT avg(pnl) FROM altreva.all_eurusd where file like '%05k_10f1_2%') order by pnl desc limit 1 INTO OUTFILE "C:\\ProgramData\\MySQL\\MySQL Server 5.7\\Uploads\\05k_10f1_2-cmp.csv";</v>
      </c>
    </row>
    <row r="72" spans="1:3" x14ac:dyDescent="0.3">
      <c r="A72" s="4" t="s">
        <v>994</v>
      </c>
      <c r="C72" t="str">
        <f t="shared" si="1"/>
        <v>SELECT * FROM altreva.all_eurusd where file like '%05k_10f1_4%' and pnl &gt; (SELECT avg(pnl) FROM altreva.all_eurusd where file like '%05k_10f1_4%') order by pnl desc limit 1 INTO OUTFILE "C:\\ProgramData\\MySQL\\MySQL Server 5.7\\Uploads\\05k_10f1_4-cmp.csv";</v>
      </c>
    </row>
    <row r="73" spans="1:3" x14ac:dyDescent="0.3">
      <c r="A73" s="4" t="s">
        <v>997</v>
      </c>
      <c r="C73" t="str">
        <f t="shared" si="1"/>
        <v>SELECT * FROM altreva.all_eurusd where file like '%10k_10b2_2%' and pnl &gt; (SELECT avg(pnl) FROM altreva.all_eurusd where file like '%10k_10b2_2%') order by pnl desc limit 1 INTO OUTFILE "C:\\ProgramData\\MySQL\\MySQL Server 5.7\\Uploads\\10k_10b2_2-cmp.csv";</v>
      </c>
    </row>
    <row r="74" spans="1:3" x14ac:dyDescent="0.3">
      <c r="A74" s="4" t="s">
        <v>996</v>
      </c>
      <c r="C74" t="str">
        <f t="shared" si="1"/>
        <v>SELECT * FROM altreva.all_eurusd where file like '%10k_10b1_1%' and pnl &gt; (SELECT avg(pnl) FROM altreva.all_eurusd where file like '%10k_10b1_1%') order by pnl desc limit 1 INTO OUTFILE "C:\\ProgramData\\MySQL\\MySQL Server 5.7\\Uploads\\10k_10b1_1-cmp.csv";</v>
      </c>
    </row>
    <row r="75" spans="1:3" x14ac:dyDescent="0.3">
      <c r="A75" s="4" t="s">
        <v>995</v>
      </c>
      <c r="C75" t="str">
        <f t="shared" si="1"/>
        <v>SELECT * FROM altreva.all_eurusd where file like '%05k_10g1_1%' and pnl &gt; (SELECT avg(pnl) FROM altreva.all_eurusd where file like '%05k_10g1_1%') order by pnl desc limit 1 INTO OUTFILE "C:\\ProgramData\\MySQL\\MySQL Server 5.7\\Uploads\\05k_10g1_1-cmp.csv";</v>
      </c>
    </row>
    <row r="76" spans="1:3" x14ac:dyDescent="0.3">
      <c r="A76" s="4" t="s">
        <v>920</v>
      </c>
      <c r="C76" t="str">
        <f t="shared" si="1"/>
        <v>SELECT * FROM altreva.all_eurusd where file like '%10k_77c1_2%' and pnl &gt; (SELECT avg(pnl) FROM altreva.all_eurusd where file like '%10k_77c1_2%') order by pnl desc limit 1 INTO OUTFILE "C:\\ProgramData\\MySQL\\MySQL Server 5.7\\Uploads\\10k_77c1_2-cmp.csv";</v>
      </c>
    </row>
    <row r="77" spans="1:3" x14ac:dyDescent="0.3">
      <c r="A77" s="4" t="s">
        <v>924</v>
      </c>
      <c r="C77" t="str">
        <f t="shared" si="1"/>
        <v>SELECT * FROM altreva.all_eurusd where file like '%10k_77c2_6%' and pnl &gt; (SELECT avg(pnl) FROM altreva.all_eurusd where file like '%10k_77c2_6%') order by pnl desc limit 1 INTO OUTFILE "C:\\ProgramData\\MySQL\\MySQL Server 5.7\\Uploads\\10k_77c2_6-cmp.csv";</v>
      </c>
    </row>
    <row r="78" spans="1:3" x14ac:dyDescent="0.3">
      <c r="A78" s="4" t="s">
        <v>926</v>
      </c>
      <c r="C78" t="str">
        <f t="shared" si="1"/>
        <v>SELECT * FROM altreva.all_eurusd where file like '%10k_77c2_8%' and pnl &gt; (SELECT avg(pnl) FROM altreva.all_eurusd where file like '%10k_77c2_8%') order by pnl desc limit 1 INTO OUTFILE "C:\\ProgramData\\MySQL\\MySQL Server 5.7\\Uploads\\10k_77c2_8-cmp.csv";</v>
      </c>
    </row>
    <row r="79" spans="1:3" x14ac:dyDescent="0.3">
      <c r="A79" s="4" t="s">
        <v>925</v>
      </c>
      <c r="C79" t="str">
        <f t="shared" si="1"/>
        <v>SELECT * FROM altreva.all_eurusd where file like '%10k_77c2_7%' and pnl &gt; (SELECT avg(pnl) FROM altreva.all_eurusd where file like '%10k_77c2_7%') order by pnl desc limit 1 INTO OUTFILE "C:\\ProgramData\\MySQL\\MySQL Server 5.7\\Uploads\\10k_77c2_7-cmp.csv";</v>
      </c>
    </row>
    <row r="80" spans="1:3" x14ac:dyDescent="0.3">
      <c r="A80" s="4" t="s">
        <v>919</v>
      </c>
      <c r="C80" t="str">
        <f t="shared" si="1"/>
        <v>SELECT * FROM altreva.all_eurusd where file like '%10k_77c1_1%' and pnl &gt; (SELECT avg(pnl) FROM altreva.all_eurusd where file like '%10k_77c1_1%') order by pnl desc limit 1 INTO OUTFILE "C:\\ProgramData\\MySQL\\MySQL Server 5.7\\Uploads\\10k_77c1_1-cmp.csv";</v>
      </c>
    </row>
    <row r="81" spans="1:3" x14ac:dyDescent="0.3">
      <c r="A81" s="4" t="s">
        <v>923</v>
      </c>
      <c r="C81" t="str">
        <f t="shared" si="1"/>
        <v>SELECT * FROM altreva.all_eurusd where file like '%10k_77c2_5%' and pnl &gt; (SELECT avg(pnl) FROM altreva.all_eurusd where file like '%10k_77c2_5%') order by pnl desc limit 1 INTO OUTFILE "C:\\ProgramData\\MySQL\\MySQL Server 5.7\\Uploads\\10k_77c2_5-cmp.csv";</v>
      </c>
    </row>
    <row r="82" spans="1:3" x14ac:dyDescent="0.3">
      <c r="A82" s="4" t="s">
        <v>922</v>
      </c>
      <c r="C82" t="str">
        <f t="shared" si="1"/>
        <v>SELECT * FROM altreva.all_eurusd where file like '%10k_77c1_4%' and pnl &gt; (SELECT avg(pnl) FROM altreva.all_eurusd where file like '%10k_77c1_4%') order by pnl desc limit 1 INTO OUTFILE "C:\\ProgramData\\MySQL\\MySQL Server 5.7\\Uploads\\10k_77c1_4-cmp.csv";</v>
      </c>
    </row>
    <row r="83" spans="1:3" x14ac:dyDescent="0.3">
      <c r="A83" s="4" t="s">
        <v>921</v>
      </c>
      <c r="C83" t="str">
        <f t="shared" si="1"/>
        <v>SELECT * FROM altreva.all_eurusd where file like '%10k_77c1_3%' and pnl &gt; (SELECT avg(pnl) FROM altreva.all_eurusd where file like '%10k_77c1_3%') order by pnl desc limit 1 INTO OUTFILE "C:\\ProgramData\\MySQL\\MySQL Server 5.7\\Uploads\\10k_77c1_3-cmp.csv";</v>
      </c>
    </row>
    <row r="84" spans="1:3" x14ac:dyDescent="0.3">
      <c r="A84" s="4" t="s">
        <v>927</v>
      </c>
      <c r="C84" t="str">
        <f t="shared" si="1"/>
        <v>SELECT * FROM altreva.all_eurusd where file like '%10k_77h1_1%' and pnl &gt; (SELECT avg(pnl) FROM altreva.all_eurusd where file like '%10k_77h1_1%') order by pnl desc limit 1 INTO OUTFILE "C:\\ProgramData\\MySQL\\MySQL Server 5.7\\Uploads\\10k_77h1_1-cmp.csv";</v>
      </c>
    </row>
    <row r="85" spans="1:3" x14ac:dyDescent="0.3">
      <c r="A85" s="4" t="s">
        <v>931</v>
      </c>
      <c r="C85" t="str">
        <f t="shared" si="1"/>
        <v>SELECT * FROM altreva.all_eurusd where file like '%10k_77h2_5%' and pnl &gt; (SELECT avg(pnl) FROM altreva.all_eurusd where file like '%10k_77h2_5%') order by pnl desc limit 1 INTO OUTFILE "C:\\ProgramData\\MySQL\\MySQL Server 5.7\\Uploads\\10k_77h2_5-cmp.csv";</v>
      </c>
    </row>
    <row r="86" spans="1:3" x14ac:dyDescent="0.3">
      <c r="A86" s="4" t="s">
        <v>928</v>
      </c>
      <c r="C86" t="str">
        <f t="shared" si="1"/>
        <v>SELECT * FROM altreva.all_eurusd where file like '%10k_77h1_2%' and pnl &gt; (SELECT avg(pnl) FROM altreva.all_eurusd where file like '%10k_77h1_2%') order by pnl desc limit 1 INTO OUTFILE "C:\\ProgramData\\MySQL\\MySQL Server 5.7\\Uploads\\10k_77h1_2-cmp.csv";</v>
      </c>
    </row>
    <row r="87" spans="1:3" x14ac:dyDescent="0.3">
      <c r="A87" s="4" t="s">
        <v>930</v>
      </c>
      <c r="C87" t="str">
        <f t="shared" si="1"/>
        <v>SELECT * FROM altreva.all_eurusd where file like '%10k_77h1_4%' and pnl &gt; (SELECT avg(pnl) FROM altreva.all_eurusd where file like '%10k_77h1_4%') order by pnl desc limit 1 INTO OUTFILE "C:\\ProgramData\\MySQL\\MySQL Server 5.7\\Uploads\\10k_77h1_4-cmp.csv";</v>
      </c>
    </row>
    <row r="88" spans="1:3" x14ac:dyDescent="0.3">
      <c r="A88" s="4" t="s">
        <v>932</v>
      </c>
      <c r="C88" t="str">
        <f t="shared" si="1"/>
        <v>SELECT * FROM altreva.all_eurusd where file like '%10k_77h2_6%' and pnl &gt; (SELECT avg(pnl) FROM altreva.all_eurusd where file like '%10k_77h2_6%') order by pnl desc limit 1 INTO OUTFILE "C:\\ProgramData\\MySQL\\MySQL Server 5.7\\Uploads\\10k_77h2_6-cmp.csv";</v>
      </c>
    </row>
    <row r="89" spans="1:3" x14ac:dyDescent="0.3">
      <c r="A89" s="4" t="s">
        <v>929</v>
      </c>
      <c r="C89" t="str">
        <f t="shared" si="1"/>
        <v>SELECT * FROM altreva.all_eurusd where file like '%10k_77h1_3%' and pnl &gt; (SELECT avg(pnl) FROM altreva.all_eurusd where file like '%10k_77h1_3%') order by pnl desc limit 1 INTO OUTFILE "C:\\ProgramData\\MySQL\\MySQL Server 5.7\\Uploads\\10k_77h1_3-cmp.csv";</v>
      </c>
    </row>
    <row r="90" spans="1:3" x14ac:dyDescent="0.3">
      <c r="A90" s="4" t="s">
        <v>933</v>
      </c>
      <c r="C90" t="str">
        <f t="shared" si="1"/>
        <v>SELECT * FROM altreva.all_eurusd where file like '%10k_77h2_7%' and pnl &gt; (SELECT avg(pnl) FROM altreva.all_eurusd where file like '%10k_77h2_7%') order by pnl desc limit 1 INTO OUTFILE "C:\\ProgramData\\MySQL\\MySQL Server 5.7\\Uploads\\10k_77h2_7-cmp.csv";</v>
      </c>
    </row>
    <row r="91" spans="1:3" x14ac:dyDescent="0.3">
      <c r="A91" s="4" t="s">
        <v>1003</v>
      </c>
      <c r="C91" t="str">
        <f t="shared" si="1"/>
        <v>SELECT * FROM altreva.all_eurusd where file like '%20k_10c1_2%' and pnl &gt; (SELECT avg(pnl) FROM altreva.all_eurusd where file like '%20k_10c1_2%') order by pnl desc limit 1 INTO OUTFILE "C:\\ProgramData\\MySQL\\MySQL Server 5.7\\Uploads\\20k_10c1_2-cmp.csv";</v>
      </c>
    </row>
    <row r="92" spans="1:3" x14ac:dyDescent="0.3">
      <c r="A92" s="4" t="s">
        <v>1002</v>
      </c>
      <c r="C92" t="str">
        <f t="shared" si="1"/>
        <v>SELECT * FROM altreva.all_eurusd where file like '%20k_10c1_1%' and pnl &gt; (SELECT avg(pnl) FROM altreva.all_eurusd where file like '%20k_10c1_1%') order by pnl desc limit 1 INTO OUTFILE "C:\\ProgramData\\MySQL\\MySQL Server 5.7\\Uploads\\20k_10c1_1-cmp.csv";</v>
      </c>
    </row>
    <row r="93" spans="1:3" x14ac:dyDescent="0.3">
      <c r="A93" s="4" t="s">
        <v>999</v>
      </c>
      <c r="C93" t="str">
        <f t="shared" si="1"/>
        <v>SELECT * FROM altreva.all_eurusd where file like '%20k_10a2_2%' and pnl &gt; (SELECT avg(pnl) FROM altreva.all_eurusd where file like '%20k_10a2_2%') order by pnl desc limit 1 INTO OUTFILE "C:\\ProgramData\\MySQL\\MySQL Server 5.7\\Uploads\\20k_10a2_2-cmp.csv";</v>
      </c>
    </row>
    <row r="94" spans="1:3" x14ac:dyDescent="0.3">
      <c r="A94" s="4" t="s">
        <v>1001</v>
      </c>
      <c r="C94" t="str">
        <f t="shared" si="1"/>
        <v>SELECT * FROM altreva.all_eurusd where file like '%20k_10a4_4%' and pnl &gt; (SELECT avg(pnl) FROM altreva.all_eurusd where file like '%20k_10a4_4%') order by pnl desc limit 1 INTO OUTFILE "C:\\ProgramData\\MySQL\\MySQL Server 5.7\\Uploads\\20k_10a4_4-cmp.csv";</v>
      </c>
    </row>
    <row r="95" spans="1:3" x14ac:dyDescent="0.3">
      <c r="A95" s="4" t="s">
        <v>1000</v>
      </c>
      <c r="C95" t="str">
        <f t="shared" si="1"/>
        <v>SELECT * FROM altreva.all_eurusd where file like '%20k_10a3_3%' and pnl &gt; (SELECT avg(pnl) FROM altreva.all_eurusd where file like '%20k_10a3_3%') order by pnl desc limit 1 INTO OUTFILE "C:\\ProgramData\\MySQL\\MySQL Server 5.7\\Uploads\\20k_10a3_3-cmp.csv";</v>
      </c>
    </row>
    <row r="96" spans="1:3" x14ac:dyDescent="0.3">
      <c r="A96" s="4" t="s">
        <v>998</v>
      </c>
      <c r="C96" t="str">
        <f t="shared" si="1"/>
        <v>SELECT * FROM altreva.all_eurusd where file like '%20k_10a1_1%' and pnl &gt; (SELECT avg(pnl) FROM altreva.all_eurusd where file like '%20k_10a1_1%') order by pnl desc limit 1 INTO OUTFILE "C:\\ProgramData\\MySQL\\MySQL Server 5.7\\Uploads\\20k_10a1_1-cmp.csv";</v>
      </c>
    </row>
    <row r="97" spans="1:3" x14ac:dyDescent="0.3">
      <c r="A97" s="4" t="s">
        <v>942</v>
      </c>
      <c r="C97" t="str">
        <f t="shared" si="1"/>
        <v>SELECT * FROM altreva.all_eurusd where file like '%20k_77g2_8%' and pnl &gt; (SELECT avg(pnl) FROM altreva.all_eurusd where file like '%20k_77g2_8%') order by pnl desc limit 1 INTO OUTFILE "C:\\ProgramData\\MySQL\\MySQL Server 5.7\\Uploads\\20k_77g2_8-cmp.csv";</v>
      </c>
    </row>
    <row r="98" spans="1:3" x14ac:dyDescent="0.3">
      <c r="A98" s="4" t="s">
        <v>935</v>
      </c>
      <c r="C98" t="str">
        <f t="shared" si="1"/>
        <v>SELECT * FROM altreva.all_eurusd where file like '%20k_77g1_1%' and pnl &gt; (SELECT avg(pnl) FROM altreva.all_eurusd where file like '%20k_77g1_1%') order by pnl desc limit 1 INTO OUTFILE "C:\\ProgramData\\MySQL\\MySQL Server 5.7\\Uploads\\20k_77g1_1-cmp.csv";</v>
      </c>
    </row>
    <row r="99" spans="1:3" x14ac:dyDescent="0.3">
      <c r="A99" s="4" t="s">
        <v>934</v>
      </c>
      <c r="C99" t="str">
        <f t="shared" si="1"/>
        <v>SELECT * FROM altreva.all_eurusd where file like '%10k_77h2_8%' and pnl &gt; (SELECT avg(pnl) FROM altreva.all_eurusd where file like '%10k_77h2_8%') order by pnl desc limit 1 INTO OUTFILE "C:\\ProgramData\\MySQL\\MySQL Server 5.7\\Uploads\\10k_77h2_8-cmp.csv";</v>
      </c>
    </row>
    <row r="100" spans="1:3" x14ac:dyDescent="0.3">
      <c r="A100" s="4" t="s">
        <v>939</v>
      </c>
      <c r="C100" t="str">
        <f t="shared" si="1"/>
        <v>SELECT * FROM altreva.all_eurusd where file like '%20k_77g2_5%' and pnl &gt; (SELECT avg(pnl) FROM altreva.all_eurusd where file like '%20k_77g2_5%') order by pnl desc limit 1 INTO OUTFILE "C:\\ProgramData\\MySQL\\MySQL Server 5.7\\Uploads\\20k_77g2_5-cmp.csv";</v>
      </c>
    </row>
    <row r="101" spans="1:3" x14ac:dyDescent="0.3">
      <c r="A101" s="4" t="s">
        <v>941</v>
      </c>
      <c r="C101" t="str">
        <f t="shared" si="1"/>
        <v>SELECT * FROM altreva.all_eurusd where file like '%20k_77g2_7%' and pnl &gt; (SELECT avg(pnl) FROM altreva.all_eurusd where file like '%20k_77g2_7%') order by pnl desc limit 1 INTO OUTFILE "C:\\ProgramData\\MySQL\\MySQL Server 5.7\\Uploads\\20k_77g2_7-cmp.csv";</v>
      </c>
    </row>
    <row r="102" spans="1:3" x14ac:dyDescent="0.3">
      <c r="A102" s="4" t="s">
        <v>944</v>
      </c>
      <c r="C102" t="str">
        <f t="shared" si="1"/>
        <v>SELECT * FROM altreva.all_eurusd where file like '%30k_77d1_1%' and pnl &gt; (SELECT avg(pnl) FROM altreva.all_eurusd where file like '%30k_77d1_1%') order by pnl desc limit 1 INTO OUTFILE "C:\\ProgramData\\MySQL\\MySQL Server 5.7\\Uploads\\30k_77d1_1-cmp.csv";</v>
      </c>
    </row>
    <row r="103" spans="1:3" x14ac:dyDescent="0.3">
      <c r="A103" s="4" t="s">
        <v>938</v>
      </c>
      <c r="C103" t="str">
        <f t="shared" si="1"/>
        <v>SELECT * FROM altreva.all_eurusd where file like '%20k_77g1_4%' and pnl &gt; (SELECT avg(pnl) FROM altreva.all_eurusd where file like '%20k_77g1_4%') order by pnl desc limit 1 INTO OUTFILE "C:\\ProgramData\\MySQL\\MySQL Server 5.7\\Uploads\\20k_77g1_4-cmp.csv";</v>
      </c>
    </row>
    <row r="104" spans="1:3" x14ac:dyDescent="0.3">
      <c r="A104" s="4" t="s">
        <v>936</v>
      </c>
      <c r="C104" t="str">
        <f t="shared" si="1"/>
        <v>SELECT * FROM altreva.all_eurusd where file like '%20k_77g1_2%' and pnl &gt; (SELECT avg(pnl) FROM altreva.all_eurusd where file like '%20k_77g1_2%') order by pnl desc limit 1 INTO OUTFILE "C:\\ProgramData\\MySQL\\MySQL Server 5.7\\Uploads\\20k_77g1_2-cmp.csv";</v>
      </c>
    </row>
    <row r="105" spans="1:3" x14ac:dyDescent="0.3">
      <c r="A105" s="4" t="s">
        <v>940</v>
      </c>
      <c r="C105" t="str">
        <f t="shared" si="1"/>
        <v>SELECT * FROM altreva.all_eurusd where file like '%20k_77g2_6%' and pnl &gt; (SELECT avg(pnl) FROM altreva.all_eurusd where file like '%20k_77g2_6%') order by pnl desc limit 1 INTO OUTFILE "C:\\ProgramData\\MySQL\\MySQL Server 5.7\\Uploads\\20k_77g2_6-cmp.csv";</v>
      </c>
    </row>
    <row r="106" spans="1:3" x14ac:dyDescent="0.3">
      <c r="A106" s="4" t="s">
        <v>937</v>
      </c>
      <c r="C106" t="str">
        <f t="shared" si="1"/>
        <v>SELECT * FROM altreva.all_eurusd where file like '%20k_77g1_3%' and pnl &gt; (SELECT avg(pnl) FROM altreva.all_eurusd where file like '%20k_77g1_3%') order by pnl desc limit 1 INTO OUTFILE "C:\\ProgramData\\MySQL\\MySQL Server 5.7\\Uploads\\20k_77g1_3-cmp.csv";</v>
      </c>
    </row>
    <row r="107" spans="1:3" x14ac:dyDescent="0.3">
      <c r="A107" s="4" t="s">
        <v>946</v>
      </c>
      <c r="C107" t="str">
        <f t="shared" si="1"/>
        <v>SELECT * FROM altreva.all_eurusd where file like '%30k_77d1_3%' and pnl &gt; (SELECT avg(pnl) FROM altreva.all_eurusd where file like '%30k_77d1_3%') order by pnl desc limit 1 INTO OUTFILE "C:\\ProgramData\\MySQL\\MySQL Server 5.7\\Uploads\\30k_77d1_3-cmp.csv";</v>
      </c>
    </row>
    <row r="108" spans="1:3" x14ac:dyDescent="0.3">
      <c r="A108" s="4" t="s">
        <v>947</v>
      </c>
      <c r="C108" t="str">
        <f t="shared" si="1"/>
        <v>SELECT * FROM altreva.all_eurusd where file like '%30k_77d1_4%' and pnl &gt; (SELECT avg(pnl) FROM altreva.all_eurusd where file like '%30k_77d1_4%') order by pnl desc limit 1 INTO OUTFILE "C:\\ProgramData\\MySQL\\MySQL Server 5.7\\Uploads\\30k_77d1_4-cmp.csv";</v>
      </c>
    </row>
    <row r="109" spans="1:3" x14ac:dyDescent="0.3">
      <c r="A109" s="4" t="s">
        <v>952</v>
      </c>
      <c r="C109" t="str">
        <f t="shared" si="1"/>
        <v>SELECT * FROM altreva.all_eurusd where file like '%50k_77e1_1%' and pnl &gt; (SELECT avg(pnl) FROM altreva.all_eurusd where file like '%50k_77e1_1%') order by pnl desc limit 1 INTO OUTFILE "C:\\ProgramData\\MySQL\\MySQL Server 5.7\\Uploads\\50k_77e1_1-cmp.csv";</v>
      </c>
    </row>
    <row r="110" spans="1:3" x14ac:dyDescent="0.3">
      <c r="A110" s="4" t="s">
        <v>949</v>
      </c>
      <c r="C110" t="str">
        <f t="shared" si="1"/>
        <v>SELECT * FROM altreva.all_eurusd where file like '%30k_77d2_6%' and pnl &gt; (SELECT avg(pnl) FROM altreva.all_eurusd where file like '%30k_77d2_6%') order by pnl desc limit 1 INTO OUTFILE "C:\\ProgramData\\MySQL\\MySQL Server 5.7\\Uploads\\30k_77d2_6-cmp.csv";</v>
      </c>
    </row>
    <row r="111" spans="1:3" x14ac:dyDescent="0.3">
      <c r="A111" s="4" t="s">
        <v>951</v>
      </c>
      <c r="C111" t="str">
        <f t="shared" si="1"/>
        <v>SELECT * FROM altreva.all_eurusd where file like '%30k_77d2_8%' and pnl &gt; (SELECT avg(pnl) FROM altreva.all_eurusd where file like '%30k_77d2_8%') order by pnl desc limit 1 INTO OUTFILE "C:\\ProgramData\\MySQL\\MySQL Server 5.7\\Uploads\\30k_77d2_8-cmp.csv";</v>
      </c>
    </row>
    <row r="112" spans="1:3" x14ac:dyDescent="0.3">
      <c r="A112" s="4" t="s">
        <v>950</v>
      </c>
      <c r="C112" t="str">
        <f t="shared" si="1"/>
        <v>SELECT * FROM altreva.all_eurusd where file like '%30k_77d2_7%' and pnl &gt; (SELECT avg(pnl) FROM altreva.all_eurusd where file like '%30k_77d2_7%') order by pnl desc limit 1 INTO OUTFILE "C:\\ProgramData\\MySQL\\MySQL Server 5.7\\Uploads\\30k_77d2_7-cmp.csv";</v>
      </c>
    </row>
    <row r="113" spans="1:3" x14ac:dyDescent="0.3">
      <c r="A113" s="4" t="s">
        <v>945</v>
      </c>
      <c r="C113" t="str">
        <f t="shared" si="1"/>
        <v>SELECT * FROM altreva.all_eurusd where file like '%30k_77d1_2%' and pnl &gt; (SELECT avg(pnl) FROM altreva.all_eurusd where file like '%30k_77d1_2%') order by pnl desc limit 1 INTO OUTFILE "C:\\ProgramData\\MySQL\\MySQL Server 5.7\\Uploads\\30k_77d1_2-cmp.csv";</v>
      </c>
    </row>
    <row r="114" spans="1:3" x14ac:dyDescent="0.3">
      <c r="A114" s="4" t="s">
        <v>953</v>
      </c>
      <c r="C114" t="str">
        <f t="shared" si="1"/>
        <v>SELECT * FROM altreva.all_eurusd where file like '%50k_77e1_2%' and pnl &gt; (SELECT avg(pnl) FROM altreva.all_eurusd where file like '%50k_77e1_2%') order by pnl desc limit 1 INTO OUTFILE "C:\\ProgramData\\MySQL\\MySQL Server 5.7\\Uploads\\50k_77e1_2-cmp.csv";</v>
      </c>
    </row>
    <row r="115" spans="1:3" x14ac:dyDescent="0.3">
      <c r="A115" s="4" t="s">
        <v>948</v>
      </c>
      <c r="C115" t="str">
        <f t="shared" si="1"/>
        <v>SELECT * FROM altreva.all_eurusd where file like '%30k_77d2_5%' and pnl &gt; (SELECT avg(pnl) FROM altreva.all_eurusd where file like '%30k_77d2_5%') order by pnl desc limit 1 INTO OUTFILE "C:\\ProgramData\\MySQL\\MySQL Server 5.7\\Uploads\\30k_77d2_5-cmp.csv";</v>
      </c>
    </row>
    <row r="116" spans="1:3" x14ac:dyDescent="0.3">
      <c r="A116" s="4" t="s">
        <v>954</v>
      </c>
      <c r="C116" t="str">
        <f t="shared" si="1"/>
        <v>SELECT * FROM altreva.all_eurusd where file like '%50k_77e1_3%' and pnl &gt; (SELECT avg(pnl) FROM altreva.all_eurusd where file like '%50k_77e1_3%') order by pnl desc limit 1 INTO OUTFILE "C:\\ProgramData\\MySQL\\MySQL Server 5.7\\Uploads\\50k_77e1_3-cmp.csv";</v>
      </c>
    </row>
    <row r="117" spans="1:3" x14ac:dyDescent="0.3">
      <c r="A117" s="4" t="s">
        <v>955</v>
      </c>
      <c r="C117" t="str">
        <f t="shared" si="1"/>
        <v>SELECT * FROM altreva.all_eurusd where file like '%50k_77e1_4%' and pnl &gt; (SELECT avg(pnl) FROM altreva.all_eurusd where file like '%50k_77e1_4%') order by pnl desc limit 1 INTO OUTFILE "C:\\ProgramData\\MySQL\\MySQL Server 5.7\\Uploads\\50k_77e1_4-cmp.csv";</v>
      </c>
    </row>
    <row r="118" spans="1:3" x14ac:dyDescent="0.3">
      <c r="A118" s="4" t="s">
        <v>956</v>
      </c>
      <c r="C118" t="str">
        <f t="shared" si="1"/>
        <v>SELECT * FROM altreva.all_eurusd where file like '%50k_77e2_5%' and pnl &gt; (SELECT avg(pnl) FROM altreva.all_eurusd where file like '%50k_77e2_5%') order by pnl desc limit 1 INTO OUTFILE "C:\\ProgramData\\MySQL\\MySQL Server 5.7\\Uploads\\50k_77e2_5-cmp.csv";</v>
      </c>
    </row>
    <row r="119" spans="1:3" x14ac:dyDescent="0.3">
      <c r="A119" s="4" t="s">
        <v>957</v>
      </c>
      <c r="C119" t="str">
        <f t="shared" si="1"/>
        <v>SELECT * FROM altreva.all_eurusd where file like '%50k_77e2_6%' and pnl &gt; (SELECT avg(pnl) FROM altreva.all_eurusd where file like '%50k_77e2_6%') order by pnl desc limit 1 INTO OUTFILE "C:\\ProgramData\\MySQL\\MySQL Server 5.7\\Uploads\\50k_77e2_6-cmp.csv";</v>
      </c>
    </row>
    <row r="120" spans="1:3" x14ac:dyDescent="0.3">
      <c r="A120" s="4" t="s">
        <v>959</v>
      </c>
      <c r="C120" t="str">
        <f t="shared" si="1"/>
        <v>SELECT * FROM altreva.all_eurusd where file like '%50k_77e2_8%' and pnl &gt; (SELECT avg(pnl) FROM altreva.all_eurusd where file like '%50k_77e2_8%') order by pnl desc limit 1 INTO OUTFILE "C:\\ProgramData\\MySQL\\MySQL Server 5.7\\Uploads\\50k_77e2_8-cmp.csv";</v>
      </c>
    </row>
    <row r="121" spans="1:3" x14ac:dyDescent="0.3">
      <c r="A121" s="4" t="s">
        <v>958</v>
      </c>
      <c r="C121" t="str">
        <f t="shared" si="1"/>
        <v>SELECT * FROM altreva.all_eurusd where file like '%50k_77e2_7%' and pnl &gt; (SELECT avg(pnl) FROM altreva.all_eurusd where file like '%50k_77e2_7%') order by pnl desc limit 1 INTO OUTFILE "C:\\ProgramData\\MySQL\\MySQL Server 5.7\\Uploads\\50k_77e2_7-cmp.csv";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2"/>
  <sheetViews>
    <sheetView workbookViewId="0">
      <selection activeCell="H1" sqref="H1:O1048576"/>
    </sheetView>
  </sheetViews>
  <sheetFormatPr defaultColWidth="11.6640625" defaultRowHeight="13.2" customHeight="1" x14ac:dyDescent="0.3"/>
  <cols>
    <col min="2" max="2" width="10.109375" customWidth="1"/>
    <col min="3" max="3" width="9.5546875" customWidth="1"/>
    <col min="4" max="4" width="14.44140625" customWidth="1"/>
    <col min="5" max="5" width="7.5546875" customWidth="1"/>
    <col min="6" max="6" width="11.5546875" customWidth="1"/>
    <col min="7" max="7" width="16" customWidth="1"/>
    <col min="12" max="12" width="14.44140625" customWidth="1"/>
    <col min="14" max="14" width="13.88671875" customWidth="1"/>
  </cols>
  <sheetData>
    <row r="1" spans="1:15" s="1" customFormat="1" ht="13.2" customHeight="1" x14ac:dyDescent="0.3">
      <c r="A1" s="1" t="s">
        <v>1334</v>
      </c>
      <c r="B1" s="1" t="s">
        <v>1335</v>
      </c>
      <c r="C1" s="1" t="s">
        <v>1336</v>
      </c>
      <c r="D1" s="1" t="s">
        <v>1337</v>
      </c>
      <c r="E1" s="1" t="s">
        <v>1338</v>
      </c>
      <c r="F1" s="1" t="s">
        <v>1339</v>
      </c>
      <c r="G1" s="1" t="s">
        <v>1340</v>
      </c>
      <c r="H1" s="1" t="s">
        <v>1341</v>
      </c>
      <c r="I1" s="1" t="s">
        <v>1342</v>
      </c>
      <c r="J1" s="1" t="s">
        <v>1343</v>
      </c>
      <c r="K1" s="1" t="s">
        <v>1344</v>
      </c>
      <c r="L1" s="1" t="s">
        <v>1345</v>
      </c>
      <c r="M1" s="1" t="s">
        <v>1346</v>
      </c>
      <c r="N1" s="1" t="s">
        <v>1347</v>
      </c>
      <c r="O1" s="1" t="s">
        <v>1348</v>
      </c>
    </row>
    <row r="2" spans="1:15" ht="13.2" customHeight="1" x14ac:dyDescent="0.3">
      <c r="A2" s="4" t="s">
        <v>882</v>
      </c>
      <c r="B2" s="4">
        <v>9</v>
      </c>
      <c r="C2" s="4">
        <v>240</v>
      </c>
      <c r="D2" s="4">
        <v>10</v>
      </c>
      <c r="E2" s="4">
        <v>17641</v>
      </c>
      <c r="H2">
        <f>(E2*C2)/(24*60)</f>
        <v>2940.1666666666665</v>
      </c>
      <c r="I2">
        <f>VLOOKUP('Files compared backup'!$A2,'Files top1'!$A$2:$F$999,5,FALSE)</f>
        <v>1.3020400000000001</v>
      </c>
      <c r="J2">
        <f>I2/H2</f>
        <v>4.4284564367099376E-4</v>
      </c>
      <c r="K2">
        <f>J2*5</f>
        <v>2.214228218354969E-3</v>
      </c>
      <c r="L2">
        <f>J2*20</f>
        <v>8.8569128734198761E-3</v>
      </c>
      <c r="M2">
        <f>VLOOKUP('Files compared backup'!$A2,'Files top1'!$A$2:$F$999,2,FALSE)</f>
        <v>0.54</v>
      </c>
      <c r="N2">
        <f>VLOOKUP('Files compared backup'!$A2,'Files top1'!$A$2:$F$999,4,FALSE)</f>
        <v>0.51500000000000001</v>
      </c>
      <c r="O2">
        <f>VLOOKUP('Files compared backup'!$A2,'Files top1'!$A$2:$F$999,3,FALSE)</f>
        <v>1</v>
      </c>
    </row>
    <row r="3" spans="1:15" ht="13.2" customHeight="1" x14ac:dyDescent="0.3">
      <c r="A3" s="4" t="s">
        <v>886</v>
      </c>
      <c r="B3" s="4">
        <v>9</v>
      </c>
      <c r="C3" s="4">
        <v>240</v>
      </c>
      <c r="D3" s="4">
        <v>10</v>
      </c>
      <c r="E3" s="4">
        <v>17641</v>
      </c>
      <c r="H3">
        <f t="shared" ref="H3:H66" si="0">(E3*C3)/(24*60)</f>
        <v>2940.1666666666665</v>
      </c>
      <c r="I3">
        <f>VLOOKUP('Files compared backup'!$A3,'Files top1'!$A$2:$F$999,5,FALSE)</f>
        <v>1.5719000000000001</v>
      </c>
      <c r="J3">
        <f t="shared" ref="J3:J66" si="1">I3/H3</f>
        <v>5.3462955614761072E-4</v>
      </c>
      <c r="K3">
        <f t="shared" ref="K3:K66" si="2">J3*5</f>
        <v>2.6731477807380535E-3</v>
      </c>
      <c r="L3">
        <f t="shared" ref="L3:L66" si="3">J3*20</f>
        <v>1.0692591122952214E-2</v>
      </c>
      <c r="M3">
        <f>VLOOKUP('Files compared backup'!$A3,'Files top1'!$A$2:$F$999,2,FALSE)</f>
        <v>0.54</v>
      </c>
      <c r="N3">
        <f>VLOOKUP('Files compared backup'!$A3,'Files top1'!$A$2:$F$999,4,FALSE)</f>
        <v>0.51</v>
      </c>
      <c r="O3">
        <f>VLOOKUP('Files compared backup'!$A3,'Files top1'!$A$2:$F$999,3,FALSE)</f>
        <v>1</v>
      </c>
    </row>
    <row r="4" spans="1:15" ht="13.2" customHeight="1" x14ac:dyDescent="0.3">
      <c r="A4" s="4" t="s">
        <v>889</v>
      </c>
      <c r="B4" s="4">
        <v>9</v>
      </c>
      <c r="C4" s="4">
        <v>240</v>
      </c>
      <c r="D4" s="4">
        <v>100</v>
      </c>
      <c r="E4" s="4">
        <v>17641</v>
      </c>
      <c r="H4">
        <f t="shared" si="0"/>
        <v>2940.1666666666665</v>
      </c>
      <c r="I4">
        <f>VLOOKUP('Files compared backup'!$A4,'Files top1'!$A$2:$F$999,5,FALSE)</f>
        <v>1.1503300000000001</v>
      </c>
      <c r="J4">
        <f t="shared" si="1"/>
        <v>3.9124652797460467E-4</v>
      </c>
      <c r="K4">
        <f t="shared" si="2"/>
        <v>1.9562326398730235E-3</v>
      </c>
      <c r="L4">
        <f t="shared" si="3"/>
        <v>7.8249305594920941E-3</v>
      </c>
      <c r="M4">
        <f>VLOOKUP('Files compared backup'!$A4,'Files top1'!$A$2:$F$999,2,FALSE)</f>
        <v>0.54</v>
      </c>
      <c r="N4">
        <f>VLOOKUP('Files compared backup'!$A4,'Files top1'!$A$2:$F$999,4,FALSE)</f>
        <v>0.52</v>
      </c>
      <c r="O4">
        <f>VLOOKUP('Files compared backup'!$A4,'Files top1'!$A$2:$F$999,3,FALSE)</f>
        <v>1</v>
      </c>
    </row>
    <row r="5" spans="1:15" ht="13.2" customHeight="1" x14ac:dyDescent="0.3">
      <c r="A5" s="4" t="s">
        <v>884</v>
      </c>
      <c r="B5" s="4">
        <v>9</v>
      </c>
      <c r="C5" s="4">
        <v>240</v>
      </c>
      <c r="D5" s="4">
        <v>50</v>
      </c>
      <c r="E5" s="4">
        <v>17641</v>
      </c>
      <c r="H5">
        <f t="shared" si="0"/>
        <v>2940.1666666666665</v>
      </c>
      <c r="I5">
        <f>VLOOKUP('Files compared backup'!$A5,'Files top1'!$A$2:$F$999,5,FALSE)</f>
        <v>1.38395</v>
      </c>
      <c r="J5">
        <f t="shared" si="1"/>
        <v>4.7070460858227996E-4</v>
      </c>
      <c r="K5">
        <f t="shared" si="2"/>
        <v>2.3535230429113999E-3</v>
      </c>
      <c r="L5">
        <f t="shared" si="3"/>
        <v>9.4140921716455994E-3</v>
      </c>
      <c r="M5">
        <f>VLOOKUP('Files compared backup'!$A5,'Files top1'!$A$2:$F$999,2,FALSE)</f>
        <v>0.54</v>
      </c>
      <c r="N5">
        <f>VLOOKUP('Files compared backup'!$A5,'Files top1'!$A$2:$F$999,4,FALSE)</f>
        <v>0.5</v>
      </c>
      <c r="O5">
        <f>VLOOKUP('Files compared backup'!$A5,'Files top1'!$A$2:$F$999,3,FALSE)</f>
        <v>1</v>
      </c>
    </row>
    <row r="6" spans="1:15" ht="13.2" customHeight="1" x14ac:dyDescent="0.3">
      <c r="A6" s="4" t="s">
        <v>883</v>
      </c>
      <c r="B6" s="4">
        <v>9</v>
      </c>
      <c r="C6" s="4">
        <v>240</v>
      </c>
      <c r="D6" s="4">
        <v>25</v>
      </c>
      <c r="E6" s="4">
        <v>17641</v>
      </c>
      <c r="H6">
        <f t="shared" si="0"/>
        <v>2940.1666666666665</v>
      </c>
      <c r="I6">
        <f>VLOOKUP('Files compared backup'!$A6,'Files top1'!$A$2:$F$999,5,FALSE)</f>
        <v>1.3011999999999999</v>
      </c>
      <c r="J6">
        <f t="shared" si="1"/>
        <v>4.4255994558131624E-4</v>
      </c>
      <c r="K6">
        <f t="shared" si="2"/>
        <v>2.212799727906581E-3</v>
      </c>
      <c r="L6">
        <f t="shared" si="3"/>
        <v>8.8511989116263241E-3</v>
      </c>
      <c r="M6">
        <f>VLOOKUP('Files compared backup'!$A6,'Files top1'!$A$2:$F$999,2,FALSE)</f>
        <v>0.54</v>
      </c>
      <c r="N6">
        <f>VLOOKUP('Files compared backup'!$A6,'Files top1'!$A$2:$F$999,4,FALSE)</f>
        <v>0.51</v>
      </c>
      <c r="O6">
        <f>VLOOKUP('Files compared backup'!$A6,'Files top1'!$A$2:$F$999,3,FALSE)</f>
        <v>1</v>
      </c>
    </row>
    <row r="7" spans="1:15" ht="13.2" customHeight="1" x14ac:dyDescent="0.3">
      <c r="A7" s="4" t="s">
        <v>887</v>
      </c>
      <c r="B7" s="4">
        <v>9</v>
      </c>
      <c r="C7" s="4">
        <v>240</v>
      </c>
      <c r="D7" s="4">
        <v>25</v>
      </c>
      <c r="E7" s="4">
        <v>17641</v>
      </c>
      <c r="H7">
        <f t="shared" si="0"/>
        <v>2940.1666666666665</v>
      </c>
      <c r="I7">
        <f>VLOOKUP('Files compared backup'!$A7,'Files top1'!$A$2:$F$999,5,FALSE)</f>
        <v>1.03542</v>
      </c>
      <c r="J7">
        <f t="shared" si="1"/>
        <v>3.521637095402755E-4</v>
      </c>
      <c r="K7">
        <f t="shared" si="2"/>
        <v>1.7608185477013775E-3</v>
      </c>
      <c r="L7">
        <f t="shared" si="3"/>
        <v>7.0432741908055098E-3</v>
      </c>
      <c r="M7">
        <f>VLOOKUP('Files compared backup'!$A7,'Files top1'!$A$2:$F$999,2,FALSE)</f>
        <v>0.54</v>
      </c>
      <c r="N7">
        <f>VLOOKUP('Files compared backup'!$A7,'Files top1'!$A$2:$F$999,4,FALSE)</f>
        <v>0.51500000000000001</v>
      </c>
      <c r="O7">
        <f>VLOOKUP('Files compared backup'!$A7,'Files top1'!$A$2:$F$999,3,FALSE)</f>
        <v>1</v>
      </c>
    </row>
    <row r="8" spans="1:15" ht="13.2" customHeight="1" x14ac:dyDescent="0.3">
      <c r="A8" s="4" t="s">
        <v>888</v>
      </c>
      <c r="B8" s="4">
        <v>9</v>
      </c>
      <c r="C8" s="4">
        <v>240</v>
      </c>
      <c r="D8" s="4">
        <v>50</v>
      </c>
      <c r="E8" s="4">
        <v>17641</v>
      </c>
      <c r="H8">
        <f t="shared" si="0"/>
        <v>2940.1666666666665</v>
      </c>
      <c r="I8">
        <f>VLOOKUP('Files compared backup'!$A8,'Files top1'!$A$2:$F$999,5,FALSE)</f>
        <v>1.5526800000000001</v>
      </c>
      <c r="J8">
        <f t="shared" si="1"/>
        <v>5.2809251176237182E-4</v>
      </c>
      <c r="K8">
        <f t="shared" si="2"/>
        <v>2.6404625588118593E-3</v>
      </c>
      <c r="L8">
        <f t="shared" si="3"/>
        <v>1.0561850235247437E-2</v>
      </c>
      <c r="M8">
        <f>VLOOKUP('Files compared backup'!$A8,'Files top1'!$A$2:$F$999,2,FALSE)</f>
        <v>0.54</v>
      </c>
      <c r="N8">
        <f>VLOOKUP('Files compared backup'!$A8,'Files top1'!$A$2:$F$999,4,FALSE)</f>
        <v>0.5</v>
      </c>
      <c r="O8">
        <f>VLOOKUP('Files compared backup'!$A8,'Files top1'!$A$2:$F$999,3,FALSE)</f>
        <v>1</v>
      </c>
    </row>
    <row r="9" spans="1:15" ht="13.2" customHeight="1" x14ac:dyDescent="0.3">
      <c r="A9" s="4" t="s">
        <v>885</v>
      </c>
      <c r="B9" s="4">
        <v>9</v>
      </c>
      <c r="C9" s="4">
        <v>240</v>
      </c>
      <c r="D9" s="4">
        <v>100</v>
      </c>
      <c r="E9" s="4">
        <v>17641</v>
      </c>
      <c r="H9">
        <f t="shared" si="0"/>
        <v>2940.1666666666665</v>
      </c>
      <c r="I9">
        <f>VLOOKUP('Files compared backup'!$A9,'Files top1'!$A$2:$F$999,5,FALSE)</f>
        <v>1.0638000000000001</v>
      </c>
      <c r="J9">
        <f t="shared" si="1"/>
        <v>3.6181622357009245E-4</v>
      </c>
      <c r="K9">
        <f t="shared" si="2"/>
        <v>1.8090811178504622E-3</v>
      </c>
      <c r="L9">
        <f t="shared" si="3"/>
        <v>7.2363244714018487E-3</v>
      </c>
      <c r="M9">
        <f>VLOOKUP('Files compared backup'!$A9,'Files top1'!$A$2:$F$999,2,FALSE)</f>
        <v>0.54</v>
      </c>
      <c r="N9">
        <f>VLOOKUP('Files compared backup'!$A9,'Files top1'!$A$2:$F$999,4,FALSE)</f>
        <v>0.51</v>
      </c>
      <c r="O9">
        <f>VLOOKUP('Files compared backup'!$A9,'Files top1'!$A$2:$F$999,3,FALSE)</f>
        <v>1</v>
      </c>
    </row>
    <row r="10" spans="1:15" ht="13.2" customHeight="1" x14ac:dyDescent="0.3">
      <c r="A10" s="4" t="s">
        <v>964</v>
      </c>
      <c r="B10" s="4">
        <v>100</v>
      </c>
      <c r="C10" s="4">
        <v>5</v>
      </c>
      <c r="D10" s="4">
        <v>100</v>
      </c>
      <c r="E10" s="4">
        <v>64400</v>
      </c>
      <c r="H10">
        <f t="shared" si="0"/>
        <v>223.61111111111111</v>
      </c>
      <c r="I10">
        <f>VLOOKUP('Files compared backup'!$A10,'Files top1'!$A$2:$F$999,5,FALSE)</f>
        <v>0.46107999999999999</v>
      </c>
      <c r="J10">
        <f t="shared" si="1"/>
        <v>2.0619726708074534E-3</v>
      </c>
      <c r="K10">
        <f t="shared" si="2"/>
        <v>1.0309863354037267E-2</v>
      </c>
      <c r="L10">
        <f t="shared" si="3"/>
        <v>4.1239453416149069E-2</v>
      </c>
      <c r="M10">
        <f>VLOOKUP('Files compared backup'!$A10,'Files top1'!$A$2:$F$999,2,FALSE)</f>
        <v>0.54</v>
      </c>
      <c r="N10">
        <f>VLOOKUP('Files compared backup'!$A10,'Files top1'!$A$2:$F$999,4,FALSE)</f>
        <v>0.51</v>
      </c>
      <c r="O10">
        <f>VLOOKUP('Files compared backup'!$A10,'Files top1'!$A$2:$F$999,3,FALSE)</f>
        <v>1</v>
      </c>
    </row>
    <row r="11" spans="1:15" ht="13.2" customHeight="1" x14ac:dyDescent="0.3">
      <c r="A11" s="4" t="s">
        <v>960</v>
      </c>
      <c r="B11" s="4">
        <v>100</v>
      </c>
      <c r="C11" s="4">
        <v>5</v>
      </c>
      <c r="D11" s="4">
        <v>100</v>
      </c>
      <c r="E11" s="4">
        <v>64400</v>
      </c>
      <c r="H11">
        <f t="shared" si="0"/>
        <v>223.61111111111111</v>
      </c>
      <c r="I11">
        <f>VLOOKUP('Files compared backup'!$A11,'Files top1'!$A$2:$F$999,5,FALSE)</f>
        <v>56.841999999999999</v>
      </c>
      <c r="J11">
        <f t="shared" si="1"/>
        <v>0.25420024844720496</v>
      </c>
      <c r="K11">
        <f t="shared" si="2"/>
        <v>1.2710012422360248</v>
      </c>
      <c r="L11">
        <f t="shared" si="3"/>
        <v>5.0840049689440994</v>
      </c>
      <c r="M11">
        <f>VLOOKUP('Files compared backup'!$A11,'Files top1'!$A$2:$F$999,2,FALSE)</f>
        <v>0.55000000000000004</v>
      </c>
      <c r="N11">
        <f>VLOOKUP('Files compared backup'!$A11,'Files top1'!$A$2:$F$999,4,FALSE)</f>
        <v>0.505</v>
      </c>
      <c r="O11">
        <f>VLOOKUP('Files compared backup'!$A11,'Files top1'!$A$2:$F$999,3,FALSE)</f>
        <v>1</v>
      </c>
    </row>
    <row r="12" spans="1:15" ht="13.2" customHeight="1" x14ac:dyDescent="0.3">
      <c r="A12" s="4" t="s">
        <v>961</v>
      </c>
      <c r="B12" s="4">
        <v>100</v>
      </c>
      <c r="C12" s="4">
        <v>5</v>
      </c>
      <c r="D12" s="4">
        <v>100</v>
      </c>
      <c r="E12" s="4">
        <v>64400</v>
      </c>
      <c r="H12">
        <f t="shared" si="0"/>
        <v>223.61111111111111</v>
      </c>
      <c r="I12">
        <f>VLOOKUP('Files compared backup'!$A12,'Files top1'!$A$2:$F$999,5,FALSE)</f>
        <v>1.3033699999999999</v>
      </c>
      <c r="J12">
        <f t="shared" si="1"/>
        <v>5.8287354037267073E-3</v>
      </c>
      <c r="K12">
        <f t="shared" si="2"/>
        <v>2.9143677018633535E-2</v>
      </c>
      <c r="L12">
        <f t="shared" si="3"/>
        <v>0.11657470807453414</v>
      </c>
      <c r="M12">
        <f>VLOOKUP('Files compared backup'!$A12,'Files top1'!$A$2:$F$999,2,FALSE)</f>
        <v>0.54</v>
      </c>
      <c r="N12">
        <f>VLOOKUP('Files compared backup'!$A12,'Files top1'!$A$2:$F$999,4,FALSE)</f>
        <v>0.51500000000000001</v>
      </c>
      <c r="O12">
        <f>VLOOKUP('Files compared backup'!$A12,'Files top1'!$A$2:$F$999,3,FALSE)</f>
        <v>1</v>
      </c>
    </row>
    <row r="13" spans="1:15" ht="13.2" customHeight="1" x14ac:dyDescent="0.3">
      <c r="A13" s="4" t="s">
        <v>965</v>
      </c>
      <c r="B13" s="4">
        <v>100</v>
      </c>
      <c r="C13" s="4">
        <v>5</v>
      </c>
      <c r="D13" s="4">
        <v>100</v>
      </c>
      <c r="E13" s="4">
        <v>64400</v>
      </c>
      <c r="H13">
        <f t="shared" si="0"/>
        <v>223.61111111111111</v>
      </c>
      <c r="I13">
        <f>VLOOKUP('Files compared backup'!$A13,'Files top1'!$A$2:$F$999,5,FALSE)</f>
        <v>46.893999999999998</v>
      </c>
      <c r="J13">
        <f t="shared" si="1"/>
        <v>0.20971229813664596</v>
      </c>
      <c r="K13">
        <f t="shared" si="2"/>
        <v>1.0485614906832299</v>
      </c>
      <c r="L13">
        <f t="shared" si="3"/>
        <v>4.1942459627329196</v>
      </c>
      <c r="M13">
        <f>VLOOKUP('Files compared backup'!$A13,'Files top1'!$A$2:$F$999,2,FALSE)</f>
        <v>0.54</v>
      </c>
      <c r="N13">
        <f>VLOOKUP('Files compared backup'!$A13,'Files top1'!$A$2:$F$999,4,FALSE)</f>
        <v>0.51</v>
      </c>
      <c r="O13">
        <f>VLOOKUP('Files compared backup'!$A13,'Files top1'!$A$2:$F$999,3,FALSE)</f>
        <v>1</v>
      </c>
    </row>
    <row r="14" spans="1:15" ht="13.2" customHeight="1" x14ac:dyDescent="0.3">
      <c r="A14" s="4" t="s">
        <v>962</v>
      </c>
      <c r="B14" s="4">
        <v>100</v>
      </c>
      <c r="C14" s="4">
        <v>5</v>
      </c>
      <c r="D14" s="4">
        <v>100</v>
      </c>
      <c r="E14" s="4">
        <v>64400</v>
      </c>
      <c r="H14">
        <f t="shared" si="0"/>
        <v>223.61111111111111</v>
      </c>
      <c r="I14">
        <f>VLOOKUP('Files compared backup'!$A14,'Files top1'!$A$2:$F$999,5,FALSE)</f>
        <v>37.881999999999998</v>
      </c>
      <c r="J14">
        <f t="shared" si="1"/>
        <v>0.16941018633540372</v>
      </c>
      <c r="K14">
        <f t="shared" si="2"/>
        <v>0.84705093167701861</v>
      </c>
      <c r="L14">
        <f t="shared" si="3"/>
        <v>3.3882037267080745</v>
      </c>
      <c r="M14">
        <f>VLOOKUP('Files compared backup'!$A14,'Files top1'!$A$2:$F$999,2,FALSE)</f>
        <v>0.54</v>
      </c>
      <c r="N14">
        <f>VLOOKUP('Files compared backup'!$A14,'Files top1'!$A$2:$F$999,4,FALSE)</f>
        <v>0.51500000000000001</v>
      </c>
      <c r="O14">
        <f>VLOOKUP('Files compared backup'!$A14,'Files top1'!$A$2:$F$999,3,FALSE)</f>
        <v>1</v>
      </c>
    </row>
    <row r="15" spans="1:15" ht="13.2" customHeight="1" x14ac:dyDescent="0.3">
      <c r="A15" s="4" t="s">
        <v>963</v>
      </c>
      <c r="B15" s="4">
        <v>100</v>
      </c>
      <c r="C15" s="4">
        <v>5</v>
      </c>
      <c r="D15" s="4">
        <v>100</v>
      </c>
      <c r="E15" s="4">
        <v>64400</v>
      </c>
      <c r="H15">
        <f t="shared" si="0"/>
        <v>223.61111111111111</v>
      </c>
      <c r="I15">
        <f>VLOOKUP('Files compared backup'!$A15,'Files top1'!$A$2:$F$999,5,FALSE)</f>
        <v>98.61</v>
      </c>
      <c r="J15">
        <f t="shared" si="1"/>
        <v>0.44098881987577637</v>
      </c>
      <c r="K15">
        <f t="shared" si="2"/>
        <v>2.2049440993788818</v>
      </c>
      <c r="L15">
        <f t="shared" si="3"/>
        <v>8.8197763975155272</v>
      </c>
      <c r="M15">
        <f>VLOOKUP('Files compared backup'!$A15,'Files top1'!$A$2:$F$999,2,FALSE)</f>
        <v>0.54</v>
      </c>
      <c r="N15">
        <f>VLOOKUP('Files compared backup'!$A15,'Files top1'!$A$2:$F$999,4,FALSE)</f>
        <v>0.51</v>
      </c>
      <c r="O15">
        <f>VLOOKUP('Files compared backup'!$A15,'Files top1'!$A$2:$F$999,3,FALSE)</f>
        <v>2</v>
      </c>
    </row>
    <row r="16" spans="1:15" ht="13.2" customHeight="1" x14ac:dyDescent="0.3">
      <c r="A16" s="4" t="s">
        <v>966</v>
      </c>
      <c r="B16" s="4">
        <v>100</v>
      </c>
      <c r="C16" s="4">
        <v>5</v>
      </c>
      <c r="D16" s="4">
        <v>100</v>
      </c>
      <c r="E16" s="4">
        <v>64400</v>
      </c>
      <c r="H16">
        <f t="shared" si="0"/>
        <v>223.61111111111111</v>
      </c>
      <c r="I16">
        <f>VLOOKUP('Files compared backup'!$A16,'Files top1'!$A$2:$F$999,5,FALSE)</f>
        <v>0.44835999999999998</v>
      </c>
      <c r="J16">
        <f t="shared" si="1"/>
        <v>2.0050881987577641E-3</v>
      </c>
      <c r="K16">
        <f t="shared" si="2"/>
        <v>1.002544099378882E-2</v>
      </c>
      <c r="L16">
        <f t="shared" si="3"/>
        <v>4.0101763975155282E-2</v>
      </c>
      <c r="M16">
        <f>VLOOKUP('Files compared backup'!$A16,'Files top1'!$A$2:$F$999,2,FALSE)</f>
        <v>0.54</v>
      </c>
      <c r="N16">
        <f>VLOOKUP('Files compared backup'!$A16,'Files top1'!$A$2:$F$999,4,FALSE)</f>
        <v>0.51500000000000001</v>
      </c>
      <c r="O16">
        <f>VLOOKUP('Files compared backup'!$A16,'Files top1'!$A$2:$F$999,3,FALSE)</f>
        <v>1</v>
      </c>
    </row>
    <row r="17" spans="1:15" ht="13.2" customHeight="1" x14ac:dyDescent="0.3">
      <c r="A17" s="4" t="s">
        <v>971</v>
      </c>
      <c r="B17" s="4">
        <v>50</v>
      </c>
      <c r="C17" s="4">
        <v>5</v>
      </c>
      <c r="D17" s="4">
        <v>100</v>
      </c>
      <c r="E17" s="4">
        <v>49901</v>
      </c>
      <c r="H17">
        <f t="shared" si="0"/>
        <v>173.26736111111111</v>
      </c>
      <c r="I17">
        <f>VLOOKUP('Files compared backup'!$A17,'Files top1'!$A$2:$F$999,5,FALSE)</f>
        <v>0.47276000000000001</v>
      </c>
      <c r="J17">
        <f t="shared" si="1"/>
        <v>2.7285000300595178E-3</v>
      </c>
      <c r="K17">
        <f t="shared" si="2"/>
        <v>1.3642500150297589E-2</v>
      </c>
      <c r="L17">
        <f t="shared" si="3"/>
        <v>5.4570000601190355E-2</v>
      </c>
      <c r="M17">
        <f>VLOOKUP('Files compared backup'!$A17,'Files top1'!$A$2:$F$999,2,FALSE)</f>
        <v>0.54</v>
      </c>
      <c r="N17">
        <f>VLOOKUP('Files compared backup'!$A17,'Files top1'!$A$2:$F$999,4,FALSE)</f>
        <v>0.51500000000000001</v>
      </c>
      <c r="O17">
        <f>VLOOKUP('Files compared backup'!$A17,'Files top1'!$A$2:$F$999,3,FALSE)</f>
        <v>1</v>
      </c>
    </row>
    <row r="18" spans="1:15" ht="13.2" customHeight="1" x14ac:dyDescent="0.3">
      <c r="A18" s="4" t="s">
        <v>972</v>
      </c>
      <c r="B18" s="4">
        <v>100</v>
      </c>
      <c r="C18" s="4">
        <v>5</v>
      </c>
      <c r="D18" s="4">
        <v>100</v>
      </c>
      <c r="E18" s="4">
        <v>49901</v>
      </c>
      <c r="H18">
        <f t="shared" si="0"/>
        <v>173.26736111111111</v>
      </c>
      <c r="I18">
        <f>VLOOKUP('Files compared backup'!$A18,'Files top1'!$A$2:$F$999,5,FALSE)</f>
        <v>0.45755000000000001</v>
      </c>
      <c r="J18">
        <f t="shared" si="1"/>
        <v>2.640716618905433E-3</v>
      </c>
      <c r="K18">
        <f t="shared" si="2"/>
        <v>1.3203583094527165E-2</v>
      </c>
      <c r="L18">
        <f t="shared" si="3"/>
        <v>5.2814332378108661E-2</v>
      </c>
      <c r="M18">
        <f>VLOOKUP('Files compared backup'!$A18,'Files top1'!$A$2:$F$999,2,FALSE)</f>
        <v>0.54</v>
      </c>
      <c r="N18">
        <f>VLOOKUP('Files compared backup'!$A18,'Files top1'!$A$2:$F$999,4,FALSE)</f>
        <v>0.51500000000000001</v>
      </c>
      <c r="O18">
        <f>VLOOKUP('Files compared backup'!$A18,'Files top1'!$A$2:$F$999,3,FALSE)</f>
        <v>1</v>
      </c>
    </row>
    <row r="19" spans="1:15" ht="13.2" customHeight="1" x14ac:dyDescent="0.3">
      <c r="A19" s="4" t="s">
        <v>974</v>
      </c>
      <c r="B19" s="4">
        <v>100</v>
      </c>
      <c r="C19" s="4">
        <v>1</v>
      </c>
      <c r="D19" s="4">
        <v>100</v>
      </c>
      <c r="E19" s="4">
        <v>63900</v>
      </c>
      <c r="H19">
        <f t="shared" si="0"/>
        <v>44.375</v>
      </c>
      <c r="I19">
        <f>VLOOKUP('Files compared backup'!$A19,'Files top1'!$A$2:$F$999,5,FALSE)</f>
        <v>15.725</v>
      </c>
      <c r="J19">
        <f t="shared" si="1"/>
        <v>0.35436619718309859</v>
      </c>
      <c r="K19">
        <f t="shared" si="2"/>
        <v>1.7718309859154928</v>
      </c>
      <c r="L19">
        <f t="shared" si="3"/>
        <v>7.0873239436619713</v>
      </c>
      <c r="M19">
        <f>VLOOKUP('Files compared backup'!$A19,'Files top1'!$A$2:$F$999,2,FALSE)</f>
        <v>0.54</v>
      </c>
      <c r="N19">
        <f>VLOOKUP('Files compared backup'!$A19,'Files top1'!$A$2:$F$999,4,FALSE)</f>
        <v>0.5</v>
      </c>
      <c r="O19">
        <f>VLOOKUP('Files compared backup'!$A19,'Files top1'!$A$2:$F$999,3,FALSE)</f>
        <v>1</v>
      </c>
    </row>
    <row r="20" spans="1:15" ht="13.2" customHeight="1" x14ac:dyDescent="0.3">
      <c r="A20" s="4" t="s">
        <v>970</v>
      </c>
      <c r="B20" s="4">
        <v>100</v>
      </c>
      <c r="C20" s="4">
        <v>5</v>
      </c>
      <c r="D20" s="4">
        <v>100</v>
      </c>
      <c r="E20" s="4">
        <v>64400</v>
      </c>
      <c r="H20">
        <f t="shared" si="0"/>
        <v>223.61111111111111</v>
      </c>
      <c r="I20">
        <f>VLOOKUP('Files compared backup'!$A20,'Files top1'!$A$2:$F$999,5,FALSE)</f>
        <v>18.009</v>
      </c>
      <c r="J20">
        <f t="shared" si="1"/>
        <v>8.0537142857142863E-2</v>
      </c>
      <c r="K20">
        <f t="shared" si="2"/>
        <v>0.40268571428571431</v>
      </c>
      <c r="L20">
        <f t="shared" si="3"/>
        <v>1.6107428571428573</v>
      </c>
      <c r="M20">
        <f>VLOOKUP('Files compared backup'!$A20,'Files top1'!$A$2:$F$999,2,FALSE)</f>
        <v>0.56000000000000005</v>
      </c>
      <c r="N20">
        <f>VLOOKUP('Files compared backup'!$A20,'Files top1'!$A$2:$F$999,4,FALSE)</f>
        <v>0.505</v>
      </c>
      <c r="O20">
        <f>VLOOKUP('Files compared backup'!$A20,'Files top1'!$A$2:$F$999,3,FALSE)</f>
        <v>1</v>
      </c>
    </row>
    <row r="21" spans="1:15" ht="13.2" customHeight="1" x14ac:dyDescent="0.3">
      <c r="A21" s="4" t="s">
        <v>978</v>
      </c>
      <c r="B21" s="4">
        <v>100</v>
      </c>
      <c r="C21" s="4">
        <v>1</v>
      </c>
      <c r="D21" s="4">
        <v>100</v>
      </c>
      <c r="E21" s="4">
        <v>63900</v>
      </c>
      <c r="H21">
        <f t="shared" si="0"/>
        <v>44.375</v>
      </c>
      <c r="I21">
        <f>VLOOKUP('Files compared backup'!$A21,'Files top1'!$A$2:$F$999,5,FALSE)</f>
        <v>0.34188000000000002</v>
      </c>
      <c r="J21">
        <f t="shared" si="1"/>
        <v>7.7043380281690147E-3</v>
      </c>
      <c r="K21">
        <f t="shared" si="2"/>
        <v>3.8521690140845076E-2</v>
      </c>
      <c r="L21">
        <f t="shared" si="3"/>
        <v>0.1540867605633803</v>
      </c>
      <c r="M21">
        <f>VLOOKUP('Files compared backup'!$A21,'Files top1'!$A$2:$F$999,2,FALSE)</f>
        <v>0.54</v>
      </c>
      <c r="N21">
        <f>VLOOKUP('Files compared backup'!$A21,'Files top1'!$A$2:$F$999,4,FALSE)</f>
        <v>0.505</v>
      </c>
      <c r="O21">
        <f>VLOOKUP('Files compared backup'!$A21,'Files top1'!$A$2:$F$999,3,FALSE)</f>
        <v>1</v>
      </c>
    </row>
    <row r="22" spans="1:15" ht="13.2" customHeight="1" x14ac:dyDescent="0.3">
      <c r="A22" s="4" t="s">
        <v>975</v>
      </c>
      <c r="B22" s="4">
        <v>100</v>
      </c>
      <c r="C22" s="4">
        <v>1</v>
      </c>
      <c r="D22" s="4">
        <v>100</v>
      </c>
      <c r="E22" s="4">
        <v>63900</v>
      </c>
      <c r="H22">
        <f t="shared" si="0"/>
        <v>44.375</v>
      </c>
      <c r="I22">
        <f>VLOOKUP('Files compared backup'!$A22,'Files top1'!$A$2:$F$999,5,FALSE)</f>
        <v>9.8309999999999995E-2</v>
      </c>
      <c r="J22">
        <f t="shared" si="1"/>
        <v>2.2154366197183095E-3</v>
      </c>
      <c r="K22">
        <f t="shared" si="2"/>
        <v>1.1077183098591547E-2</v>
      </c>
      <c r="L22">
        <f t="shared" si="3"/>
        <v>4.4308732394366189E-2</v>
      </c>
      <c r="M22">
        <f>VLOOKUP('Files compared backup'!$A22,'Files top1'!$A$2:$F$999,2,FALSE)</f>
        <v>0.55000000000000004</v>
      </c>
      <c r="N22">
        <f>VLOOKUP('Files compared backup'!$A22,'Files top1'!$A$2:$F$999,4,FALSE)</f>
        <v>0.51</v>
      </c>
      <c r="O22">
        <f>VLOOKUP('Files compared backup'!$A22,'Files top1'!$A$2:$F$999,3,FALSE)</f>
        <v>1</v>
      </c>
    </row>
    <row r="23" spans="1:15" ht="13.2" customHeight="1" x14ac:dyDescent="0.3">
      <c r="A23" s="4" t="s">
        <v>981</v>
      </c>
      <c r="B23" s="4">
        <v>100</v>
      </c>
      <c r="C23" s="4">
        <v>1</v>
      </c>
      <c r="D23" s="4">
        <v>100</v>
      </c>
      <c r="E23" s="4">
        <v>63900</v>
      </c>
      <c r="H23">
        <f t="shared" si="0"/>
        <v>44.375</v>
      </c>
      <c r="I23">
        <f>VLOOKUP('Files compared backup'!$A23,'Files top1'!$A$2:$F$999,5,FALSE)</f>
        <v>16.030999999999999</v>
      </c>
      <c r="J23">
        <f t="shared" si="1"/>
        <v>0.36126197183098591</v>
      </c>
      <c r="K23">
        <f t="shared" si="2"/>
        <v>1.8063098591549296</v>
      </c>
      <c r="L23">
        <f t="shared" si="3"/>
        <v>7.2252394366197183</v>
      </c>
      <c r="M23">
        <f>VLOOKUP('Files compared backup'!$A23,'Files top1'!$A$2:$F$999,2,FALSE)</f>
        <v>0.54</v>
      </c>
      <c r="N23">
        <f>VLOOKUP('Files compared backup'!$A23,'Files top1'!$A$2:$F$999,4,FALSE)</f>
        <v>0.51</v>
      </c>
      <c r="O23">
        <f>VLOOKUP('Files compared backup'!$A23,'Files top1'!$A$2:$F$999,3,FALSE)</f>
        <v>1</v>
      </c>
    </row>
    <row r="24" spans="1:15" ht="13.2" customHeight="1" x14ac:dyDescent="0.3">
      <c r="A24" s="4" t="s">
        <v>968</v>
      </c>
      <c r="B24" s="4">
        <v>100</v>
      </c>
      <c r="C24" s="4">
        <v>5</v>
      </c>
      <c r="D24" s="4">
        <v>100</v>
      </c>
      <c r="E24" s="4">
        <v>64400</v>
      </c>
      <c r="H24">
        <f t="shared" si="0"/>
        <v>223.61111111111111</v>
      </c>
      <c r="I24">
        <f>VLOOKUP('Files compared backup'!$A24,'Files top1'!$A$2:$F$999,5,FALSE)</f>
        <v>1.2853600000000001</v>
      </c>
      <c r="J24">
        <f t="shared" si="1"/>
        <v>5.7481937888198761E-3</v>
      </c>
      <c r="K24">
        <f t="shared" si="2"/>
        <v>2.8740968944099381E-2</v>
      </c>
      <c r="L24">
        <f t="shared" si="3"/>
        <v>0.11496387577639752</v>
      </c>
      <c r="M24">
        <f>VLOOKUP('Files compared backup'!$A24,'Files top1'!$A$2:$F$999,2,FALSE)</f>
        <v>0.54</v>
      </c>
      <c r="N24">
        <f>VLOOKUP('Files compared backup'!$A24,'Files top1'!$A$2:$F$999,4,FALSE)</f>
        <v>0.51500000000000001</v>
      </c>
      <c r="O24">
        <f>VLOOKUP('Files compared backup'!$A24,'Files top1'!$A$2:$F$999,3,FALSE)</f>
        <v>1</v>
      </c>
    </row>
    <row r="25" spans="1:15" ht="13.2" customHeight="1" x14ac:dyDescent="0.3">
      <c r="A25" s="4" t="s">
        <v>969</v>
      </c>
      <c r="B25" s="4">
        <v>100</v>
      </c>
      <c r="C25" s="4">
        <v>5</v>
      </c>
      <c r="D25" s="4">
        <v>100</v>
      </c>
      <c r="E25" s="4">
        <v>64400</v>
      </c>
      <c r="H25">
        <f t="shared" si="0"/>
        <v>223.61111111111111</v>
      </c>
      <c r="I25">
        <f>VLOOKUP('Files compared backup'!$A25,'Files top1'!$A$2:$F$999,5,FALSE)</f>
        <v>1.05253</v>
      </c>
      <c r="J25">
        <f t="shared" si="1"/>
        <v>4.7069664596273292E-3</v>
      </c>
      <c r="K25">
        <f t="shared" si="2"/>
        <v>2.3534832298136646E-2</v>
      </c>
      <c r="L25">
        <f t="shared" si="3"/>
        <v>9.4139329192546584E-2</v>
      </c>
      <c r="M25">
        <f>VLOOKUP('Files compared backup'!$A25,'Files top1'!$A$2:$F$999,2,FALSE)</f>
        <v>0.54</v>
      </c>
      <c r="N25">
        <f>VLOOKUP('Files compared backup'!$A25,'Files top1'!$A$2:$F$999,4,FALSE)</f>
        <v>0.51500000000000001</v>
      </c>
      <c r="O25">
        <f>VLOOKUP('Files compared backup'!$A25,'Files top1'!$A$2:$F$999,3,FALSE)</f>
        <v>2</v>
      </c>
    </row>
    <row r="26" spans="1:15" ht="13.2" customHeight="1" x14ac:dyDescent="0.3">
      <c r="A26" s="4" t="s">
        <v>890</v>
      </c>
      <c r="B26" s="4">
        <v>9</v>
      </c>
      <c r="C26" s="4">
        <v>240</v>
      </c>
      <c r="D26" s="4">
        <v>10</v>
      </c>
      <c r="E26" s="4">
        <v>17641</v>
      </c>
      <c r="H26">
        <f t="shared" si="0"/>
        <v>2940.1666666666665</v>
      </c>
      <c r="I26">
        <f>VLOOKUP('Files compared backup'!$A26,'Files top1'!$A$2:$F$999,5,FALSE)</f>
        <v>1.5581199999999999</v>
      </c>
      <c r="J26">
        <f t="shared" si="1"/>
        <v>5.299427470098067E-4</v>
      </c>
      <c r="K26">
        <f t="shared" si="2"/>
        <v>2.6497137350490335E-3</v>
      </c>
      <c r="L26">
        <f t="shared" si="3"/>
        <v>1.0598854940196134E-2</v>
      </c>
      <c r="M26">
        <f>VLOOKUP('Files compared backup'!$A26,'Files top1'!$A$2:$F$999,2,FALSE)</f>
        <v>0.54</v>
      </c>
      <c r="N26">
        <f>VLOOKUP('Files compared backup'!$A26,'Files top1'!$A$2:$F$999,4,FALSE)</f>
        <v>0.505</v>
      </c>
      <c r="O26">
        <f>VLOOKUP('Files compared backup'!$A26,'Files top1'!$A$2:$F$999,3,FALSE)</f>
        <v>1</v>
      </c>
    </row>
    <row r="27" spans="1:15" ht="13.2" customHeight="1" x14ac:dyDescent="0.3">
      <c r="A27" s="4" t="s">
        <v>891</v>
      </c>
      <c r="B27" s="4">
        <v>9</v>
      </c>
      <c r="C27" s="4">
        <v>240</v>
      </c>
      <c r="D27" s="4">
        <v>25</v>
      </c>
      <c r="E27" s="4">
        <v>17641</v>
      </c>
      <c r="H27">
        <f t="shared" si="0"/>
        <v>2940.1666666666665</v>
      </c>
      <c r="I27">
        <f>VLOOKUP('Files compared backup'!$A27,'Files top1'!$A$2:$F$999,5,FALSE)</f>
        <v>1.07159</v>
      </c>
      <c r="J27">
        <f t="shared" si="1"/>
        <v>3.6446573323507743E-4</v>
      </c>
      <c r="K27">
        <f t="shared" si="2"/>
        <v>1.8223286661753872E-3</v>
      </c>
      <c r="L27">
        <f t="shared" si="3"/>
        <v>7.2893146647015489E-3</v>
      </c>
      <c r="M27">
        <f>VLOOKUP('Files compared backup'!$A27,'Files top1'!$A$2:$F$999,2,FALSE)</f>
        <v>0.54</v>
      </c>
      <c r="N27">
        <f>VLOOKUP('Files compared backup'!$A27,'Files top1'!$A$2:$F$999,4,FALSE)</f>
        <v>0.505</v>
      </c>
      <c r="O27">
        <f>VLOOKUP('Files compared backup'!$A27,'Files top1'!$A$2:$F$999,3,FALSE)</f>
        <v>1</v>
      </c>
    </row>
    <row r="28" spans="1:15" ht="13.2" customHeight="1" x14ac:dyDescent="0.3">
      <c r="A28" s="4" t="s">
        <v>892</v>
      </c>
      <c r="B28" s="4">
        <v>9</v>
      </c>
      <c r="C28" s="4">
        <v>240</v>
      </c>
      <c r="D28" s="4">
        <v>50</v>
      </c>
      <c r="E28" s="4">
        <v>17641</v>
      </c>
      <c r="H28">
        <f t="shared" si="0"/>
        <v>2940.1666666666665</v>
      </c>
      <c r="I28">
        <f>VLOOKUP('Files compared backup'!$A28,'Files top1'!$A$2:$F$999,5,FALSE)</f>
        <v>1.24359</v>
      </c>
      <c r="J28">
        <f t="shared" si="1"/>
        <v>4.2296581826427077E-4</v>
      </c>
      <c r="K28">
        <f t="shared" si="2"/>
        <v>2.1148290913213536E-3</v>
      </c>
      <c r="L28">
        <f t="shared" si="3"/>
        <v>8.4593163652854145E-3</v>
      </c>
      <c r="M28">
        <f>VLOOKUP('Files compared backup'!$A28,'Files top1'!$A$2:$F$999,2,FALSE)</f>
        <v>0.54</v>
      </c>
      <c r="N28">
        <f>VLOOKUP('Files compared backup'!$A28,'Files top1'!$A$2:$F$999,4,FALSE)</f>
        <v>0.5</v>
      </c>
      <c r="O28">
        <f>VLOOKUP('Files compared backup'!$A28,'Files top1'!$A$2:$F$999,3,FALSE)</f>
        <v>1</v>
      </c>
    </row>
    <row r="29" spans="1:15" ht="13.2" customHeight="1" x14ac:dyDescent="0.3">
      <c r="A29" s="4" t="s">
        <v>893</v>
      </c>
      <c r="B29" s="4">
        <v>9</v>
      </c>
      <c r="C29" s="4">
        <v>240</v>
      </c>
      <c r="D29" s="4">
        <v>100</v>
      </c>
      <c r="E29" s="4">
        <v>17641</v>
      </c>
      <c r="H29">
        <f t="shared" si="0"/>
        <v>2940.1666666666665</v>
      </c>
      <c r="I29">
        <f>VLOOKUP('Files compared backup'!$A29,'Files top1'!$A$2:$F$999,5,FALSE)</f>
        <v>1.07589</v>
      </c>
      <c r="J29">
        <f t="shared" si="1"/>
        <v>3.6592823536080724E-4</v>
      </c>
      <c r="K29">
        <f t="shared" si="2"/>
        <v>1.8296411768040362E-3</v>
      </c>
      <c r="L29">
        <f t="shared" si="3"/>
        <v>7.3185647072161446E-3</v>
      </c>
      <c r="M29">
        <f>VLOOKUP('Files compared backup'!$A29,'Files top1'!$A$2:$F$999,2,FALSE)</f>
        <v>0.54</v>
      </c>
      <c r="N29">
        <f>VLOOKUP('Files compared backup'!$A29,'Files top1'!$A$2:$F$999,4,FALSE)</f>
        <v>0.51</v>
      </c>
      <c r="O29">
        <f>VLOOKUP('Files compared backup'!$A29,'Files top1'!$A$2:$F$999,3,FALSE)</f>
        <v>1</v>
      </c>
    </row>
    <row r="30" spans="1:15" ht="13.2" customHeight="1" x14ac:dyDescent="0.3">
      <c r="A30" s="4" t="s">
        <v>979</v>
      </c>
      <c r="B30" s="4">
        <v>100</v>
      </c>
      <c r="C30" s="4">
        <v>1</v>
      </c>
      <c r="D30" s="4">
        <v>100</v>
      </c>
      <c r="E30" s="4">
        <v>63900</v>
      </c>
      <c r="H30">
        <f t="shared" si="0"/>
        <v>44.375</v>
      </c>
      <c r="I30">
        <f>VLOOKUP('Files compared backup'!$A30,'Files top1'!$A$2:$F$999,5,FALSE)</f>
        <v>19.620999999999999</v>
      </c>
      <c r="J30">
        <f t="shared" si="1"/>
        <v>0.44216338028169011</v>
      </c>
      <c r="K30">
        <f t="shared" si="2"/>
        <v>2.2108169014084504</v>
      </c>
      <c r="L30">
        <f t="shared" si="3"/>
        <v>8.8432676056338018</v>
      </c>
      <c r="M30">
        <f>VLOOKUP('Files compared backup'!$A30,'Files top1'!$A$2:$F$999,2,FALSE)</f>
        <v>0.54</v>
      </c>
      <c r="N30">
        <f>VLOOKUP('Files compared backup'!$A30,'Files top1'!$A$2:$F$999,4,FALSE)</f>
        <v>0.505</v>
      </c>
      <c r="O30">
        <f>VLOOKUP('Files compared backup'!$A30,'Files top1'!$A$2:$F$999,3,FALSE)</f>
        <v>1</v>
      </c>
    </row>
    <row r="31" spans="1:15" ht="13.2" customHeight="1" x14ac:dyDescent="0.3">
      <c r="A31" s="4" t="s">
        <v>894</v>
      </c>
      <c r="B31" s="4">
        <v>9</v>
      </c>
      <c r="C31" s="4">
        <v>240</v>
      </c>
      <c r="D31" s="4">
        <v>10</v>
      </c>
      <c r="E31" s="4">
        <v>17641</v>
      </c>
      <c r="H31">
        <f t="shared" si="0"/>
        <v>2940.1666666666665</v>
      </c>
      <c r="I31">
        <f>VLOOKUP('Files compared backup'!$A31,'Files top1'!$A$2:$F$999,5,FALSE)</f>
        <v>1.3614999999999999</v>
      </c>
      <c r="J31">
        <f t="shared" si="1"/>
        <v>4.6306898701887648E-4</v>
      </c>
      <c r="K31">
        <f t="shared" si="2"/>
        <v>2.3153449350943826E-3</v>
      </c>
      <c r="L31">
        <f t="shared" si="3"/>
        <v>9.2613797403775303E-3</v>
      </c>
      <c r="M31">
        <f>VLOOKUP('Files compared backup'!$A31,'Files top1'!$A$2:$F$999,2,FALSE)</f>
        <v>0.54</v>
      </c>
      <c r="N31">
        <f>VLOOKUP('Files compared backup'!$A31,'Files top1'!$A$2:$F$999,4,FALSE)</f>
        <v>0.51</v>
      </c>
      <c r="O31">
        <f>VLOOKUP('Files compared backup'!$A31,'Files top1'!$A$2:$F$999,3,FALSE)</f>
        <v>1</v>
      </c>
    </row>
    <row r="32" spans="1:15" ht="13.2" customHeight="1" x14ac:dyDescent="0.3">
      <c r="A32" s="4" t="s">
        <v>895</v>
      </c>
      <c r="B32" s="4">
        <v>9</v>
      </c>
      <c r="C32" s="4">
        <v>240</v>
      </c>
      <c r="D32" s="4">
        <v>25</v>
      </c>
      <c r="E32" s="4">
        <v>17641</v>
      </c>
      <c r="H32">
        <f t="shared" si="0"/>
        <v>2940.1666666666665</v>
      </c>
      <c r="I32">
        <f>VLOOKUP('Files compared backup'!$A32,'Files top1'!$A$2:$F$999,5,FALSE)</f>
        <v>1.08412</v>
      </c>
      <c r="J32">
        <f t="shared" si="1"/>
        <v>3.6872739640609941E-4</v>
      </c>
      <c r="K32">
        <f t="shared" si="2"/>
        <v>1.8436369820304971E-3</v>
      </c>
      <c r="L32">
        <f t="shared" si="3"/>
        <v>7.3745479281219885E-3</v>
      </c>
      <c r="M32">
        <f>VLOOKUP('Files compared backup'!$A32,'Files top1'!$A$2:$F$999,2,FALSE)</f>
        <v>0.54</v>
      </c>
      <c r="N32">
        <f>VLOOKUP('Files compared backup'!$A32,'Files top1'!$A$2:$F$999,4,FALSE)</f>
        <v>0.51</v>
      </c>
      <c r="O32">
        <f>VLOOKUP('Files compared backup'!$A32,'Files top1'!$A$2:$F$999,3,FALSE)</f>
        <v>1</v>
      </c>
    </row>
    <row r="33" spans="1:15" ht="13.2" customHeight="1" x14ac:dyDescent="0.3">
      <c r="A33" s="4" t="s">
        <v>896</v>
      </c>
      <c r="B33" s="4">
        <v>9</v>
      </c>
      <c r="C33" s="4">
        <v>240</v>
      </c>
      <c r="D33" s="4">
        <v>50</v>
      </c>
      <c r="E33" s="4">
        <v>17641</v>
      </c>
      <c r="H33">
        <f t="shared" si="0"/>
        <v>2940.1666666666665</v>
      </c>
      <c r="I33">
        <f>VLOOKUP('Files compared backup'!$A33,'Files top1'!$A$2:$F$999,5,FALSE)</f>
        <v>1.1666099999999999</v>
      </c>
      <c r="J33">
        <f t="shared" si="1"/>
        <v>3.9678362904597243E-4</v>
      </c>
      <c r="K33">
        <f t="shared" si="2"/>
        <v>1.9839181452298623E-3</v>
      </c>
      <c r="L33">
        <f t="shared" si="3"/>
        <v>7.9356725809194492E-3</v>
      </c>
      <c r="M33">
        <f>VLOOKUP('Files compared backup'!$A33,'Files top1'!$A$2:$F$999,2,FALSE)</f>
        <v>0.55000000000000004</v>
      </c>
      <c r="N33">
        <f>VLOOKUP('Files compared backup'!$A33,'Files top1'!$A$2:$F$999,4,FALSE)</f>
        <v>0.5</v>
      </c>
      <c r="O33">
        <f>VLOOKUP('Files compared backup'!$A33,'Files top1'!$A$2:$F$999,3,FALSE)</f>
        <v>2</v>
      </c>
    </row>
    <row r="34" spans="1:15" ht="13.2" customHeight="1" x14ac:dyDescent="0.3">
      <c r="A34" s="4" t="s">
        <v>897</v>
      </c>
      <c r="B34" s="4">
        <v>9</v>
      </c>
      <c r="C34" s="4">
        <v>240</v>
      </c>
      <c r="D34" s="4">
        <v>100</v>
      </c>
      <c r="E34" s="4">
        <v>17641</v>
      </c>
      <c r="H34">
        <f t="shared" si="0"/>
        <v>2940.1666666666665</v>
      </c>
      <c r="I34">
        <f>VLOOKUP('Files compared backup'!$A34,'Files top1'!$A$2:$F$999,5,FALSE)</f>
        <v>1.2007399999999999</v>
      </c>
      <c r="J34">
        <f t="shared" si="1"/>
        <v>4.083918145229862E-4</v>
      </c>
      <c r="K34">
        <f t="shared" si="2"/>
        <v>2.0419590726149309E-3</v>
      </c>
      <c r="L34">
        <f t="shared" si="3"/>
        <v>8.1678362904597235E-3</v>
      </c>
      <c r="M34">
        <f>VLOOKUP('Files compared backup'!$A34,'Files top1'!$A$2:$F$999,2,FALSE)</f>
        <v>0.54</v>
      </c>
      <c r="N34">
        <f>VLOOKUP('Files compared backup'!$A34,'Files top1'!$A$2:$F$999,4,FALSE)</f>
        <v>0.5</v>
      </c>
      <c r="O34">
        <f>VLOOKUP('Files compared backup'!$A34,'Files top1'!$A$2:$F$999,3,FALSE)</f>
        <v>1</v>
      </c>
    </row>
    <row r="35" spans="1:15" ht="13.2" customHeight="1" x14ac:dyDescent="0.3">
      <c r="A35" s="4" t="s">
        <v>967</v>
      </c>
      <c r="B35" s="4">
        <v>100</v>
      </c>
      <c r="C35" s="4">
        <v>5</v>
      </c>
      <c r="D35" s="4">
        <v>100</v>
      </c>
      <c r="E35" s="4">
        <v>64400</v>
      </c>
      <c r="H35">
        <f t="shared" si="0"/>
        <v>223.61111111111111</v>
      </c>
      <c r="I35">
        <f>VLOOKUP('Files compared backup'!$A35,'Files top1'!$A$2:$F$999,5,FALSE)</f>
        <v>85.832999999999998</v>
      </c>
      <c r="J35">
        <f t="shared" si="1"/>
        <v>0.38384944099378882</v>
      </c>
      <c r="K35">
        <f t="shared" si="2"/>
        <v>1.919247204968944</v>
      </c>
      <c r="L35">
        <f t="shared" si="3"/>
        <v>7.6769888198757759</v>
      </c>
      <c r="M35">
        <f>VLOOKUP('Files compared backup'!$A35,'Files top1'!$A$2:$F$999,2,FALSE)</f>
        <v>0.54</v>
      </c>
      <c r="N35">
        <f>VLOOKUP('Files compared backup'!$A35,'Files top1'!$A$2:$F$999,4,FALSE)</f>
        <v>0.51</v>
      </c>
      <c r="O35">
        <f>VLOOKUP('Files compared backup'!$A35,'Files top1'!$A$2:$F$999,3,FALSE)</f>
        <v>1</v>
      </c>
    </row>
    <row r="36" spans="1:15" ht="13.2" customHeight="1" x14ac:dyDescent="0.3">
      <c r="A36" s="4" t="s">
        <v>898</v>
      </c>
      <c r="B36" s="4">
        <v>9</v>
      </c>
      <c r="C36" s="4">
        <v>240</v>
      </c>
      <c r="D36" s="4">
        <v>10</v>
      </c>
      <c r="E36" s="4">
        <v>17641</v>
      </c>
      <c r="H36">
        <f t="shared" si="0"/>
        <v>2940.1666666666665</v>
      </c>
      <c r="I36">
        <f>VLOOKUP('Files compared backup'!$A36,'Files top1'!$A$2:$F$999,5,FALSE)</f>
        <v>1.0747100000000001</v>
      </c>
      <c r="J36">
        <f t="shared" si="1"/>
        <v>3.6552689756816511E-4</v>
      </c>
      <c r="K36">
        <f t="shared" si="2"/>
        <v>1.8276344878408255E-3</v>
      </c>
      <c r="L36">
        <f t="shared" si="3"/>
        <v>7.3105379513633021E-3</v>
      </c>
      <c r="M36">
        <f>VLOOKUP('Files compared backup'!$A36,'Files top1'!$A$2:$F$999,2,FALSE)</f>
        <v>0.54</v>
      </c>
      <c r="N36">
        <f>VLOOKUP('Files compared backup'!$A36,'Files top1'!$A$2:$F$999,4,FALSE)</f>
        <v>0.51</v>
      </c>
      <c r="O36">
        <f>VLOOKUP('Files compared backup'!$A36,'Files top1'!$A$2:$F$999,3,FALSE)</f>
        <v>1</v>
      </c>
    </row>
    <row r="37" spans="1:15" ht="13.2" customHeight="1" x14ac:dyDescent="0.3">
      <c r="A37" s="4" t="s">
        <v>973</v>
      </c>
      <c r="B37" s="4">
        <v>100</v>
      </c>
      <c r="C37" s="4">
        <v>1</v>
      </c>
      <c r="D37" s="4">
        <v>100</v>
      </c>
      <c r="E37" s="4">
        <v>64901</v>
      </c>
      <c r="H37">
        <f t="shared" si="0"/>
        <v>45.070138888888891</v>
      </c>
      <c r="I37">
        <f>VLOOKUP('Files compared backup'!$A37,'Files top1'!$A$2:$F$999,5,FALSE)</f>
        <v>8.9079999999999995</v>
      </c>
      <c r="J37">
        <f t="shared" si="1"/>
        <v>0.19764749387528696</v>
      </c>
      <c r="K37">
        <f t="shared" si="2"/>
        <v>0.98823746937643486</v>
      </c>
      <c r="L37">
        <f t="shared" si="3"/>
        <v>3.9529498775057395</v>
      </c>
      <c r="M37">
        <f>VLOOKUP('Files compared backup'!$A37,'Files top1'!$A$2:$F$999,2,FALSE)</f>
        <v>0.54</v>
      </c>
      <c r="N37">
        <f>VLOOKUP('Files compared backup'!$A37,'Files top1'!$A$2:$F$999,4,FALSE)</f>
        <v>0.51</v>
      </c>
      <c r="O37">
        <f>VLOOKUP('Files compared backup'!$A37,'Files top1'!$A$2:$F$999,3,FALSE)</f>
        <v>4</v>
      </c>
    </row>
    <row r="38" spans="1:15" ht="13.2" customHeight="1" x14ac:dyDescent="0.3">
      <c r="A38" s="4" t="s">
        <v>899</v>
      </c>
      <c r="B38" s="4">
        <v>9</v>
      </c>
      <c r="C38" s="4">
        <v>240</v>
      </c>
      <c r="D38" s="4">
        <v>25</v>
      </c>
      <c r="E38" s="4">
        <v>17641</v>
      </c>
      <c r="H38">
        <f t="shared" si="0"/>
        <v>2940.1666666666665</v>
      </c>
      <c r="I38">
        <f>VLOOKUP('Files compared backup'!$A38,'Files top1'!$A$2:$F$999,5,FALSE)</f>
        <v>1.06579</v>
      </c>
      <c r="J38">
        <f t="shared" si="1"/>
        <v>3.6249305594920927E-4</v>
      </c>
      <c r="K38">
        <f t="shared" si="2"/>
        <v>1.8124652797460463E-3</v>
      </c>
      <c r="L38">
        <f t="shared" si="3"/>
        <v>7.2498611189841852E-3</v>
      </c>
      <c r="M38">
        <f>VLOOKUP('Files compared backup'!$A38,'Files top1'!$A$2:$F$999,2,FALSE)</f>
        <v>0.54</v>
      </c>
      <c r="N38">
        <f>VLOOKUP('Files compared backup'!$A38,'Files top1'!$A$2:$F$999,4,FALSE)</f>
        <v>0.5</v>
      </c>
      <c r="O38">
        <f>VLOOKUP('Files compared backup'!$A38,'Files top1'!$A$2:$F$999,3,FALSE)</f>
        <v>1</v>
      </c>
    </row>
    <row r="39" spans="1:15" ht="13.2" customHeight="1" x14ac:dyDescent="0.3">
      <c r="A39" s="4" t="s">
        <v>976</v>
      </c>
      <c r="B39" s="4">
        <v>100</v>
      </c>
      <c r="C39" s="4">
        <v>1</v>
      </c>
      <c r="D39" s="4">
        <v>100</v>
      </c>
      <c r="E39" s="4">
        <v>63900</v>
      </c>
      <c r="H39">
        <f t="shared" si="0"/>
        <v>44.375</v>
      </c>
      <c r="I39">
        <f>VLOOKUP('Files compared backup'!$A39,'Files top1'!$A$2:$F$999,5,FALSE)</f>
        <v>22.565000000000001</v>
      </c>
      <c r="J39">
        <f t="shared" si="1"/>
        <v>0.50850704225352117</v>
      </c>
      <c r="K39">
        <f t="shared" si="2"/>
        <v>2.5425352112676061</v>
      </c>
      <c r="L39">
        <f t="shared" si="3"/>
        <v>10.170140845070424</v>
      </c>
      <c r="M39">
        <f>VLOOKUP('Files compared backup'!$A39,'Files top1'!$A$2:$F$999,2,FALSE)</f>
        <v>0.54</v>
      </c>
      <c r="N39">
        <f>VLOOKUP('Files compared backup'!$A39,'Files top1'!$A$2:$F$999,4,FALSE)</f>
        <v>0.51</v>
      </c>
      <c r="O39">
        <f>VLOOKUP('Files compared backup'!$A39,'Files top1'!$A$2:$F$999,3,FALSE)</f>
        <v>1</v>
      </c>
    </row>
    <row r="40" spans="1:15" ht="13.2" customHeight="1" x14ac:dyDescent="0.3">
      <c r="A40" s="4" t="s">
        <v>900</v>
      </c>
      <c r="B40" s="4">
        <v>9</v>
      </c>
      <c r="C40" s="4">
        <v>240</v>
      </c>
      <c r="D40" s="4">
        <v>50</v>
      </c>
      <c r="E40" s="4">
        <v>17641</v>
      </c>
      <c r="H40">
        <f t="shared" si="0"/>
        <v>2940.1666666666665</v>
      </c>
      <c r="I40">
        <f>VLOOKUP('Files compared backup'!$A40,'Files top1'!$A$2:$F$999,5,FALSE)</f>
        <v>0.99538000000000004</v>
      </c>
      <c r="J40">
        <f t="shared" si="1"/>
        <v>3.3854543393231677E-4</v>
      </c>
      <c r="K40">
        <f t="shared" si="2"/>
        <v>1.6927271696615838E-3</v>
      </c>
      <c r="L40">
        <f t="shared" si="3"/>
        <v>6.7709086786463353E-3</v>
      </c>
      <c r="M40">
        <f>VLOOKUP('Files compared backup'!$A40,'Files top1'!$A$2:$F$999,2,FALSE)</f>
        <v>0.54</v>
      </c>
      <c r="N40">
        <f>VLOOKUP('Files compared backup'!$A40,'Files top1'!$A$2:$F$999,4,FALSE)</f>
        <v>0.51</v>
      </c>
      <c r="O40">
        <f>VLOOKUP('Files compared backup'!$A40,'Files top1'!$A$2:$F$999,3,FALSE)</f>
        <v>1</v>
      </c>
    </row>
    <row r="41" spans="1:15" ht="13.2" customHeight="1" x14ac:dyDescent="0.3">
      <c r="A41" s="4" t="s">
        <v>901</v>
      </c>
      <c r="B41" s="4">
        <v>9</v>
      </c>
      <c r="C41" s="4">
        <v>240</v>
      </c>
      <c r="D41" s="4">
        <v>100</v>
      </c>
      <c r="E41" s="4">
        <v>17641</v>
      </c>
      <c r="H41">
        <f t="shared" si="0"/>
        <v>2940.1666666666665</v>
      </c>
      <c r="I41">
        <f>VLOOKUP('Files compared backup'!$A41,'Files top1'!$A$2:$F$999,5,FALSE)</f>
        <v>0.98963999999999996</v>
      </c>
      <c r="J41">
        <f t="shared" si="1"/>
        <v>3.3659316365285417E-4</v>
      </c>
      <c r="K41">
        <f t="shared" si="2"/>
        <v>1.6829658182642708E-3</v>
      </c>
      <c r="L41">
        <f t="shared" si="3"/>
        <v>6.7318632730570833E-3</v>
      </c>
      <c r="M41">
        <f>VLOOKUP('Files compared backup'!$A41,'Files top1'!$A$2:$F$999,2,FALSE)</f>
        <v>0.54</v>
      </c>
      <c r="N41">
        <f>VLOOKUP('Files compared backup'!$A41,'Files top1'!$A$2:$F$999,4,FALSE)</f>
        <v>0.5</v>
      </c>
      <c r="O41">
        <f>VLOOKUP('Files compared backup'!$A41,'Files top1'!$A$2:$F$999,3,FALSE)</f>
        <v>1</v>
      </c>
    </row>
    <row r="42" spans="1:15" ht="13.2" customHeight="1" x14ac:dyDescent="0.3">
      <c r="A42" s="4" t="s">
        <v>902</v>
      </c>
      <c r="B42" s="4">
        <v>9</v>
      </c>
      <c r="C42" s="4">
        <v>240</v>
      </c>
      <c r="D42" s="4">
        <v>10</v>
      </c>
      <c r="E42" s="4">
        <v>17641</v>
      </c>
      <c r="H42">
        <f t="shared" si="0"/>
        <v>2940.1666666666665</v>
      </c>
      <c r="I42">
        <f>VLOOKUP('Files compared backup'!$A42,'Files top1'!$A$2:$F$999,5,FALSE)</f>
        <v>1.3725499999999999</v>
      </c>
      <c r="J42">
        <f t="shared" si="1"/>
        <v>4.6682727736522872E-4</v>
      </c>
      <c r="K42">
        <f t="shared" si="2"/>
        <v>2.3341363868261437E-3</v>
      </c>
      <c r="L42">
        <f t="shared" si="3"/>
        <v>9.3365455473045748E-3</v>
      </c>
      <c r="M42">
        <f>VLOOKUP('Files compared backup'!$A42,'Files top1'!$A$2:$F$999,2,FALSE)</f>
        <v>0.54</v>
      </c>
      <c r="N42">
        <f>VLOOKUP('Files compared backup'!$A42,'Files top1'!$A$2:$F$999,4,FALSE)</f>
        <v>0.5</v>
      </c>
      <c r="O42">
        <f>VLOOKUP('Files compared backup'!$A42,'Files top1'!$A$2:$F$999,3,FALSE)</f>
        <v>1</v>
      </c>
    </row>
    <row r="43" spans="1:15" ht="13.2" customHeight="1" x14ac:dyDescent="0.3">
      <c r="A43" s="4" t="s">
        <v>904</v>
      </c>
      <c r="B43" s="4">
        <v>9</v>
      </c>
      <c r="C43" s="4">
        <v>240</v>
      </c>
      <c r="D43" s="4">
        <v>50</v>
      </c>
      <c r="E43" s="4">
        <v>17641</v>
      </c>
      <c r="H43">
        <f t="shared" si="0"/>
        <v>2940.1666666666665</v>
      </c>
      <c r="I43">
        <f>VLOOKUP('Files compared backup'!$A43,'Files top1'!$A$2:$F$999,5,FALSE)</f>
        <v>1.2343900000000001</v>
      </c>
      <c r="J43">
        <f t="shared" si="1"/>
        <v>4.1983674394875577E-4</v>
      </c>
      <c r="K43">
        <f t="shared" si="2"/>
        <v>2.099183719743779E-3</v>
      </c>
      <c r="L43">
        <f t="shared" si="3"/>
        <v>8.3967348789751161E-3</v>
      </c>
      <c r="M43">
        <f>VLOOKUP('Files compared backup'!$A43,'Files top1'!$A$2:$F$999,2,FALSE)</f>
        <v>0.54</v>
      </c>
      <c r="N43">
        <f>VLOOKUP('Files compared backup'!$A43,'Files top1'!$A$2:$F$999,4,FALSE)</f>
        <v>0.5</v>
      </c>
      <c r="O43">
        <f>VLOOKUP('Files compared backup'!$A43,'Files top1'!$A$2:$F$999,3,FALSE)</f>
        <v>1</v>
      </c>
    </row>
    <row r="44" spans="1:15" ht="13.2" customHeight="1" x14ac:dyDescent="0.3">
      <c r="A44" s="4" t="s">
        <v>906</v>
      </c>
      <c r="B44" s="4">
        <v>9</v>
      </c>
      <c r="C44" s="4">
        <v>240</v>
      </c>
      <c r="D44" s="4">
        <v>10</v>
      </c>
      <c r="E44" s="4">
        <v>17641</v>
      </c>
      <c r="H44">
        <f t="shared" si="0"/>
        <v>2940.1666666666665</v>
      </c>
      <c r="I44">
        <f>VLOOKUP('Files compared backup'!$A44,'Files top1'!$A$2:$F$999,5,FALSE)</f>
        <v>1.51675</v>
      </c>
      <c r="J44">
        <f t="shared" si="1"/>
        <v>5.1587211609319204E-4</v>
      </c>
      <c r="K44">
        <f t="shared" si="2"/>
        <v>2.5793605804659602E-3</v>
      </c>
      <c r="L44">
        <f t="shared" si="3"/>
        <v>1.0317442321863841E-2</v>
      </c>
      <c r="M44">
        <f>VLOOKUP('Files compared backup'!$A44,'Files top1'!$A$2:$F$999,2,FALSE)</f>
        <v>0.54</v>
      </c>
      <c r="N44">
        <f>VLOOKUP('Files compared backup'!$A44,'Files top1'!$A$2:$F$999,4,FALSE)</f>
        <v>0.51500000000000001</v>
      </c>
      <c r="O44">
        <f>VLOOKUP('Files compared backup'!$A44,'Files top1'!$A$2:$F$999,3,FALSE)</f>
        <v>1</v>
      </c>
    </row>
    <row r="45" spans="1:15" ht="13.2" customHeight="1" x14ac:dyDescent="0.3">
      <c r="A45" s="4" t="s">
        <v>905</v>
      </c>
      <c r="B45" s="4">
        <v>9</v>
      </c>
      <c r="C45" s="4">
        <v>240</v>
      </c>
      <c r="D45" s="4">
        <v>100</v>
      </c>
      <c r="E45" s="4">
        <v>17641</v>
      </c>
      <c r="H45">
        <f t="shared" si="0"/>
        <v>2940.1666666666665</v>
      </c>
      <c r="I45">
        <f>VLOOKUP('Files compared backup'!$A45,'Files top1'!$A$2:$F$999,5,FALSE)</f>
        <v>1.0423199999999999</v>
      </c>
      <c r="J45">
        <f t="shared" si="1"/>
        <v>3.5451051527691173E-4</v>
      </c>
      <c r="K45">
        <f t="shared" si="2"/>
        <v>1.7725525763845587E-3</v>
      </c>
      <c r="L45">
        <f t="shared" si="3"/>
        <v>7.0902103055382349E-3</v>
      </c>
      <c r="M45">
        <f>VLOOKUP('Files compared backup'!$A45,'Files top1'!$A$2:$F$999,2,FALSE)</f>
        <v>0.55000000000000004</v>
      </c>
      <c r="N45">
        <f>VLOOKUP('Files compared backup'!$A45,'Files top1'!$A$2:$F$999,4,FALSE)</f>
        <v>0.51</v>
      </c>
      <c r="O45">
        <f>VLOOKUP('Files compared backup'!$A45,'Files top1'!$A$2:$F$999,3,FALSE)</f>
        <v>1</v>
      </c>
    </row>
    <row r="46" spans="1:15" ht="13.2" customHeight="1" x14ac:dyDescent="0.3">
      <c r="A46" s="4" t="s">
        <v>907</v>
      </c>
      <c r="B46" s="4">
        <v>9</v>
      </c>
      <c r="C46" s="4">
        <v>240</v>
      </c>
      <c r="D46" s="4">
        <v>25</v>
      </c>
      <c r="E46" s="4">
        <v>17641</v>
      </c>
      <c r="H46">
        <f t="shared" si="0"/>
        <v>2940.1666666666665</v>
      </c>
      <c r="I46">
        <f>VLOOKUP('Files compared backup'!$A46,'Files top1'!$A$2:$F$999,5,FALSE)</f>
        <v>1.78342</v>
      </c>
      <c r="J46">
        <f t="shared" si="1"/>
        <v>6.0657105606258153E-4</v>
      </c>
      <c r="K46">
        <f t="shared" si="2"/>
        <v>3.0328552803129075E-3</v>
      </c>
      <c r="L46">
        <f t="shared" si="3"/>
        <v>1.213142112125163E-2</v>
      </c>
      <c r="M46">
        <f>VLOOKUP('Files compared backup'!$A46,'Files top1'!$A$2:$F$999,2,FALSE)</f>
        <v>0.54</v>
      </c>
      <c r="N46">
        <f>VLOOKUP('Files compared backup'!$A46,'Files top1'!$A$2:$F$999,4,FALSE)</f>
        <v>0.52</v>
      </c>
      <c r="O46">
        <f>VLOOKUP('Files compared backup'!$A46,'Files top1'!$A$2:$F$999,3,FALSE)</f>
        <v>1</v>
      </c>
    </row>
    <row r="47" spans="1:15" ht="13.2" customHeight="1" x14ac:dyDescent="0.3">
      <c r="A47" s="4" t="s">
        <v>909</v>
      </c>
      <c r="B47" s="4">
        <v>9</v>
      </c>
      <c r="C47" s="4">
        <v>240</v>
      </c>
      <c r="D47" s="4">
        <v>100</v>
      </c>
      <c r="E47" s="4">
        <v>17641</v>
      </c>
      <c r="H47">
        <f t="shared" si="0"/>
        <v>2940.1666666666665</v>
      </c>
      <c r="I47">
        <f>VLOOKUP('Files compared backup'!$A47,'Files top1'!$A$2:$F$999,5,FALSE)</f>
        <v>1.6922900000000001</v>
      </c>
      <c r="J47">
        <f t="shared" si="1"/>
        <v>5.7557621450031178E-4</v>
      </c>
      <c r="K47">
        <f t="shared" si="2"/>
        <v>2.8778810725015591E-3</v>
      </c>
      <c r="L47">
        <f t="shared" si="3"/>
        <v>1.1511524290006236E-2</v>
      </c>
      <c r="M47">
        <f>VLOOKUP('Files compared backup'!$A47,'Files top1'!$A$2:$F$999,2,FALSE)</f>
        <v>0.54</v>
      </c>
      <c r="N47">
        <f>VLOOKUP('Files compared backup'!$A47,'Files top1'!$A$2:$F$999,4,FALSE)</f>
        <v>0.5</v>
      </c>
      <c r="O47">
        <f>VLOOKUP('Files compared backup'!$A47,'Files top1'!$A$2:$F$999,3,FALSE)</f>
        <v>1</v>
      </c>
    </row>
    <row r="48" spans="1:15" ht="13.2" customHeight="1" x14ac:dyDescent="0.3">
      <c r="A48" s="4" t="s">
        <v>903</v>
      </c>
      <c r="B48" s="4">
        <v>9</v>
      </c>
      <c r="C48" s="4">
        <v>240</v>
      </c>
      <c r="D48" s="4">
        <v>25</v>
      </c>
      <c r="E48" s="4">
        <v>17641</v>
      </c>
      <c r="H48">
        <f t="shared" si="0"/>
        <v>2940.1666666666665</v>
      </c>
      <c r="I48">
        <f>VLOOKUP('Files compared backup'!$A48,'Files top1'!$A$2:$F$999,5,FALSE)</f>
        <v>1.2947200000000001</v>
      </c>
      <c r="J48">
        <f t="shared" si="1"/>
        <v>4.403559888895188E-4</v>
      </c>
      <c r="K48">
        <f t="shared" si="2"/>
        <v>2.201779944447594E-3</v>
      </c>
      <c r="L48">
        <f t="shared" si="3"/>
        <v>8.8071197777903759E-3</v>
      </c>
      <c r="M48">
        <f>VLOOKUP('Files compared backup'!$A48,'Files top1'!$A$2:$F$999,2,FALSE)</f>
        <v>0.54</v>
      </c>
      <c r="N48">
        <f>VLOOKUP('Files compared backup'!$A48,'Files top1'!$A$2:$F$999,4,FALSE)</f>
        <v>0.505</v>
      </c>
      <c r="O48">
        <f>VLOOKUP('Files compared backup'!$A48,'Files top1'!$A$2:$F$999,3,FALSE)</f>
        <v>1</v>
      </c>
    </row>
    <row r="49" spans="1:15" ht="13.2" customHeight="1" x14ac:dyDescent="0.3">
      <c r="A49" s="4" t="s">
        <v>908</v>
      </c>
      <c r="B49" s="4">
        <v>9</v>
      </c>
      <c r="C49" s="4">
        <v>240</v>
      </c>
      <c r="D49" s="4">
        <v>50</v>
      </c>
      <c r="E49" s="4">
        <v>17641</v>
      </c>
      <c r="H49">
        <f t="shared" si="0"/>
        <v>2940.1666666666665</v>
      </c>
      <c r="I49">
        <f>VLOOKUP('Files compared backup'!$A49,'Files top1'!$A$2:$F$999,5,FALSE)</f>
        <v>1.2635000000000001</v>
      </c>
      <c r="J49">
        <f t="shared" si="1"/>
        <v>4.2973754322317333E-4</v>
      </c>
      <c r="K49">
        <f t="shared" si="2"/>
        <v>2.1486877161158665E-3</v>
      </c>
      <c r="L49">
        <f t="shared" si="3"/>
        <v>8.594750864463466E-3</v>
      </c>
      <c r="M49">
        <f>VLOOKUP('Files compared backup'!$A49,'Files top1'!$A$2:$F$999,2,FALSE)</f>
        <v>0.54</v>
      </c>
      <c r="N49">
        <f>VLOOKUP('Files compared backup'!$A49,'Files top1'!$A$2:$F$999,4,FALSE)</f>
        <v>0.52</v>
      </c>
      <c r="O49">
        <f>VLOOKUP('Files compared backup'!$A49,'Files top1'!$A$2:$F$999,3,FALSE)</f>
        <v>1</v>
      </c>
    </row>
    <row r="50" spans="1:15" ht="13.2" customHeight="1" x14ac:dyDescent="0.3">
      <c r="A50" s="4" t="s">
        <v>977</v>
      </c>
      <c r="B50" s="4">
        <v>100</v>
      </c>
      <c r="C50" s="4">
        <v>1</v>
      </c>
      <c r="D50" s="4">
        <v>100</v>
      </c>
      <c r="E50" s="4">
        <v>63900</v>
      </c>
      <c r="H50">
        <f t="shared" si="0"/>
        <v>44.375</v>
      </c>
      <c r="I50">
        <f>VLOOKUP('Files compared backup'!$A50,'Files top1'!$A$2:$F$999,5,FALSE)</f>
        <v>0.59401999999999999</v>
      </c>
      <c r="J50">
        <f t="shared" si="1"/>
        <v>1.3386366197183098E-2</v>
      </c>
      <c r="K50">
        <f t="shared" si="2"/>
        <v>6.6931830985915486E-2</v>
      </c>
      <c r="L50">
        <f t="shared" si="3"/>
        <v>0.26772732394366194</v>
      </c>
      <c r="M50">
        <f>VLOOKUP('Files compared backup'!$A50,'Files top1'!$A$2:$F$999,2,FALSE)</f>
        <v>0.54</v>
      </c>
      <c r="N50">
        <f>VLOOKUP('Files compared backup'!$A50,'Files top1'!$A$2:$F$999,4,FALSE)</f>
        <v>0.51500000000000001</v>
      </c>
      <c r="O50">
        <f>VLOOKUP('Files compared backup'!$A50,'Files top1'!$A$2:$F$999,3,FALSE)</f>
        <v>1</v>
      </c>
    </row>
    <row r="51" spans="1:15" ht="13.2" customHeight="1" x14ac:dyDescent="0.3">
      <c r="A51" s="4" t="s">
        <v>987</v>
      </c>
      <c r="B51" s="4">
        <v>100</v>
      </c>
      <c r="C51" s="4">
        <v>30</v>
      </c>
      <c r="D51" s="4">
        <v>100</v>
      </c>
      <c r="E51" s="4">
        <v>9901</v>
      </c>
      <c r="H51">
        <f t="shared" si="0"/>
        <v>206.27083333333334</v>
      </c>
      <c r="I51">
        <f>VLOOKUP('Files compared backup'!$A51,'Files top1'!$A$2:$F$999,5,FALSE)</f>
        <v>0.13519999999999999</v>
      </c>
      <c r="J51">
        <f t="shared" si="1"/>
        <v>6.5544894455105531E-4</v>
      </c>
      <c r="K51">
        <f t="shared" si="2"/>
        <v>3.2772447227552765E-3</v>
      </c>
      <c r="L51">
        <f t="shared" si="3"/>
        <v>1.3108978891021106E-2</v>
      </c>
      <c r="M51">
        <f>VLOOKUP('Files compared backup'!$A51,'Files top1'!$A$2:$F$999,2,FALSE)</f>
        <v>0.56000000000000005</v>
      </c>
      <c r="N51">
        <f>VLOOKUP('Files compared backup'!$A51,'Files top1'!$A$2:$F$999,4,FALSE)</f>
        <v>0.505</v>
      </c>
      <c r="O51">
        <f>VLOOKUP('Files compared backup'!$A51,'Files top1'!$A$2:$F$999,3,FALSE)</f>
        <v>1</v>
      </c>
    </row>
    <row r="52" spans="1:15" ht="13.2" customHeight="1" x14ac:dyDescent="0.3">
      <c r="A52" s="4" t="s">
        <v>984</v>
      </c>
      <c r="B52" s="4">
        <v>100</v>
      </c>
      <c r="C52" s="4">
        <v>240</v>
      </c>
      <c r="D52" s="4">
        <v>100</v>
      </c>
      <c r="E52" s="4">
        <v>14900</v>
      </c>
      <c r="H52">
        <f t="shared" si="0"/>
        <v>2483.3333333333335</v>
      </c>
      <c r="I52">
        <f>VLOOKUP('Files compared backup'!$A52,'Files top1'!$A$2:$F$999,5,FALSE)</f>
        <v>21.460999999999999</v>
      </c>
      <c r="J52">
        <f t="shared" si="1"/>
        <v>8.6420134228187909E-3</v>
      </c>
      <c r="K52">
        <f t="shared" si="2"/>
        <v>4.3210067114093954E-2</v>
      </c>
      <c r="L52">
        <f t="shared" si="3"/>
        <v>0.17284026845637582</v>
      </c>
      <c r="M52">
        <f>VLOOKUP('Files compared backup'!$A52,'Files top1'!$A$2:$F$999,2,FALSE)</f>
        <v>0.54</v>
      </c>
      <c r="N52">
        <f>VLOOKUP('Files compared backup'!$A52,'Files top1'!$A$2:$F$999,4,FALSE)</f>
        <v>0.5</v>
      </c>
      <c r="O52">
        <f>VLOOKUP('Files compared backup'!$A52,'Files top1'!$A$2:$F$999,3,FALSE)</f>
        <v>5</v>
      </c>
    </row>
    <row r="53" spans="1:15" ht="13.2" customHeight="1" x14ac:dyDescent="0.3">
      <c r="A53" s="4" t="s">
        <v>988</v>
      </c>
      <c r="B53" s="4">
        <v>100</v>
      </c>
      <c r="C53" s="4">
        <v>30</v>
      </c>
      <c r="D53" s="4">
        <v>100</v>
      </c>
      <c r="E53" s="4">
        <v>9901</v>
      </c>
      <c r="H53">
        <f t="shared" si="0"/>
        <v>206.27083333333334</v>
      </c>
      <c r="I53">
        <f>VLOOKUP('Files compared backup'!$A53,'Files top1'!$A$2:$F$999,5,FALSE)</f>
        <v>0.12456</v>
      </c>
      <c r="J53">
        <f t="shared" si="1"/>
        <v>6.0386627613372385E-4</v>
      </c>
      <c r="K53">
        <f t="shared" si="2"/>
        <v>3.0193313806686191E-3</v>
      </c>
      <c r="L53">
        <f t="shared" si="3"/>
        <v>1.2077325522674476E-2</v>
      </c>
      <c r="M53">
        <f>VLOOKUP('Files compared backup'!$A53,'Files top1'!$A$2:$F$999,2,FALSE)</f>
        <v>0.55000000000000004</v>
      </c>
      <c r="N53">
        <f>VLOOKUP('Files compared backup'!$A53,'Files top1'!$A$2:$F$999,4,FALSE)</f>
        <v>0.505</v>
      </c>
      <c r="O53">
        <f>VLOOKUP('Files compared backup'!$A53,'Files top1'!$A$2:$F$999,3,FALSE)</f>
        <v>1</v>
      </c>
    </row>
    <row r="54" spans="1:15" ht="13.2" customHeight="1" x14ac:dyDescent="0.3">
      <c r="A54" s="4" t="s">
        <v>986</v>
      </c>
      <c r="B54" s="4">
        <v>100</v>
      </c>
      <c r="C54" s="4">
        <v>30</v>
      </c>
      <c r="D54" s="4">
        <v>100</v>
      </c>
      <c r="E54" s="4">
        <v>9901</v>
      </c>
      <c r="H54">
        <f t="shared" si="0"/>
        <v>206.27083333333334</v>
      </c>
      <c r="I54">
        <f>VLOOKUP('Files compared backup'!$A54,'Files top1'!$A$2:$F$999,5,FALSE)</f>
        <v>0.14939</v>
      </c>
      <c r="J54">
        <f t="shared" si="1"/>
        <v>7.2424199575800419E-4</v>
      </c>
      <c r="K54">
        <f t="shared" si="2"/>
        <v>3.6212099787900211E-3</v>
      </c>
      <c r="L54">
        <f t="shared" si="3"/>
        <v>1.4484839915160084E-2</v>
      </c>
      <c r="M54">
        <f>VLOOKUP('Files compared backup'!$A54,'Files top1'!$A$2:$F$999,2,FALSE)</f>
        <v>0.54</v>
      </c>
      <c r="N54">
        <f>VLOOKUP('Files compared backup'!$A54,'Files top1'!$A$2:$F$999,4,FALSE)</f>
        <v>0.505</v>
      </c>
      <c r="O54">
        <f>VLOOKUP('Files compared backup'!$A54,'Files top1'!$A$2:$F$999,3,FALSE)</f>
        <v>1</v>
      </c>
    </row>
    <row r="55" spans="1:15" ht="13.2" customHeight="1" x14ac:dyDescent="0.3">
      <c r="A55" s="4" t="s">
        <v>983</v>
      </c>
      <c r="B55" s="4">
        <v>77</v>
      </c>
      <c r="C55" s="4">
        <v>1</v>
      </c>
      <c r="D55" s="4">
        <v>100</v>
      </c>
      <c r="E55" s="4">
        <v>63900</v>
      </c>
      <c r="H55">
        <f t="shared" si="0"/>
        <v>44.375</v>
      </c>
      <c r="I55">
        <f>VLOOKUP('Files compared backup'!$A55,'Files top1'!$A$2:$F$999,5,FALSE)</f>
        <v>8.7590000000000001E-2</v>
      </c>
      <c r="J55">
        <f t="shared" si="1"/>
        <v>1.9738591549295775E-3</v>
      </c>
      <c r="K55">
        <f t="shared" si="2"/>
        <v>9.8692957746478877E-3</v>
      </c>
      <c r="L55">
        <f t="shared" si="3"/>
        <v>3.9477183098591551E-2</v>
      </c>
      <c r="M55">
        <f>VLOOKUP('Files compared backup'!$A55,'Files top1'!$A$2:$F$999,2,FALSE)</f>
        <v>0.54</v>
      </c>
      <c r="N55">
        <f>VLOOKUP('Files compared backup'!$A55,'Files top1'!$A$2:$F$999,4,FALSE)</f>
        <v>0.51</v>
      </c>
      <c r="O55">
        <f>VLOOKUP('Files compared backup'!$A55,'Files top1'!$A$2:$F$999,3,FALSE)</f>
        <v>2</v>
      </c>
    </row>
    <row r="56" spans="1:15" ht="13.2" customHeight="1" x14ac:dyDescent="0.3">
      <c r="A56" s="4" t="s">
        <v>985</v>
      </c>
      <c r="B56" s="4">
        <v>100</v>
      </c>
      <c r="C56" s="4">
        <v>240</v>
      </c>
      <c r="D56" s="4">
        <v>100</v>
      </c>
      <c r="E56" s="4">
        <v>14900</v>
      </c>
      <c r="H56">
        <f t="shared" si="0"/>
        <v>2483.3333333333335</v>
      </c>
      <c r="I56">
        <f>VLOOKUP('Files compared backup'!$A56,'Files top1'!$A$2:$F$999,5,FALSE)</f>
        <v>36.091000000000001</v>
      </c>
      <c r="J56">
        <f t="shared" si="1"/>
        <v>1.4533288590604026E-2</v>
      </c>
      <c r="K56">
        <f t="shared" si="2"/>
        <v>7.2666442953020133E-2</v>
      </c>
      <c r="L56">
        <f t="shared" si="3"/>
        <v>0.29066577181208053</v>
      </c>
      <c r="M56">
        <f>VLOOKUP('Files compared backup'!$A56,'Files top1'!$A$2:$F$999,2,FALSE)</f>
        <v>0.54</v>
      </c>
      <c r="N56">
        <f>VLOOKUP('Files compared backup'!$A56,'Files top1'!$A$2:$F$999,4,FALSE)</f>
        <v>0.51500000000000001</v>
      </c>
      <c r="O56">
        <f>VLOOKUP('Files compared backup'!$A56,'Files top1'!$A$2:$F$999,3,FALSE)</f>
        <v>1</v>
      </c>
    </row>
    <row r="57" spans="1:15" ht="13.2" customHeight="1" x14ac:dyDescent="0.3">
      <c r="A57" s="4" t="s">
        <v>989</v>
      </c>
      <c r="B57" s="4">
        <v>100</v>
      </c>
      <c r="C57" s="4">
        <v>240</v>
      </c>
      <c r="D57" s="4">
        <v>10</v>
      </c>
      <c r="E57" s="4">
        <v>14900</v>
      </c>
      <c r="H57">
        <f t="shared" si="0"/>
        <v>2483.3333333333335</v>
      </c>
      <c r="I57">
        <f>VLOOKUP('Files compared backup'!$A57,'Files top1'!$A$2:$F$999,5,FALSE)</f>
        <v>46.779000000000003</v>
      </c>
      <c r="J57">
        <f t="shared" si="1"/>
        <v>1.883718120805369E-2</v>
      </c>
      <c r="K57">
        <f t="shared" si="2"/>
        <v>9.4185906040268455E-2</v>
      </c>
      <c r="L57">
        <f t="shared" si="3"/>
        <v>0.37674362416107382</v>
      </c>
      <c r="M57">
        <f>VLOOKUP('Files compared backup'!$A57,'Files top1'!$A$2:$F$999,2,FALSE)</f>
        <v>0.54</v>
      </c>
      <c r="N57">
        <f>VLOOKUP('Files compared backup'!$A57,'Files top1'!$A$2:$F$999,4,FALSE)</f>
        <v>0.5</v>
      </c>
      <c r="O57">
        <f>VLOOKUP('Files compared backup'!$A57,'Files top1'!$A$2:$F$999,3,FALSE)</f>
        <v>7</v>
      </c>
    </row>
    <row r="58" spans="1:15" ht="13.2" customHeight="1" x14ac:dyDescent="0.3">
      <c r="A58" s="4" t="s">
        <v>910</v>
      </c>
      <c r="B58" s="4">
        <v>100</v>
      </c>
      <c r="C58" s="4">
        <v>240</v>
      </c>
      <c r="D58" s="4">
        <v>1</v>
      </c>
      <c r="E58" s="4">
        <v>17641</v>
      </c>
      <c r="H58">
        <f t="shared" si="0"/>
        <v>2940.1666666666665</v>
      </c>
      <c r="I58">
        <f>VLOOKUP('Files compared backup'!$A58,'Files top1'!$A$2:$F$999,5,FALSE)</f>
        <v>1.0993999999999999</v>
      </c>
      <c r="J58">
        <f t="shared" si="1"/>
        <v>3.7392438070404173E-4</v>
      </c>
      <c r="K58">
        <f t="shared" si="2"/>
        <v>1.8696219035202087E-3</v>
      </c>
      <c r="L58">
        <f t="shared" si="3"/>
        <v>7.4784876140808346E-3</v>
      </c>
      <c r="M58">
        <f>VLOOKUP('Files compared backup'!$A58,'Files top1'!$A$2:$F$999,2,FALSE)</f>
        <v>0.54</v>
      </c>
      <c r="N58">
        <f>VLOOKUP('Files compared backup'!$A58,'Files top1'!$A$2:$F$999,4,FALSE)</f>
        <v>0.52</v>
      </c>
      <c r="O58">
        <f>VLOOKUP('Files compared backup'!$A58,'Files top1'!$A$2:$F$999,3,FALSE)</f>
        <v>1</v>
      </c>
    </row>
    <row r="59" spans="1:15" ht="13.2" customHeight="1" x14ac:dyDescent="0.3">
      <c r="A59" s="4" t="s">
        <v>990</v>
      </c>
      <c r="B59" s="4">
        <v>100</v>
      </c>
      <c r="C59" s="4">
        <v>240</v>
      </c>
      <c r="D59" s="4">
        <v>10</v>
      </c>
      <c r="E59" s="4">
        <v>14900</v>
      </c>
      <c r="H59">
        <f t="shared" si="0"/>
        <v>2483.3333333333335</v>
      </c>
      <c r="I59">
        <f>VLOOKUP('Files compared backup'!$A59,'Files top1'!$A$2:$F$999,5,FALSE)</f>
        <v>42.673999999999999</v>
      </c>
      <c r="J59">
        <f t="shared" si="1"/>
        <v>1.7184161073825501E-2</v>
      </c>
      <c r="K59">
        <f t="shared" si="2"/>
        <v>8.5920805369127509E-2</v>
      </c>
      <c r="L59">
        <f t="shared" si="3"/>
        <v>0.34368322147651004</v>
      </c>
      <c r="M59">
        <f>VLOOKUP('Files compared backup'!$A59,'Files top1'!$A$2:$F$999,2,FALSE)</f>
        <v>0.56000000000000005</v>
      </c>
      <c r="N59">
        <f>VLOOKUP('Files compared backup'!$A59,'Files top1'!$A$2:$F$999,4,FALSE)</f>
        <v>0.5</v>
      </c>
      <c r="O59">
        <f>VLOOKUP('Files compared backup'!$A59,'Files top1'!$A$2:$F$999,3,FALSE)</f>
        <v>34</v>
      </c>
    </row>
    <row r="60" spans="1:15" ht="13.2" customHeight="1" x14ac:dyDescent="0.3">
      <c r="A60" s="4" t="s">
        <v>980</v>
      </c>
      <c r="B60" s="4">
        <v>100</v>
      </c>
      <c r="C60" s="4">
        <v>1</v>
      </c>
      <c r="D60" s="4">
        <v>100</v>
      </c>
      <c r="E60" s="4">
        <v>63900</v>
      </c>
      <c r="H60">
        <f t="shared" si="0"/>
        <v>44.375</v>
      </c>
      <c r="I60">
        <f>VLOOKUP('Files compared backup'!$A60,'Files top1'!$A$2:$F$999,5,FALSE)</f>
        <v>0.44161</v>
      </c>
      <c r="J60">
        <f t="shared" si="1"/>
        <v>9.9517746478873237E-3</v>
      </c>
      <c r="K60">
        <f t="shared" si="2"/>
        <v>4.9758873239436618E-2</v>
      </c>
      <c r="L60">
        <f t="shared" si="3"/>
        <v>0.19903549295774647</v>
      </c>
      <c r="M60">
        <f>VLOOKUP('Files compared backup'!$A60,'Files top1'!$A$2:$F$999,2,FALSE)</f>
        <v>0.54</v>
      </c>
      <c r="N60">
        <f>VLOOKUP('Files compared backup'!$A60,'Files top1'!$A$2:$F$999,4,FALSE)</f>
        <v>0.51500000000000001</v>
      </c>
      <c r="O60">
        <f>VLOOKUP('Files compared backup'!$A60,'Files top1'!$A$2:$F$999,3,FALSE)</f>
        <v>1</v>
      </c>
    </row>
    <row r="61" spans="1:15" ht="13.2" customHeight="1" x14ac:dyDescent="0.3">
      <c r="A61" s="4" t="s">
        <v>911</v>
      </c>
      <c r="B61" s="4">
        <v>9</v>
      </c>
      <c r="C61" s="4">
        <v>240</v>
      </c>
      <c r="D61" s="4">
        <v>10</v>
      </c>
      <c r="E61" s="4">
        <v>17641</v>
      </c>
      <c r="H61">
        <f t="shared" si="0"/>
        <v>2940.1666666666665</v>
      </c>
      <c r="I61">
        <f>VLOOKUP('Files compared backup'!$A61,'Files top1'!$A$2:$F$999,5,FALSE)</f>
        <v>1.7995300000000001</v>
      </c>
      <c r="J61">
        <f t="shared" si="1"/>
        <v>6.1205033728246709E-4</v>
      </c>
      <c r="K61">
        <f t="shared" si="2"/>
        <v>3.0602516864123353E-3</v>
      </c>
      <c r="L61">
        <f t="shared" si="3"/>
        <v>1.2241006745649341E-2</v>
      </c>
      <c r="M61">
        <f>VLOOKUP('Files compared backup'!$A61,'Files top1'!$A$2:$F$999,2,FALSE)</f>
        <v>0.54</v>
      </c>
      <c r="N61">
        <f>VLOOKUP('Files compared backup'!$A61,'Files top1'!$A$2:$F$999,4,FALSE)</f>
        <v>0.505</v>
      </c>
      <c r="O61">
        <f>VLOOKUP('Files compared backup'!$A61,'Files top1'!$A$2:$F$999,3,FALSE)</f>
        <v>1</v>
      </c>
    </row>
    <row r="62" spans="1:15" ht="13.2" customHeight="1" x14ac:dyDescent="0.3">
      <c r="A62" s="4" t="s">
        <v>912</v>
      </c>
      <c r="B62" s="4">
        <v>9</v>
      </c>
      <c r="C62" s="4">
        <v>240</v>
      </c>
      <c r="D62" s="4">
        <v>25</v>
      </c>
      <c r="E62" s="4">
        <v>17641</v>
      </c>
      <c r="H62">
        <f t="shared" si="0"/>
        <v>2940.1666666666665</v>
      </c>
      <c r="I62">
        <f>VLOOKUP('Files compared backup'!$A62,'Files top1'!$A$2:$F$999,5,FALSE)</f>
        <v>1.2768999999999999</v>
      </c>
      <c r="J62">
        <f t="shared" si="1"/>
        <v>4.3429510798707557E-4</v>
      </c>
      <c r="K62">
        <f t="shared" si="2"/>
        <v>2.1714755399353776E-3</v>
      </c>
      <c r="L62">
        <f t="shared" si="3"/>
        <v>8.6859021597415105E-3</v>
      </c>
      <c r="M62">
        <f>VLOOKUP('Files compared backup'!$A62,'Files top1'!$A$2:$F$999,2,FALSE)</f>
        <v>0.54</v>
      </c>
      <c r="N62">
        <f>VLOOKUP('Files compared backup'!$A62,'Files top1'!$A$2:$F$999,4,FALSE)</f>
        <v>0.51500000000000001</v>
      </c>
      <c r="O62">
        <f>VLOOKUP('Files compared backup'!$A62,'Files top1'!$A$2:$F$999,3,FALSE)</f>
        <v>1</v>
      </c>
    </row>
    <row r="63" spans="1:15" ht="13.2" customHeight="1" x14ac:dyDescent="0.3">
      <c r="A63" s="4" t="s">
        <v>914</v>
      </c>
      <c r="B63" s="4">
        <v>9</v>
      </c>
      <c r="C63" s="4">
        <v>240</v>
      </c>
      <c r="D63" s="4">
        <v>100</v>
      </c>
      <c r="E63" s="4">
        <v>17641</v>
      </c>
      <c r="H63">
        <f t="shared" si="0"/>
        <v>2940.1666666666665</v>
      </c>
      <c r="I63">
        <f>VLOOKUP('Files compared backup'!$A63,'Files top1'!$A$2:$F$999,5,FALSE)</f>
        <v>1.32847</v>
      </c>
      <c r="J63">
        <f t="shared" si="1"/>
        <v>4.5183492999263084E-4</v>
      </c>
      <c r="K63">
        <f t="shared" si="2"/>
        <v>2.2591746499631541E-3</v>
      </c>
      <c r="L63">
        <f t="shared" si="3"/>
        <v>9.0366985998526165E-3</v>
      </c>
      <c r="M63">
        <f>VLOOKUP('Files compared backup'!$A63,'Files top1'!$A$2:$F$999,2,FALSE)</f>
        <v>0.54</v>
      </c>
      <c r="N63">
        <f>VLOOKUP('Files compared backup'!$A63,'Files top1'!$A$2:$F$999,4,FALSE)</f>
        <v>0.5</v>
      </c>
      <c r="O63">
        <f>VLOOKUP('Files compared backup'!$A63,'Files top1'!$A$2:$F$999,3,FALSE)</f>
        <v>1</v>
      </c>
    </row>
    <row r="64" spans="1:15" ht="13.2" customHeight="1" x14ac:dyDescent="0.3">
      <c r="A64" s="4" t="s">
        <v>915</v>
      </c>
      <c r="B64" s="4">
        <v>9</v>
      </c>
      <c r="C64" s="4">
        <v>240</v>
      </c>
      <c r="D64" s="4">
        <v>10</v>
      </c>
      <c r="E64" s="4">
        <v>17641</v>
      </c>
      <c r="H64">
        <f t="shared" si="0"/>
        <v>2940.1666666666665</v>
      </c>
      <c r="I64">
        <f>VLOOKUP('Files compared backup'!$A64,'Files top1'!$A$2:$F$999,5,FALSE)</f>
        <v>1.24359</v>
      </c>
      <c r="J64">
        <f t="shared" si="1"/>
        <v>4.2296581826427077E-4</v>
      </c>
      <c r="K64">
        <f t="shared" si="2"/>
        <v>2.1148290913213536E-3</v>
      </c>
      <c r="L64">
        <f t="shared" si="3"/>
        <v>8.4593163652854145E-3</v>
      </c>
      <c r="M64">
        <f>VLOOKUP('Files compared backup'!$A64,'Files top1'!$A$2:$F$999,2,FALSE)</f>
        <v>0.54</v>
      </c>
      <c r="N64">
        <f>VLOOKUP('Files compared backup'!$A64,'Files top1'!$A$2:$F$999,4,FALSE)</f>
        <v>0.52</v>
      </c>
      <c r="O64">
        <f>VLOOKUP('Files compared backup'!$A64,'Files top1'!$A$2:$F$999,3,FALSE)</f>
        <v>1</v>
      </c>
    </row>
    <row r="65" spans="1:15" ht="13.2" customHeight="1" x14ac:dyDescent="0.3">
      <c r="A65" s="4" t="s">
        <v>913</v>
      </c>
      <c r="B65" s="4">
        <v>9</v>
      </c>
      <c r="C65" s="4">
        <v>240</v>
      </c>
      <c r="D65" s="4">
        <v>50</v>
      </c>
      <c r="E65" s="4">
        <v>17641</v>
      </c>
      <c r="H65">
        <f t="shared" si="0"/>
        <v>2940.1666666666665</v>
      </c>
      <c r="I65">
        <f>VLOOKUP('Files compared backup'!$A65,'Files top1'!$A$2:$F$999,5,FALSE)</f>
        <v>1.55569</v>
      </c>
      <c r="J65">
        <f t="shared" si="1"/>
        <v>5.291162632503827E-4</v>
      </c>
      <c r="K65">
        <f t="shared" si="2"/>
        <v>2.6455813162519137E-3</v>
      </c>
      <c r="L65">
        <f t="shared" si="3"/>
        <v>1.0582325265007655E-2</v>
      </c>
      <c r="M65">
        <f>VLOOKUP('Files compared backup'!$A65,'Files top1'!$A$2:$F$999,2,FALSE)</f>
        <v>0.54</v>
      </c>
      <c r="N65">
        <f>VLOOKUP('Files compared backup'!$A65,'Files top1'!$A$2:$F$999,4,FALSE)</f>
        <v>0.5</v>
      </c>
      <c r="O65">
        <f>VLOOKUP('Files compared backup'!$A65,'Files top1'!$A$2:$F$999,3,FALSE)</f>
        <v>1</v>
      </c>
    </row>
    <row r="66" spans="1:15" ht="13.2" customHeight="1" x14ac:dyDescent="0.3">
      <c r="A66" s="4" t="s">
        <v>916</v>
      </c>
      <c r="B66" s="4">
        <v>9</v>
      </c>
      <c r="C66" s="4">
        <v>240</v>
      </c>
      <c r="D66" s="4">
        <v>25</v>
      </c>
      <c r="E66" s="4">
        <v>17641</v>
      </c>
      <c r="H66">
        <f t="shared" si="0"/>
        <v>2940.1666666666665</v>
      </c>
      <c r="I66">
        <f>VLOOKUP('Files compared backup'!$A66,'Files top1'!$A$2:$F$999,5,FALSE)</f>
        <v>1.0215700000000001</v>
      </c>
      <c r="J66">
        <f t="shared" si="1"/>
        <v>3.4745309222833175E-4</v>
      </c>
      <c r="K66">
        <f t="shared" si="2"/>
        <v>1.7372654611416587E-3</v>
      </c>
      <c r="L66">
        <f t="shared" si="3"/>
        <v>6.9490618445666348E-3</v>
      </c>
      <c r="M66">
        <f>VLOOKUP('Files compared backup'!$A66,'Files top1'!$A$2:$F$999,2,FALSE)</f>
        <v>0.54</v>
      </c>
      <c r="N66">
        <f>VLOOKUP('Files compared backup'!$A66,'Files top1'!$A$2:$F$999,4,FALSE)</f>
        <v>0.51500000000000001</v>
      </c>
      <c r="O66">
        <f>VLOOKUP('Files compared backup'!$A66,'Files top1'!$A$2:$F$999,3,FALSE)</f>
        <v>1</v>
      </c>
    </row>
    <row r="67" spans="1:15" ht="13.2" customHeight="1" x14ac:dyDescent="0.3">
      <c r="A67" s="4" t="s">
        <v>982</v>
      </c>
      <c r="B67" s="4">
        <v>100</v>
      </c>
      <c r="C67" s="4">
        <v>1</v>
      </c>
      <c r="D67" s="4">
        <v>100</v>
      </c>
      <c r="E67" s="4">
        <v>63900</v>
      </c>
      <c r="H67">
        <f t="shared" ref="H67:H122" si="4">(E67*C67)/(24*60)</f>
        <v>44.375</v>
      </c>
      <c r="I67">
        <f>VLOOKUP('Files compared backup'!$A67,'Files top1'!$A$2:$F$999,5,FALSE)</f>
        <v>38.651000000000003</v>
      </c>
      <c r="J67">
        <f t="shared" ref="J67:J122" si="5">I67/H67</f>
        <v>0.87100845070422539</v>
      </c>
      <c r="K67">
        <f t="shared" ref="K67:K122" si="6">J67*5</f>
        <v>4.3550422535211268</v>
      </c>
      <c r="L67">
        <f t="shared" ref="L67:L122" si="7">J67*20</f>
        <v>17.420169014084507</v>
      </c>
      <c r="M67">
        <f>VLOOKUP('Files compared backup'!$A67,'Files top1'!$A$2:$F$999,2,FALSE)</f>
        <v>0.55000000000000004</v>
      </c>
      <c r="N67">
        <f>VLOOKUP('Files compared backup'!$A67,'Files top1'!$A$2:$F$999,4,FALSE)</f>
        <v>0.51</v>
      </c>
      <c r="O67">
        <f>VLOOKUP('Files compared backup'!$A67,'Files top1'!$A$2:$F$999,3,FALSE)</f>
        <v>1</v>
      </c>
    </row>
    <row r="68" spans="1:15" ht="13.2" customHeight="1" x14ac:dyDescent="0.3">
      <c r="A68" s="4" t="s">
        <v>917</v>
      </c>
      <c r="B68" s="4">
        <v>9</v>
      </c>
      <c r="C68" s="4">
        <v>240</v>
      </c>
      <c r="D68" s="4">
        <v>50</v>
      </c>
      <c r="E68" s="4">
        <v>17641</v>
      </c>
      <c r="H68">
        <f t="shared" si="4"/>
        <v>2940.1666666666665</v>
      </c>
      <c r="I68">
        <f>VLOOKUP('Files compared backup'!$A68,'Files top1'!$A$2:$F$999,5,FALSE)</f>
        <v>1.5410900000000001</v>
      </c>
      <c r="J68">
        <f t="shared" si="5"/>
        <v>5.2415055835836977E-4</v>
      </c>
      <c r="K68">
        <f t="shared" si="6"/>
        <v>2.6207527917918487E-3</v>
      </c>
      <c r="L68">
        <f t="shared" si="7"/>
        <v>1.0483011167167395E-2</v>
      </c>
      <c r="M68">
        <f>VLOOKUP('Files compared backup'!$A68,'Files top1'!$A$2:$F$999,2,FALSE)</f>
        <v>0.54</v>
      </c>
      <c r="N68">
        <f>VLOOKUP('Files compared backup'!$A68,'Files top1'!$A$2:$F$999,4,FALSE)</f>
        <v>0.505</v>
      </c>
      <c r="O68">
        <f>VLOOKUP('Files compared backup'!$A68,'Files top1'!$A$2:$F$999,3,FALSE)</f>
        <v>1</v>
      </c>
    </row>
    <row r="69" spans="1:15" ht="13.2" customHeight="1" x14ac:dyDescent="0.3">
      <c r="A69" s="4" t="s">
        <v>918</v>
      </c>
      <c r="B69" s="4">
        <v>9</v>
      </c>
      <c r="C69" s="4">
        <v>240</v>
      </c>
      <c r="D69" s="4">
        <v>100</v>
      </c>
      <c r="E69" s="4">
        <v>17641</v>
      </c>
      <c r="H69">
        <f t="shared" si="4"/>
        <v>2940.1666666666665</v>
      </c>
      <c r="I69">
        <f>VLOOKUP('Files compared backup'!$A69,'Files top1'!$A$2:$F$999,5,FALSE)</f>
        <v>1.2869299999999999</v>
      </c>
      <c r="J69">
        <f t="shared" si="5"/>
        <v>4.3770647922453375E-4</v>
      </c>
      <c r="K69">
        <f t="shared" si="6"/>
        <v>2.1885323961226689E-3</v>
      </c>
      <c r="L69">
        <f t="shared" si="7"/>
        <v>8.7541295844906757E-3</v>
      </c>
      <c r="M69">
        <f>VLOOKUP('Files compared backup'!$A69,'Files top1'!$A$2:$F$999,2,FALSE)</f>
        <v>0.54</v>
      </c>
      <c r="N69">
        <f>VLOOKUP('Files compared backup'!$A69,'Files top1'!$A$2:$F$999,4,FALSE)</f>
        <v>0.505</v>
      </c>
      <c r="O69">
        <f>VLOOKUP('Files compared backup'!$A69,'Files top1'!$A$2:$F$999,3,FALSE)</f>
        <v>1</v>
      </c>
    </row>
    <row r="70" spans="1:15" ht="13.2" customHeight="1" x14ac:dyDescent="0.3">
      <c r="A70" s="4" t="s">
        <v>993</v>
      </c>
      <c r="B70" s="4">
        <v>100</v>
      </c>
      <c r="C70" s="4">
        <v>240</v>
      </c>
      <c r="D70" s="4">
        <v>25</v>
      </c>
      <c r="E70" s="4">
        <v>14900</v>
      </c>
      <c r="H70">
        <f t="shared" si="4"/>
        <v>2483.3333333333335</v>
      </c>
      <c r="I70">
        <f>VLOOKUP('Files compared backup'!$A70,'Files top1'!$A$2:$F$999,5,FALSE)</f>
        <v>46.045000000000002</v>
      </c>
      <c r="J70">
        <f t="shared" si="5"/>
        <v>1.8541610738255034E-2</v>
      </c>
      <c r="K70">
        <f t="shared" si="6"/>
        <v>9.2708053691275161E-2</v>
      </c>
      <c r="L70">
        <f t="shared" si="7"/>
        <v>0.37083221476510064</v>
      </c>
      <c r="M70">
        <f>VLOOKUP('Files compared backup'!$A70,'Files top1'!$A$2:$F$999,2,FALSE)</f>
        <v>0.54</v>
      </c>
      <c r="N70">
        <f>VLOOKUP('Files compared backup'!$A70,'Files top1'!$A$2:$F$999,4,FALSE)</f>
        <v>0.51</v>
      </c>
      <c r="O70">
        <f>VLOOKUP('Files compared backup'!$A70,'Files top1'!$A$2:$F$999,3,FALSE)</f>
        <v>1</v>
      </c>
    </row>
    <row r="71" spans="1:15" ht="13.2" customHeight="1" x14ac:dyDescent="0.3">
      <c r="A71" s="4" t="s">
        <v>991</v>
      </c>
      <c r="B71" s="4">
        <v>100</v>
      </c>
      <c r="C71" s="4">
        <v>240</v>
      </c>
      <c r="D71" s="4">
        <v>50</v>
      </c>
      <c r="E71" s="4">
        <v>14900</v>
      </c>
      <c r="H71">
        <f t="shared" si="4"/>
        <v>2483.3333333333335</v>
      </c>
      <c r="I71">
        <f>VLOOKUP('Files compared backup'!$A71,'Files top1'!$A$2:$F$999,5,FALSE)</f>
        <v>36.661000000000001</v>
      </c>
      <c r="J71">
        <f t="shared" si="5"/>
        <v>1.4762818791946308E-2</v>
      </c>
      <c r="K71">
        <f t="shared" si="6"/>
        <v>7.3814093959731542E-2</v>
      </c>
      <c r="L71">
        <f t="shared" si="7"/>
        <v>0.29525637583892617</v>
      </c>
      <c r="M71">
        <f>VLOOKUP('Files compared backup'!$A71,'Files top1'!$A$2:$F$999,2,FALSE)</f>
        <v>0.61</v>
      </c>
      <c r="N71">
        <f>VLOOKUP('Files compared backup'!$A71,'Files top1'!$A$2:$F$999,4,FALSE)</f>
        <v>0.51</v>
      </c>
      <c r="O71">
        <f>VLOOKUP('Files compared backup'!$A71,'Files top1'!$A$2:$F$999,3,FALSE)</f>
        <v>1</v>
      </c>
    </row>
    <row r="72" spans="1:15" ht="13.2" customHeight="1" x14ac:dyDescent="0.3">
      <c r="A72" s="4" t="s">
        <v>992</v>
      </c>
      <c r="B72" s="4">
        <v>100</v>
      </c>
      <c r="C72" s="4">
        <v>240</v>
      </c>
      <c r="D72" s="4">
        <v>50</v>
      </c>
      <c r="E72" s="4">
        <v>14900</v>
      </c>
      <c r="H72">
        <f t="shared" si="4"/>
        <v>2483.3333333333335</v>
      </c>
      <c r="I72">
        <f>VLOOKUP('Files compared backup'!$A72,'Files top1'!$A$2:$F$999,5,FALSE)</f>
        <v>23.242000000000001</v>
      </c>
      <c r="J72">
        <f t="shared" si="5"/>
        <v>9.3591946308724822E-3</v>
      </c>
      <c r="K72">
        <f t="shared" si="6"/>
        <v>4.6795973154362409E-2</v>
      </c>
      <c r="L72">
        <f t="shared" si="7"/>
        <v>0.18718389261744964</v>
      </c>
      <c r="M72">
        <f>VLOOKUP('Files compared backup'!$A72,'Files top1'!$A$2:$F$999,2,FALSE)</f>
        <v>0.6</v>
      </c>
      <c r="N72">
        <f>VLOOKUP('Files compared backup'!$A72,'Files top1'!$A$2:$F$999,4,FALSE)</f>
        <v>0.51</v>
      </c>
      <c r="O72">
        <f>VLOOKUP('Files compared backup'!$A72,'Files top1'!$A$2:$F$999,3,FALSE)</f>
        <v>2</v>
      </c>
    </row>
    <row r="73" spans="1:15" ht="13.2" customHeight="1" x14ac:dyDescent="0.3">
      <c r="A73" s="4" t="s">
        <v>994</v>
      </c>
      <c r="B73" s="4">
        <v>100</v>
      </c>
      <c r="C73" s="4">
        <v>240</v>
      </c>
      <c r="D73" s="4">
        <v>25</v>
      </c>
      <c r="E73" s="4">
        <v>14900</v>
      </c>
      <c r="H73">
        <f t="shared" si="4"/>
        <v>2483.3333333333335</v>
      </c>
      <c r="I73">
        <f>VLOOKUP('Files compared backup'!$A73,'Files top1'!$A$2:$F$999,5,FALSE)</f>
        <v>34.338000000000001</v>
      </c>
      <c r="J73">
        <f t="shared" si="5"/>
        <v>1.382738255033557E-2</v>
      </c>
      <c r="K73">
        <f t="shared" si="6"/>
        <v>6.9136912751677854E-2</v>
      </c>
      <c r="L73">
        <f t="shared" si="7"/>
        <v>0.27654765100671141</v>
      </c>
      <c r="M73">
        <f>VLOOKUP('Files compared backup'!$A73,'Files top1'!$A$2:$F$999,2,FALSE)</f>
        <v>0.55000000000000004</v>
      </c>
      <c r="N73">
        <f>VLOOKUP('Files compared backup'!$A73,'Files top1'!$A$2:$F$999,4,FALSE)</f>
        <v>0.505</v>
      </c>
      <c r="O73">
        <f>VLOOKUP('Files compared backup'!$A73,'Files top1'!$A$2:$F$999,3,FALSE)</f>
        <v>3</v>
      </c>
    </row>
    <row r="74" spans="1:15" ht="13.2" customHeight="1" x14ac:dyDescent="0.3">
      <c r="A74" s="4" t="s">
        <v>997</v>
      </c>
      <c r="B74" s="4">
        <v>100</v>
      </c>
      <c r="C74" s="4">
        <v>240</v>
      </c>
      <c r="D74" s="4">
        <v>100</v>
      </c>
      <c r="E74" s="4">
        <v>14900</v>
      </c>
      <c r="H74">
        <f t="shared" si="4"/>
        <v>2483.3333333333335</v>
      </c>
      <c r="I74">
        <f>VLOOKUP('Files compared backup'!$A74,'Files top1'!$A$2:$F$999,5,FALSE)</f>
        <v>32.091999999999999</v>
      </c>
      <c r="J74">
        <f t="shared" si="5"/>
        <v>1.2922953020134227E-2</v>
      </c>
      <c r="K74">
        <f t="shared" si="6"/>
        <v>6.4614765100671129E-2</v>
      </c>
      <c r="L74">
        <f t="shared" si="7"/>
        <v>0.25845906040268452</v>
      </c>
      <c r="M74">
        <f>VLOOKUP('Files compared backup'!$A74,'Files top1'!$A$2:$F$999,2,FALSE)</f>
        <v>0.56000000000000005</v>
      </c>
      <c r="N74">
        <f>VLOOKUP('Files compared backup'!$A74,'Files top1'!$A$2:$F$999,4,FALSE)</f>
        <v>0.51</v>
      </c>
      <c r="O74">
        <f>VLOOKUP('Files compared backup'!$A74,'Files top1'!$A$2:$F$999,3,FALSE)</f>
        <v>1</v>
      </c>
    </row>
    <row r="75" spans="1:15" ht="13.2" customHeight="1" x14ac:dyDescent="0.3">
      <c r="A75" s="4" t="s">
        <v>996</v>
      </c>
      <c r="B75" s="4">
        <v>100</v>
      </c>
      <c r="C75" s="4">
        <v>240</v>
      </c>
      <c r="D75" s="4">
        <v>100</v>
      </c>
      <c r="E75" s="4">
        <v>14900</v>
      </c>
      <c r="H75">
        <f t="shared" si="4"/>
        <v>2483.3333333333335</v>
      </c>
      <c r="I75">
        <f>VLOOKUP('Files compared backup'!$A75,'Files top1'!$A$2:$F$999,5,FALSE)</f>
        <v>30.05</v>
      </c>
      <c r="J75">
        <f t="shared" si="5"/>
        <v>1.2100671140939597E-2</v>
      </c>
      <c r="K75">
        <f t="shared" si="6"/>
        <v>6.0503355704697989E-2</v>
      </c>
      <c r="L75">
        <f t="shared" si="7"/>
        <v>0.24201342281879196</v>
      </c>
      <c r="M75">
        <f>VLOOKUP('Files compared backup'!$A75,'Files top1'!$A$2:$F$999,2,FALSE)</f>
        <v>0.57999999999999996</v>
      </c>
      <c r="N75">
        <f>VLOOKUP('Files compared backup'!$A75,'Files top1'!$A$2:$F$999,4,FALSE)</f>
        <v>0.5</v>
      </c>
      <c r="O75">
        <f>VLOOKUP('Files compared backup'!$A75,'Files top1'!$A$2:$F$999,3,FALSE)</f>
        <v>1</v>
      </c>
    </row>
    <row r="76" spans="1:15" ht="13.2" customHeight="1" x14ac:dyDescent="0.3">
      <c r="A76" s="4" t="s">
        <v>995</v>
      </c>
      <c r="B76" s="4">
        <v>50</v>
      </c>
      <c r="C76" s="4">
        <v>5</v>
      </c>
      <c r="D76" s="4">
        <v>100</v>
      </c>
      <c r="E76" s="4">
        <v>49901</v>
      </c>
      <c r="H76">
        <f t="shared" si="4"/>
        <v>173.26736111111111</v>
      </c>
      <c r="I76">
        <f>VLOOKUP('Files compared backup'!$A76,'Files top1'!$A$2:$F$999,5,FALSE)</f>
        <v>0.28106999999999999</v>
      </c>
      <c r="J76">
        <f t="shared" si="5"/>
        <v>1.6221751067112882E-3</v>
      </c>
      <c r="K76">
        <f t="shared" si="6"/>
        <v>8.1108755335564421E-3</v>
      </c>
      <c r="L76">
        <f t="shared" si="7"/>
        <v>3.2443502134225768E-2</v>
      </c>
      <c r="M76">
        <f>VLOOKUP('Files compared backup'!$A76,'Files top1'!$A$2:$F$999,2,FALSE)</f>
        <v>0.54</v>
      </c>
      <c r="N76">
        <f>VLOOKUP('Files compared backup'!$A76,'Files top1'!$A$2:$F$999,4,FALSE)</f>
        <v>0.51500000000000001</v>
      </c>
      <c r="O76">
        <f>VLOOKUP('Files compared backup'!$A76,'Files top1'!$A$2:$F$999,3,FALSE)</f>
        <v>1</v>
      </c>
    </row>
    <row r="77" spans="1:15" ht="13.2" customHeight="1" x14ac:dyDescent="0.3">
      <c r="A77" s="4" t="s">
        <v>920</v>
      </c>
      <c r="B77" s="4">
        <v>9</v>
      </c>
      <c r="C77" s="4">
        <v>240</v>
      </c>
      <c r="D77" s="4">
        <v>25</v>
      </c>
      <c r="E77" s="4">
        <v>17641</v>
      </c>
      <c r="H77">
        <f t="shared" si="4"/>
        <v>2940.1666666666665</v>
      </c>
      <c r="I77">
        <f>VLOOKUP('Files compared backup'!$A77,'Files top1'!$A$2:$F$999,5,FALSE)</f>
        <v>1.24268</v>
      </c>
      <c r="J77">
        <f t="shared" si="5"/>
        <v>4.2265631200045351E-4</v>
      </c>
      <c r="K77">
        <f t="shared" si="6"/>
        <v>2.1132815600022675E-3</v>
      </c>
      <c r="L77">
        <f t="shared" si="7"/>
        <v>8.45312624000907E-3</v>
      </c>
      <c r="M77">
        <f>VLOOKUP('Files compared backup'!$A77,'Files top1'!$A$2:$F$999,2,FALSE)</f>
        <v>0.54</v>
      </c>
      <c r="N77">
        <f>VLOOKUP('Files compared backup'!$A77,'Files top1'!$A$2:$F$999,4,FALSE)</f>
        <v>0.51500000000000001</v>
      </c>
      <c r="O77">
        <f>VLOOKUP('Files compared backup'!$A77,'Files top1'!$A$2:$F$999,3,FALSE)</f>
        <v>1</v>
      </c>
    </row>
    <row r="78" spans="1:15" ht="13.2" customHeight="1" x14ac:dyDescent="0.3">
      <c r="A78" s="4" t="s">
        <v>924</v>
      </c>
      <c r="B78" s="4">
        <v>9</v>
      </c>
      <c r="C78" s="4">
        <v>240</v>
      </c>
      <c r="D78" s="4">
        <v>25</v>
      </c>
      <c r="E78" s="4">
        <v>17641</v>
      </c>
      <c r="H78">
        <f t="shared" si="4"/>
        <v>2940.1666666666665</v>
      </c>
      <c r="I78">
        <f>VLOOKUP('Files compared backup'!$A78,'Files top1'!$A$2:$F$999,5,FALSE)</f>
        <v>1.42187</v>
      </c>
      <c r="J78">
        <f t="shared" si="5"/>
        <v>4.8360183663057651E-4</v>
      </c>
      <c r="K78">
        <f t="shared" si="6"/>
        <v>2.4180091831528827E-3</v>
      </c>
      <c r="L78">
        <f t="shared" si="7"/>
        <v>9.6720367326115306E-3</v>
      </c>
      <c r="M78">
        <f>VLOOKUP('Files compared backup'!$A78,'Files top1'!$A$2:$F$999,2,FALSE)</f>
        <v>0.54</v>
      </c>
      <c r="N78">
        <f>VLOOKUP('Files compared backup'!$A78,'Files top1'!$A$2:$F$999,4,FALSE)</f>
        <v>0.51500000000000001</v>
      </c>
      <c r="O78">
        <f>VLOOKUP('Files compared backup'!$A78,'Files top1'!$A$2:$F$999,3,FALSE)</f>
        <v>1</v>
      </c>
    </row>
    <row r="79" spans="1:15" ht="13.2" customHeight="1" x14ac:dyDescent="0.3">
      <c r="A79" s="4" t="s">
        <v>926</v>
      </c>
      <c r="B79" s="4">
        <v>9</v>
      </c>
      <c r="C79" s="4">
        <v>240</v>
      </c>
      <c r="D79" s="4">
        <v>100</v>
      </c>
      <c r="E79" s="4">
        <v>17641</v>
      </c>
      <c r="H79">
        <f t="shared" si="4"/>
        <v>2940.1666666666665</v>
      </c>
      <c r="I79">
        <f>VLOOKUP('Files compared backup'!$A79,'Files top1'!$A$2:$F$999,5,FALSE)</f>
        <v>1.46702</v>
      </c>
      <c r="J79">
        <f t="shared" si="5"/>
        <v>4.9895810895073979E-4</v>
      </c>
      <c r="K79">
        <f t="shared" si="6"/>
        <v>2.4947905447536989E-3</v>
      </c>
      <c r="L79">
        <f t="shared" si="7"/>
        <v>9.9791621790147958E-3</v>
      </c>
      <c r="M79">
        <f>VLOOKUP('Files compared backup'!$A79,'Files top1'!$A$2:$F$999,2,FALSE)</f>
        <v>0.54</v>
      </c>
      <c r="N79">
        <f>VLOOKUP('Files compared backup'!$A79,'Files top1'!$A$2:$F$999,4,FALSE)</f>
        <v>0.52</v>
      </c>
      <c r="O79">
        <f>VLOOKUP('Files compared backup'!$A79,'Files top1'!$A$2:$F$999,3,FALSE)</f>
        <v>1</v>
      </c>
    </row>
    <row r="80" spans="1:15" ht="13.2" customHeight="1" x14ac:dyDescent="0.3">
      <c r="A80" s="4" t="s">
        <v>925</v>
      </c>
      <c r="B80" s="4">
        <v>9</v>
      </c>
      <c r="C80" s="4">
        <v>240</v>
      </c>
      <c r="D80" s="4">
        <v>50</v>
      </c>
      <c r="E80" s="4">
        <v>17641</v>
      </c>
      <c r="H80">
        <f t="shared" si="4"/>
        <v>2940.1666666666665</v>
      </c>
      <c r="I80">
        <f>VLOOKUP('Files compared backup'!$A80,'Files top1'!$A$2:$F$999,5,FALSE)</f>
        <v>1.5983499999999999</v>
      </c>
      <c r="J80">
        <f t="shared" si="5"/>
        <v>5.4362564480471629E-4</v>
      </c>
      <c r="K80">
        <f t="shared" si="6"/>
        <v>2.7181282240235816E-3</v>
      </c>
      <c r="L80">
        <f t="shared" si="7"/>
        <v>1.0872512896094326E-2</v>
      </c>
      <c r="M80">
        <f>VLOOKUP('Files compared backup'!$A80,'Files top1'!$A$2:$F$999,2,FALSE)</f>
        <v>0.54</v>
      </c>
      <c r="N80">
        <f>VLOOKUP('Files compared backup'!$A80,'Files top1'!$A$2:$F$999,4,FALSE)</f>
        <v>0.5</v>
      </c>
      <c r="O80">
        <f>VLOOKUP('Files compared backup'!$A80,'Files top1'!$A$2:$F$999,3,FALSE)</f>
        <v>1</v>
      </c>
    </row>
    <row r="81" spans="1:15" ht="13.2" customHeight="1" x14ac:dyDescent="0.3">
      <c r="A81" s="4" t="s">
        <v>919</v>
      </c>
      <c r="B81" s="4">
        <v>9</v>
      </c>
      <c r="C81" s="4">
        <v>240</v>
      </c>
      <c r="D81" s="4">
        <v>10</v>
      </c>
      <c r="E81" s="4">
        <v>17641</v>
      </c>
      <c r="H81">
        <f t="shared" si="4"/>
        <v>2940.1666666666665</v>
      </c>
      <c r="I81">
        <f>VLOOKUP('Files compared backup'!$A81,'Files top1'!$A$2:$F$999,5,FALSE)</f>
        <v>1.5696600000000001</v>
      </c>
      <c r="J81">
        <f t="shared" si="5"/>
        <v>5.3386769457513747E-4</v>
      </c>
      <c r="K81">
        <f t="shared" si="6"/>
        <v>2.6693384728756872E-3</v>
      </c>
      <c r="L81">
        <f t="shared" si="7"/>
        <v>1.0677353891502749E-2</v>
      </c>
      <c r="M81">
        <f>VLOOKUP('Files compared backup'!$A81,'Files top1'!$A$2:$F$999,2,FALSE)</f>
        <v>0.54</v>
      </c>
      <c r="N81">
        <f>VLOOKUP('Files compared backup'!$A81,'Files top1'!$A$2:$F$999,4,FALSE)</f>
        <v>0.5</v>
      </c>
      <c r="O81">
        <f>VLOOKUP('Files compared backup'!$A81,'Files top1'!$A$2:$F$999,3,FALSE)</f>
        <v>1</v>
      </c>
    </row>
    <row r="82" spans="1:15" ht="13.2" customHeight="1" x14ac:dyDescent="0.3">
      <c r="A82" s="4" t="s">
        <v>923</v>
      </c>
      <c r="B82" s="4">
        <v>9</v>
      </c>
      <c r="C82" s="4">
        <v>240</v>
      </c>
      <c r="D82" s="4">
        <v>10</v>
      </c>
      <c r="E82" s="4">
        <v>17641</v>
      </c>
      <c r="H82">
        <f t="shared" si="4"/>
        <v>2940.1666666666665</v>
      </c>
      <c r="I82">
        <f>VLOOKUP('Files compared backup'!$A82,'Files top1'!$A$2:$F$999,5,FALSE)</f>
        <v>1.6689099999999999</v>
      </c>
      <c r="J82">
        <f t="shared" si="5"/>
        <v>5.6762428433762254E-4</v>
      </c>
      <c r="K82">
        <f t="shared" si="6"/>
        <v>2.8381214216881127E-3</v>
      </c>
      <c r="L82">
        <f t="shared" si="7"/>
        <v>1.1352485686752451E-2</v>
      </c>
      <c r="M82">
        <f>VLOOKUP('Files compared backup'!$A82,'Files top1'!$A$2:$F$999,2,FALSE)</f>
        <v>0.56000000000000005</v>
      </c>
      <c r="N82">
        <f>VLOOKUP('Files compared backup'!$A82,'Files top1'!$A$2:$F$999,4,FALSE)</f>
        <v>0.51500000000000001</v>
      </c>
      <c r="O82">
        <f>VLOOKUP('Files compared backup'!$A82,'Files top1'!$A$2:$F$999,3,FALSE)</f>
        <v>1</v>
      </c>
    </row>
    <row r="83" spans="1:15" ht="13.2" customHeight="1" x14ac:dyDescent="0.3">
      <c r="A83" s="4" t="s">
        <v>922</v>
      </c>
      <c r="B83" s="4">
        <v>9</v>
      </c>
      <c r="C83" s="4">
        <v>240</v>
      </c>
      <c r="D83" s="4">
        <v>100</v>
      </c>
      <c r="E83" s="4">
        <v>17641</v>
      </c>
      <c r="H83">
        <f t="shared" si="4"/>
        <v>2940.1666666666665</v>
      </c>
      <c r="I83">
        <f>VLOOKUP('Files compared backup'!$A83,'Files top1'!$A$2:$F$999,5,FALSE)</f>
        <v>1.4782</v>
      </c>
      <c r="J83">
        <f t="shared" si="5"/>
        <v>5.0276061447763738E-4</v>
      </c>
      <c r="K83">
        <f t="shared" si="6"/>
        <v>2.5138030723881868E-3</v>
      </c>
      <c r="L83">
        <f t="shared" si="7"/>
        <v>1.0055212289552747E-2</v>
      </c>
      <c r="M83">
        <f>VLOOKUP('Files compared backup'!$A83,'Files top1'!$A$2:$F$999,2,FALSE)</f>
        <v>0.54</v>
      </c>
      <c r="N83">
        <f>VLOOKUP('Files compared backup'!$A83,'Files top1'!$A$2:$F$999,4,FALSE)</f>
        <v>0.51500000000000001</v>
      </c>
      <c r="O83">
        <f>VLOOKUP('Files compared backup'!$A83,'Files top1'!$A$2:$F$999,3,FALSE)</f>
        <v>1</v>
      </c>
    </row>
    <row r="84" spans="1:15" ht="13.2" customHeight="1" x14ac:dyDescent="0.3">
      <c r="A84" s="4" t="s">
        <v>921</v>
      </c>
      <c r="B84" s="4">
        <v>9</v>
      </c>
      <c r="C84" s="4">
        <v>240</v>
      </c>
      <c r="D84" s="4">
        <v>50</v>
      </c>
      <c r="E84" s="4">
        <v>17641</v>
      </c>
      <c r="H84">
        <f t="shared" si="4"/>
        <v>2940.1666666666665</v>
      </c>
      <c r="I84">
        <f>VLOOKUP('Files compared backup'!$A84,'Files top1'!$A$2:$F$999,5,FALSE)</f>
        <v>1.45756</v>
      </c>
      <c r="J84">
        <f t="shared" si="5"/>
        <v>4.9574060427413414E-4</v>
      </c>
      <c r="K84">
        <f t="shared" si="6"/>
        <v>2.4787030213706705E-3</v>
      </c>
      <c r="L84">
        <f t="shared" si="7"/>
        <v>9.914812085482682E-3</v>
      </c>
      <c r="M84">
        <f>VLOOKUP('Files compared backup'!$A84,'Files top1'!$A$2:$F$999,2,FALSE)</f>
        <v>0.54</v>
      </c>
      <c r="N84">
        <f>VLOOKUP('Files compared backup'!$A84,'Files top1'!$A$2:$F$999,4,FALSE)</f>
        <v>0.505</v>
      </c>
      <c r="O84">
        <f>VLOOKUP('Files compared backup'!$A84,'Files top1'!$A$2:$F$999,3,FALSE)</f>
        <v>1</v>
      </c>
    </row>
    <row r="85" spans="1:15" ht="13.2" customHeight="1" x14ac:dyDescent="0.3">
      <c r="A85" s="4" t="s">
        <v>927</v>
      </c>
      <c r="B85" s="4">
        <v>100</v>
      </c>
      <c r="C85" s="4">
        <v>240</v>
      </c>
      <c r="D85" s="4">
        <v>10</v>
      </c>
      <c r="E85" s="4">
        <v>17641</v>
      </c>
      <c r="H85">
        <f t="shared" si="4"/>
        <v>2940.1666666666665</v>
      </c>
      <c r="I85">
        <f>VLOOKUP('Files compared backup'!$A85,'Files top1'!$A$2:$F$999,5,FALSE)</f>
        <v>1.8331999999999999</v>
      </c>
      <c r="J85">
        <f t="shared" si="5"/>
        <v>6.2350206904370506E-4</v>
      </c>
      <c r="K85">
        <f t="shared" si="6"/>
        <v>3.1175103452185252E-3</v>
      </c>
      <c r="L85">
        <f t="shared" si="7"/>
        <v>1.2470041380874101E-2</v>
      </c>
      <c r="M85">
        <f>VLOOKUP('Files compared backup'!$A85,'Files top1'!$A$2:$F$999,2,FALSE)</f>
        <v>0.54</v>
      </c>
      <c r="N85">
        <f>VLOOKUP('Files compared backup'!$A85,'Files top1'!$A$2:$F$999,4,FALSE)</f>
        <v>0.52500000000000002</v>
      </c>
      <c r="O85">
        <f>VLOOKUP('Files compared backup'!$A85,'Files top1'!$A$2:$F$999,3,FALSE)</f>
        <v>1</v>
      </c>
    </row>
    <row r="86" spans="1:15" ht="13.2" customHeight="1" x14ac:dyDescent="0.3">
      <c r="A86" s="4" t="s">
        <v>931</v>
      </c>
      <c r="B86" s="4">
        <v>100</v>
      </c>
      <c r="C86" s="4">
        <v>240</v>
      </c>
      <c r="D86" s="4">
        <v>10</v>
      </c>
      <c r="E86" s="4">
        <v>17641</v>
      </c>
      <c r="H86">
        <f t="shared" si="4"/>
        <v>2940.1666666666665</v>
      </c>
      <c r="I86">
        <f>VLOOKUP('Files compared backup'!$A86,'Files top1'!$A$2:$F$999,5,FALSE)</f>
        <v>1.9345600000000001</v>
      </c>
      <c r="J86">
        <f t="shared" si="5"/>
        <v>6.5797630519811808E-4</v>
      </c>
      <c r="K86">
        <f t="shared" si="6"/>
        <v>3.2898815259905902E-3</v>
      </c>
      <c r="L86">
        <f t="shared" si="7"/>
        <v>1.3159526103962361E-2</v>
      </c>
      <c r="M86">
        <f>VLOOKUP('Files compared backup'!$A86,'Files top1'!$A$2:$F$999,2,FALSE)</f>
        <v>0.54</v>
      </c>
      <c r="N86">
        <f>VLOOKUP('Files compared backup'!$A86,'Files top1'!$A$2:$F$999,4,FALSE)</f>
        <v>0.51</v>
      </c>
      <c r="O86">
        <f>VLOOKUP('Files compared backup'!$A86,'Files top1'!$A$2:$F$999,3,FALSE)</f>
        <v>1</v>
      </c>
    </row>
    <row r="87" spans="1:15" ht="13.2" customHeight="1" x14ac:dyDescent="0.3">
      <c r="A87" s="4" t="s">
        <v>928</v>
      </c>
      <c r="B87" s="4">
        <v>100</v>
      </c>
      <c r="C87" s="4">
        <v>240</v>
      </c>
      <c r="D87" s="4">
        <v>25</v>
      </c>
      <c r="E87" s="4">
        <v>17641</v>
      </c>
      <c r="H87">
        <f t="shared" si="4"/>
        <v>2940.1666666666665</v>
      </c>
      <c r="I87">
        <f>VLOOKUP('Files compared backup'!$A87,'Files top1'!$A$2:$F$999,5,FALSE)</f>
        <v>1.82681</v>
      </c>
      <c r="J87">
        <f t="shared" si="5"/>
        <v>6.2132872286151586E-4</v>
      </c>
      <c r="K87">
        <f t="shared" si="6"/>
        <v>3.1066436143075793E-3</v>
      </c>
      <c r="L87">
        <f t="shared" si="7"/>
        <v>1.2426574457230317E-2</v>
      </c>
      <c r="M87">
        <f>VLOOKUP('Files compared backup'!$A87,'Files top1'!$A$2:$F$999,2,FALSE)</f>
        <v>0.54</v>
      </c>
      <c r="N87">
        <f>VLOOKUP('Files compared backup'!$A87,'Files top1'!$A$2:$F$999,4,FALSE)</f>
        <v>0.52</v>
      </c>
      <c r="O87">
        <f>VLOOKUP('Files compared backup'!$A87,'Files top1'!$A$2:$F$999,3,FALSE)</f>
        <v>1</v>
      </c>
    </row>
    <row r="88" spans="1:15" ht="13.2" customHeight="1" x14ac:dyDescent="0.3">
      <c r="A88" s="4" t="s">
        <v>930</v>
      </c>
      <c r="B88" s="4">
        <v>100</v>
      </c>
      <c r="C88" s="4">
        <v>240</v>
      </c>
      <c r="D88" s="4">
        <v>100</v>
      </c>
      <c r="E88" s="4">
        <v>17641</v>
      </c>
      <c r="H88">
        <f t="shared" si="4"/>
        <v>2940.1666666666665</v>
      </c>
      <c r="I88">
        <f>VLOOKUP('Files compared backup'!$A88,'Files top1'!$A$2:$F$999,5,FALSE)</f>
        <v>1.5689599999999999</v>
      </c>
      <c r="J88">
        <f t="shared" si="5"/>
        <v>5.3362961283373958E-4</v>
      </c>
      <c r="K88">
        <f t="shared" si="6"/>
        <v>2.6681480641686977E-3</v>
      </c>
      <c r="L88">
        <f t="shared" si="7"/>
        <v>1.0672592256674791E-2</v>
      </c>
      <c r="M88">
        <f>VLOOKUP('Files compared backup'!$A88,'Files top1'!$A$2:$F$999,2,FALSE)</f>
        <v>0.54</v>
      </c>
      <c r="N88">
        <f>VLOOKUP('Files compared backup'!$A88,'Files top1'!$A$2:$F$999,4,FALSE)</f>
        <v>0.505</v>
      </c>
      <c r="O88">
        <f>VLOOKUP('Files compared backup'!$A88,'Files top1'!$A$2:$F$999,3,FALSE)</f>
        <v>1</v>
      </c>
    </row>
    <row r="89" spans="1:15" ht="13.2" customHeight="1" x14ac:dyDescent="0.3">
      <c r="A89" s="4" t="s">
        <v>932</v>
      </c>
      <c r="B89" s="4">
        <v>100</v>
      </c>
      <c r="C89" s="4">
        <v>240</v>
      </c>
      <c r="D89" s="4">
        <v>25</v>
      </c>
      <c r="E89" s="4">
        <v>17641</v>
      </c>
      <c r="H89">
        <f t="shared" si="4"/>
        <v>2940.1666666666665</v>
      </c>
      <c r="I89">
        <f>VLOOKUP('Files compared backup'!$A89,'Files top1'!$A$2:$F$999,5,FALSE)</f>
        <v>1.95082</v>
      </c>
      <c r="J89">
        <f t="shared" si="5"/>
        <v>6.6350660393401739E-4</v>
      </c>
      <c r="K89">
        <f t="shared" si="6"/>
        <v>3.3175330196700869E-3</v>
      </c>
      <c r="L89">
        <f t="shared" si="7"/>
        <v>1.3270132078680347E-2</v>
      </c>
      <c r="M89">
        <f>VLOOKUP('Files compared backup'!$A89,'Files top1'!$A$2:$F$999,2,FALSE)</f>
        <v>0.54</v>
      </c>
      <c r="N89">
        <f>VLOOKUP('Files compared backup'!$A89,'Files top1'!$A$2:$F$999,4,FALSE)</f>
        <v>0.51</v>
      </c>
      <c r="O89">
        <f>VLOOKUP('Files compared backup'!$A89,'Files top1'!$A$2:$F$999,3,FALSE)</f>
        <v>2</v>
      </c>
    </row>
    <row r="90" spans="1:15" ht="13.2" customHeight="1" x14ac:dyDescent="0.3">
      <c r="A90" s="4" t="s">
        <v>929</v>
      </c>
      <c r="B90" s="4">
        <v>100</v>
      </c>
      <c r="C90" s="4">
        <v>240</v>
      </c>
      <c r="D90" s="4">
        <v>50</v>
      </c>
      <c r="E90" s="4">
        <v>17641</v>
      </c>
      <c r="H90">
        <f t="shared" si="4"/>
        <v>2940.1666666666665</v>
      </c>
      <c r="I90">
        <f>VLOOKUP('Files compared backup'!$A90,'Files top1'!$A$2:$F$999,5,FALSE)</f>
        <v>1.9316899999999999</v>
      </c>
      <c r="J90">
        <f t="shared" si="5"/>
        <v>6.5700017005838668E-4</v>
      </c>
      <c r="K90">
        <f t="shared" si="6"/>
        <v>3.2850008502919334E-3</v>
      </c>
      <c r="L90">
        <f t="shared" si="7"/>
        <v>1.3140003401167734E-2</v>
      </c>
      <c r="M90">
        <f>VLOOKUP('Files compared backup'!$A90,'Files top1'!$A$2:$F$999,2,FALSE)</f>
        <v>0.54</v>
      </c>
      <c r="N90">
        <f>VLOOKUP('Files compared backup'!$A90,'Files top1'!$A$2:$F$999,4,FALSE)</f>
        <v>0.505</v>
      </c>
      <c r="O90">
        <f>VLOOKUP('Files compared backup'!$A90,'Files top1'!$A$2:$F$999,3,FALSE)</f>
        <v>1</v>
      </c>
    </row>
    <row r="91" spans="1:15" ht="13.2" customHeight="1" x14ac:dyDescent="0.3">
      <c r="A91" s="4" t="s">
        <v>933</v>
      </c>
      <c r="B91" s="4">
        <v>100</v>
      </c>
      <c r="C91" s="4">
        <v>240</v>
      </c>
      <c r="D91" s="4">
        <v>50</v>
      </c>
      <c r="E91" s="4">
        <v>17641</v>
      </c>
      <c r="H91">
        <f t="shared" si="4"/>
        <v>2940.1666666666665</v>
      </c>
      <c r="I91">
        <f>VLOOKUP('Files compared backup'!$A91,'Files top1'!$A$2:$F$999,5,FALSE)</f>
        <v>1.8327199999999999</v>
      </c>
      <c r="J91">
        <f t="shared" si="5"/>
        <v>6.2333881299246076E-4</v>
      </c>
      <c r="K91">
        <f t="shared" si="6"/>
        <v>3.1166940649623039E-3</v>
      </c>
      <c r="L91">
        <f t="shared" si="7"/>
        <v>1.2466776259849216E-2</v>
      </c>
      <c r="M91">
        <f>VLOOKUP('Files compared backup'!$A91,'Files top1'!$A$2:$F$999,2,FALSE)</f>
        <v>0.54</v>
      </c>
      <c r="N91">
        <f>VLOOKUP('Files compared backup'!$A91,'Files top1'!$A$2:$F$999,4,FALSE)</f>
        <v>0.5</v>
      </c>
      <c r="O91">
        <f>VLOOKUP('Files compared backup'!$A91,'Files top1'!$A$2:$F$999,3,FALSE)</f>
        <v>1</v>
      </c>
    </row>
    <row r="92" spans="1:15" ht="13.2" customHeight="1" x14ac:dyDescent="0.3">
      <c r="A92" s="4" t="s">
        <v>1003</v>
      </c>
      <c r="B92" s="4">
        <v>100</v>
      </c>
      <c r="C92" s="4">
        <v>60</v>
      </c>
      <c r="D92" s="4">
        <v>100</v>
      </c>
      <c r="E92" s="4">
        <v>9901</v>
      </c>
      <c r="H92">
        <f t="shared" si="4"/>
        <v>412.54166666666669</v>
      </c>
      <c r="I92">
        <f>VLOOKUP('Files compared backup'!$A92,'Files top1'!$A$2:$F$999,5,FALSE)</f>
        <v>0.19802</v>
      </c>
      <c r="J92">
        <f t="shared" si="5"/>
        <v>4.7999999999999996E-4</v>
      </c>
      <c r="K92">
        <f t="shared" si="6"/>
        <v>2.3999999999999998E-3</v>
      </c>
      <c r="L92">
        <f t="shared" si="7"/>
        <v>9.5999999999999992E-3</v>
      </c>
      <c r="M92">
        <f>VLOOKUP('Files compared backup'!$A92,'Files top1'!$A$2:$F$999,2,FALSE)</f>
        <v>0.54</v>
      </c>
      <c r="N92">
        <f>VLOOKUP('Files compared backup'!$A92,'Files top1'!$A$2:$F$999,4,FALSE)</f>
        <v>0.52</v>
      </c>
      <c r="O92">
        <f>VLOOKUP('Files compared backup'!$A92,'Files top1'!$A$2:$F$999,3,FALSE)</f>
        <v>1</v>
      </c>
    </row>
    <row r="93" spans="1:15" ht="13.2" customHeight="1" x14ac:dyDescent="0.3">
      <c r="A93" s="4" t="s">
        <v>1002</v>
      </c>
      <c r="B93" s="4">
        <v>100</v>
      </c>
      <c r="C93" s="4">
        <v>60</v>
      </c>
      <c r="D93" s="4">
        <v>100</v>
      </c>
      <c r="E93" s="4">
        <v>9901</v>
      </c>
      <c r="H93">
        <f t="shared" si="4"/>
        <v>412.54166666666669</v>
      </c>
      <c r="I93">
        <f>VLOOKUP('Files compared backup'!$A93,'Files top1'!$A$2:$F$999,5,FALSE)</f>
        <v>0.29583999999999999</v>
      </c>
      <c r="J93">
        <f t="shared" si="5"/>
        <v>7.1711544288455709E-4</v>
      </c>
      <c r="K93">
        <f t="shared" si="6"/>
        <v>3.5855772144227855E-3</v>
      </c>
      <c r="L93">
        <f t="shared" si="7"/>
        <v>1.4342308857691142E-2</v>
      </c>
      <c r="M93">
        <f>VLOOKUP('Files compared backup'!$A93,'Files top1'!$A$2:$F$999,2,FALSE)</f>
        <v>0.54</v>
      </c>
      <c r="N93">
        <f>VLOOKUP('Files compared backup'!$A93,'Files top1'!$A$2:$F$999,4,FALSE)</f>
        <v>0.51</v>
      </c>
      <c r="O93">
        <f>VLOOKUP('Files compared backup'!$A93,'Files top1'!$A$2:$F$999,3,FALSE)</f>
        <v>1</v>
      </c>
    </row>
    <row r="94" spans="1:15" ht="13.2" customHeight="1" x14ac:dyDescent="0.3">
      <c r="A94" s="4" t="s">
        <v>999</v>
      </c>
      <c r="B94" s="4">
        <v>100</v>
      </c>
      <c r="C94" s="4">
        <v>240</v>
      </c>
      <c r="D94" s="4">
        <v>100</v>
      </c>
      <c r="E94" s="4">
        <v>9900</v>
      </c>
      <c r="H94">
        <f t="shared" si="4"/>
        <v>1650</v>
      </c>
      <c r="I94">
        <f>VLOOKUP('Files compared backup'!$A94,'Files top1'!$A$2:$F$999,5,FALSE)</f>
        <v>0.10050000000000001</v>
      </c>
      <c r="J94">
        <f t="shared" si="5"/>
        <v>6.0909090909090913E-5</v>
      </c>
      <c r="K94">
        <f t="shared" si="6"/>
        <v>3.0454545454545459E-4</v>
      </c>
      <c r="L94">
        <f t="shared" si="7"/>
        <v>1.2181818181818183E-3</v>
      </c>
      <c r="M94">
        <f>VLOOKUP('Files compared backup'!$A94,'Files top1'!$A$2:$F$999,2,FALSE)</f>
        <v>0.55000000000000004</v>
      </c>
      <c r="N94">
        <f>VLOOKUP('Files compared backup'!$A94,'Files top1'!$A$2:$F$999,4,FALSE)</f>
        <v>0.52</v>
      </c>
      <c r="O94">
        <f>VLOOKUP('Files compared backup'!$A94,'Files top1'!$A$2:$F$999,3,FALSE)</f>
        <v>1</v>
      </c>
    </row>
    <row r="95" spans="1:15" ht="13.2" customHeight="1" x14ac:dyDescent="0.3">
      <c r="A95" s="4" t="s">
        <v>1001</v>
      </c>
      <c r="B95" s="4">
        <v>100</v>
      </c>
      <c r="C95" s="4">
        <v>240</v>
      </c>
      <c r="D95" s="4">
        <v>100</v>
      </c>
      <c r="E95" s="4">
        <v>14900</v>
      </c>
      <c r="H95">
        <f t="shared" si="4"/>
        <v>2483.3333333333335</v>
      </c>
      <c r="I95">
        <f>VLOOKUP('Files compared backup'!$A95,'Files top1'!$A$2:$F$999,5,FALSE)</f>
        <v>20.431999999999999</v>
      </c>
      <c r="J95">
        <f t="shared" si="5"/>
        <v>8.2276510067114082E-3</v>
      </c>
      <c r="K95">
        <f t="shared" si="6"/>
        <v>4.1138255033557045E-2</v>
      </c>
      <c r="L95">
        <f t="shared" si="7"/>
        <v>0.16455302013422818</v>
      </c>
      <c r="M95">
        <f>VLOOKUP('Files compared backup'!$A95,'Files top1'!$A$2:$F$999,2,FALSE)</f>
        <v>0.55000000000000004</v>
      </c>
      <c r="N95">
        <f>VLOOKUP('Files compared backup'!$A95,'Files top1'!$A$2:$F$999,4,FALSE)</f>
        <v>0.51</v>
      </c>
      <c r="O95">
        <f>VLOOKUP('Files compared backup'!$A95,'Files top1'!$A$2:$F$999,3,FALSE)</f>
        <v>1</v>
      </c>
    </row>
    <row r="96" spans="1:15" ht="13.2" customHeight="1" x14ac:dyDescent="0.3">
      <c r="A96" s="4" t="s">
        <v>1000</v>
      </c>
      <c r="B96" s="4">
        <v>100</v>
      </c>
      <c r="C96" s="4">
        <v>240</v>
      </c>
      <c r="D96" s="4">
        <v>100</v>
      </c>
      <c r="E96" s="4">
        <v>14900</v>
      </c>
      <c r="H96">
        <f t="shared" si="4"/>
        <v>2483.3333333333335</v>
      </c>
      <c r="I96">
        <f>VLOOKUP('Files compared backup'!$A96,'Files top1'!$A$2:$F$999,5,FALSE)</f>
        <v>19.085000000000001</v>
      </c>
      <c r="J96">
        <f t="shared" si="5"/>
        <v>7.6852348993288588E-3</v>
      </c>
      <c r="K96">
        <f t="shared" si="6"/>
        <v>3.8426174496644296E-2</v>
      </c>
      <c r="L96">
        <f t="shared" si="7"/>
        <v>0.15370469798657718</v>
      </c>
      <c r="M96">
        <f>VLOOKUP('Files compared backup'!$A96,'Files top1'!$A$2:$F$999,2,FALSE)</f>
        <v>0.55000000000000004</v>
      </c>
      <c r="N96">
        <f>VLOOKUP('Files compared backup'!$A96,'Files top1'!$A$2:$F$999,4,FALSE)</f>
        <v>0.51</v>
      </c>
      <c r="O96">
        <f>VLOOKUP('Files compared backup'!$A96,'Files top1'!$A$2:$F$999,3,FALSE)</f>
        <v>1</v>
      </c>
    </row>
    <row r="97" spans="1:15" ht="13.2" customHeight="1" x14ac:dyDescent="0.3">
      <c r="A97" s="4" t="s">
        <v>998</v>
      </c>
      <c r="B97" s="4">
        <v>100</v>
      </c>
      <c r="C97" s="4">
        <v>240</v>
      </c>
      <c r="D97" s="4">
        <v>100</v>
      </c>
      <c r="E97" s="4">
        <v>9900</v>
      </c>
      <c r="H97">
        <f t="shared" si="4"/>
        <v>1650</v>
      </c>
      <c r="I97">
        <f>VLOOKUP('Files compared backup'!$A97,'Files top1'!$A$2:$F$999,5,FALSE)</f>
        <v>5.5570000000000001E-2</v>
      </c>
      <c r="J97">
        <f t="shared" si="5"/>
        <v>3.3678787878787878E-5</v>
      </c>
      <c r="K97">
        <f t="shared" si="6"/>
        <v>1.683939393939394E-4</v>
      </c>
      <c r="L97">
        <f t="shared" si="7"/>
        <v>6.7357575757575759E-4</v>
      </c>
      <c r="M97">
        <f>VLOOKUP('Files compared backup'!$A97,'Files top1'!$A$2:$F$999,2,FALSE)</f>
        <v>0.64</v>
      </c>
      <c r="N97">
        <f>VLOOKUP('Files compared backup'!$A97,'Files top1'!$A$2:$F$999,4,FALSE)</f>
        <v>0.51500000000000001</v>
      </c>
      <c r="O97">
        <f>VLOOKUP('Files compared backup'!$A97,'Files top1'!$A$2:$F$999,3,FALSE)</f>
        <v>1</v>
      </c>
    </row>
    <row r="98" spans="1:15" ht="13.2" customHeight="1" x14ac:dyDescent="0.3">
      <c r="A98" s="4" t="s">
        <v>942</v>
      </c>
      <c r="B98" s="4">
        <v>100</v>
      </c>
      <c r="C98" s="4">
        <v>240</v>
      </c>
      <c r="D98" s="4">
        <v>100</v>
      </c>
      <c r="E98" s="4">
        <v>17641</v>
      </c>
      <c r="H98">
        <f t="shared" si="4"/>
        <v>2940.1666666666665</v>
      </c>
      <c r="I98">
        <f>VLOOKUP('Files compared backup'!$A98,'Files top1'!$A$2:$F$999,5,FALSE)</f>
        <v>1.4993099999999999</v>
      </c>
      <c r="J98">
        <f t="shared" si="5"/>
        <v>5.0994047956465054E-4</v>
      </c>
      <c r="K98">
        <f t="shared" si="6"/>
        <v>2.5497023978232527E-3</v>
      </c>
      <c r="L98">
        <f t="shared" si="7"/>
        <v>1.0198809591293011E-2</v>
      </c>
      <c r="M98">
        <f>VLOOKUP('Files compared backup'!$A98,'Files top1'!$A$2:$F$999,2,FALSE)</f>
        <v>0.54</v>
      </c>
      <c r="N98">
        <f>VLOOKUP('Files compared backup'!$A98,'Files top1'!$A$2:$F$999,4,FALSE)</f>
        <v>0.5</v>
      </c>
      <c r="O98">
        <f>VLOOKUP('Files compared backup'!$A98,'Files top1'!$A$2:$F$999,3,FALSE)</f>
        <v>2</v>
      </c>
    </row>
    <row r="99" spans="1:15" ht="13.2" customHeight="1" x14ac:dyDescent="0.3">
      <c r="A99" s="4" t="s">
        <v>935</v>
      </c>
      <c r="B99" s="4">
        <v>100</v>
      </c>
      <c r="C99" s="4">
        <v>240</v>
      </c>
      <c r="D99" s="4">
        <v>10</v>
      </c>
      <c r="E99" s="4">
        <v>17641</v>
      </c>
      <c r="H99">
        <f t="shared" si="4"/>
        <v>2940.1666666666665</v>
      </c>
      <c r="I99">
        <f>VLOOKUP('Files compared backup'!$A99,'Files top1'!$A$2:$F$999,5,FALSE)</f>
        <v>1.6931799999999999</v>
      </c>
      <c r="J99">
        <f t="shared" si="5"/>
        <v>5.7587891842866053E-4</v>
      </c>
      <c r="K99">
        <f t="shared" si="6"/>
        <v>2.8793945921433027E-3</v>
      </c>
      <c r="L99">
        <f t="shared" si="7"/>
        <v>1.1517578368573211E-2</v>
      </c>
      <c r="M99">
        <f>VLOOKUP('Files compared backup'!$A99,'Files top1'!$A$2:$F$999,2,FALSE)</f>
        <v>0.56000000000000005</v>
      </c>
      <c r="N99">
        <f>VLOOKUP('Files compared backup'!$A99,'Files top1'!$A$2:$F$999,4,FALSE)</f>
        <v>0.51500000000000001</v>
      </c>
      <c r="O99">
        <f>VLOOKUP('Files compared backup'!$A99,'Files top1'!$A$2:$F$999,3,FALSE)</f>
        <v>4</v>
      </c>
    </row>
    <row r="100" spans="1:15" ht="13.2" customHeight="1" x14ac:dyDescent="0.3">
      <c r="A100" s="4" t="s">
        <v>934</v>
      </c>
      <c r="B100" s="4">
        <v>100</v>
      </c>
      <c r="C100" s="4">
        <v>240</v>
      </c>
      <c r="D100" s="4">
        <v>100</v>
      </c>
      <c r="E100" s="4">
        <v>17641</v>
      </c>
      <c r="H100">
        <f t="shared" si="4"/>
        <v>2940.1666666666665</v>
      </c>
      <c r="I100">
        <f>VLOOKUP('Files compared backup'!$A100,'Files top1'!$A$2:$F$999,5,FALSE)</f>
        <v>1.7107000000000001</v>
      </c>
      <c r="J100">
        <f t="shared" si="5"/>
        <v>5.8183776429907605E-4</v>
      </c>
      <c r="K100">
        <f t="shared" si="6"/>
        <v>2.9091888214953805E-3</v>
      </c>
      <c r="L100">
        <f t="shared" si="7"/>
        <v>1.1636755285981522E-2</v>
      </c>
      <c r="M100">
        <f>VLOOKUP('Files compared backup'!$A100,'Files top1'!$A$2:$F$999,2,FALSE)</f>
        <v>0.54</v>
      </c>
      <c r="N100">
        <f>VLOOKUP('Files compared backup'!$A100,'Files top1'!$A$2:$F$999,4,FALSE)</f>
        <v>0.505</v>
      </c>
      <c r="O100">
        <f>VLOOKUP('Files compared backup'!$A100,'Files top1'!$A$2:$F$999,3,FALSE)</f>
        <v>1</v>
      </c>
    </row>
    <row r="101" spans="1:15" ht="13.2" customHeight="1" x14ac:dyDescent="0.3">
      <c r="A101" s="4" t="s">
        <v>939</v>
      </c>
      <c r="B101" s="4">
        <v>100</v>
      </c>
      <c r="C101" s="4">
        <v>240</v>
      </c>
      <c r="D101" s="4">
        <v>10</v>
      </c>
      <c r="E101" s="4">
        <v>17641</v>
      </c>
      <c r="H101">
        <f t="shared" si="4"/>
        <v>2940.1666666666665</v>
      </c>
      <c r="I101">
        <f>VLOOKUP('Files compared backup'!$A101,'Files top1'!$A$2:$F$999,5,FALSE)</f>
        <v>2.0441199999999999</v>
      </c>
      <c r="J101">
        <f t="shared" si="5"/>
        <v>6.9523949889462055E-4</v>
      </c>
      <c r="K101">
        <f t="shared" si="6"/>
        <v>3.4761974944731025E-3</v>
      </c>
      <c r="L101">
        <f t="shared" si="7"/>
        <v>1.390478997789241E-2</v>
      </c>
      <c r="M101">
        <f>VLOOKUP('Files compared backup'!$A101,'Files top1'!$A$2:$F$999,2,FALSE)</f>
        <v>0.54</v>
      </c>
      <c r="N101">
        <f>VLOOKUP('Files compared backup'!$A101,'Files top1'!$A$2:$F$999,4,FALSE)</f>
        <v>0.51</v>
      </c>
      <c r="O101">
        <f>VLOOKUP('Files compared backup'!$A101,'Files top1'!$A$2:$F$999,3,FALSE)</f>
        <v>1</v>
      </c>
    </row>
    <row r="102" spans="1:15" ht="13.2" customHeight="1" x14ac:dyDescent="0.3">
      <c r="A102" s="4" t="s">
        <v>941</v>
      </c>
      <c r="B102" s="4">
        <v>100</v>
      </c>
      <c r="C102" s="4">
        <v>240</v>
      </c>
      <c r="D102" s="4">
        <v>50</v>
      </c>
      <c r="E102" s="4">
        <v>17641</v>
      </c>
      <c r="H102">
        <f t="shared" si="4"/>
        <v>2940.1666666666665</v>
      </c>
      <c r="I102">
        <f>VLOOKUP('Files compared backup'!$A102,'Files top1'!$A$2:$F$999,5,FALSE)</f>
        <v>1.79593</v>
      </c>
      <c r="J102">
        <f t="shared" si="5"/>
        <v>6.1082591689813506E-4</v>
      </c>
      <c r="K102">
        <f t="shared" si="6"/>
        <v>3.0541295844906755E-3</v>
      </c>
      <c r="L102">
        <f t="shared" si="7"/>
        <v>1.2216518337962702E-2</v>
      </c>
      <c r="M102">
        <f>VLOOKUP('Files compared backup'!$A102,'Files top1'!$A$2:$F$999,2,FALSE)</f>
        <v>0.54</v>
      </c>
      <c r="N102">
        <f>VLOOKUP('Files compared backup'!$A102,'Files top1'!$A$2:$F$999,4,FALSE)</f>
        <v>0.51500000000000001</v>
      </c>
      <c r="O102">
        <f>VLOOKUP('Files compared backup'!$A102,'Files top1'!$A$2:$F$999,3,FALSE)</f>
        <v>1</v>
      </c>
    </row>
    <row r="103" spans="1:15" ht="13.2" customHeight="1" x14ac:dyDescent="0.3">
      <c r="A103" s="4" t="s">
        <v>944</v>
      </c>
      <c r="B103" s="4">
        <v>9</v>
      </c>
      <c r="C103" s="4">
        <v>240</v>
      </c>
      <c r="D103" s="4">
        <v>10</v>
      </c>
      <c r="E103" s="4">
        <v>17641</v>
      </c>
      <c r="H103">
        <f t="shared" si="4"/>
        <v>2940.1666666666665</v>
      </c>
      <c r="I103">
        <f>VLOOKUP('Files compared backup'!$A103,'Files top1'!$A$2:$F$999,5,FALSE)</f>
        <v>1.5390999999999999</v>
      </c>
      <c r="J103">
        <f t="shared" si="5"/>
        <v>5.2347372597925284E-4</v>
      </c>
      <c r="K103">
        <f t="shared" si="6"/>
        <v>2.6173686298962642E-3</v>
      </c>
      <c r="L103">
        <f t="shared" si="7"/>
        <v>1.0469474519585057E-2</v>
      </c>
      <c r="M103">
        <f>VLOOKUP('Files compared backup'!$A103,'Files top1'!$A$2:$F$999,2,FALSE)</f>
        <v>0.56000000000000005</v>
      </c>
      <c r="N103">
        <f>VLOOKUP('Files compared backup'!$A103,'Files top1'!$A$2:$F$999,4,FALSE)</f>
        <v>0.51</v>
      </c>
      <c r="O103">
        <f>VLOOKUP('Files compared backup'!$A103,'Files top1'!$A$2:$F$999,3,FALSE)</f>
        <v>1</v>
      </c>
    </row>
    <row r="104" spans="1:15" ht="13.2" customHeight="1" x14ac:dyDescent="0.3">
      <c r="A104" s="4" t="s">
        <v>938</v>
      </c>
      <c r="B104" s="4">
        <v>100</v>
      </c>
      <c r="C104" s="4">
        <v>240</v>
      </c>
      <c r="D104" s="4">
        <v>100</v>
      </c>
      <c r="E104" s="4">
        <v>17641</v>
      </c>
      <c r="H104">
        <f t="shared" si="4"/>
        <v>2940.1666666666665</v>
      </c>
      <c r="I104">
        <f>VLOOKUP('Files compared backup'!$A104,'Files top1'!$A$2:$F$999,5,FALSE)</f>
        <v>1.6034200000000001</v>
      </c>
      <c r="J104">
        <f t="shared" si="5"/>
        <v>5.4535003684598384E-4</v>
      </c>
      <c r="K104">
        <f t="shared" si="6"/>
        <v>2.7267501842299191E-3</v>
      </c>
      <c r="L104">
        <f t="shared" si="7"/>
        <v>1.0907000736919676E-2</v>
      </c>
      <c r="M104">
        <f>VLOOKUP('Files compared backup'!$A104,'Files top1'!$A$2:$F$999,2,FALSE)</f>
        <v>0.55000000000000004</v>
      </c>
      <c r="N104">
        <f>VLOOKUP('Files compared backup'!$A104,'Files top1'!$A$2:$F$999,4,FALSE)</f>
        <v>0.52</v>
      </c>
      <c r="O104">
        <f>VLOOKUP('Files compared backup'!$A104,'Files top1'!$A$2:$F$999,3,FALSE)</f>
        <v>1</v>
      </c>
    </row>
    <row r="105" spans="1:15" ht="13.2" customHeight="1" x14ac:dyDescent="0.3">
      <c r="A105" s="4" t="s">
        <v>936</v>
      </c>
      <c r="B105" s="4">
        <v>100</v>
      </c>
      <c r="C105" s="4">
        <v>240</v>
      </c>
      <c r="D105" s="4">
        <v>25</v>
      </c>
      <c r="E105" s="4">
        <v>17641</v>
      </c>
      <c r="H105">
        <f t="shared" si="4"/>
        <v>2940.1666666666665</v>
      </c>
      <c r="I105">
        <f>VLOOKUP('Files compared backup'!$A105,'Files top1'!$A$2:$F$999,5,FALSE)</f>
        <v>2.0428600000000001</v>
      </c>
      <c r="J105">
        <f t="shared" si="5"/>
        <v>6.9481095176010435E-4</v>
      </c>
      <c r="K105">
        <f t="shared" si="6"/>
        <v>3.4740547588005218E-3</v>
      </c>
      <c r="L105">
        <f t="shared" si="7"/>
        <v>1.3896219035202087E-2</v>
      </c>
      <c r="M105">
        <f>VLOOKUP('Files compared backup'!$A105,'Files top1'!$A$2:$F$999,2,FALSE)</f>
        <v>0.54</v>
      </c>
      <c r="N105">
        <f>VLOOKUP('Files compared backup'!$A105,'Files top1'!$A$2:$F$999,4,FALSE)</f>
        <v>0.5</v>
      </c>
      <c r="O105">
        <f>VLOOKUP('Files compared backup'!$A105,'Files top1'!$A$2:$F$999,3,FALSE)</f>
        <v>1</v>
      </c>
    </row>
    <row r="106" spans="1:15" ht="13.2" customHeight="1" x14ac:dyDescent="0.3">
      <c r="A106" s="4" t="s">
        <v>940</v>
      </c>
      <c r="B106" s="4">
        <v>100</v>
      </c>
      <c r="C106" s="4">
        <v>240</v>
      </c>
      <c r="D106" s="4">
        <v>25</v>
      </c>
      <c r="E106" s="4">
        <v>17641</v>
      </c>
      <c r="H106">
        <f t="shared" si="4"/>
        <v>2940.1666666666665</v>
      </c>
      <c r="I106">
        <f>VLOOKUP('Files compared backup'!$A106,'Files top1'!$A$2:$F$999,5,FALSE)</f>
        <v>1.63954</v>
      </c>
      <c r="J106">
        <f t="shared" si="5"/>
        <v>5.5763505470211438E-4</v>
      </c>
      <c r="K106">
        <f t="shared" si="6"/>
        <v>2.7881752735105718E-3</v>
      </c>
      <c r="L106">
        <f t="shared" si="7"/>
        <v>1.1152701094042287E-2</v>
      </c>
      <c r="M106">
        <f>VLOOKUP('Files compared backup'!$A106,'Files top1'!$A$2:$F$999,2,FALSE)</f>
        <v>0.54</v>
      </c>
      <c r="N106">
        <f>VLOOKUP('Files compared backup'!$A106,'Files top1'!$A$2:$F$999,4,FALSE)</f>
        <v>0.52</v>
      </c>
      <c r="O106">
        <f>VLOOKUP('Files compared backup'!$A106,'Files top1'!$A$2:$F$999,3,FALSE)</f>
        <v>1</v>
      </c>
    </row>
    <row r="107" spans="1:15" ht="13.2" customHeight="1" x14ac:dyDescent="0.3">
      <c r="A107" s="4" t="s">
        <v>937</v>
      </c>
      <c r="B107" s="4">
        <v>100</v>
      </c>
      <c r="C107" s="4">
        <v>240</v>
      </c>
      <c r="D107" s="4">
        <v>50</v>
      </c>
      <c r="E107" s="4">
        <v>17641</v>
      </c>
      <c r="H107">
        <f t="shared" si="4"/>
        <v>2940.1666666666665</v>
      </c>
      <c r="I107">
        <f>VLOOKUP('Files compared backup'!$A107,'Files top1'!$A$2:$F$999,5,FALSE)</f>
        <v>1.86127</v>
      </c>
      <c r="J107">
        <f t="shared" si="5"/>
        <v>6.3304914687376001E-4</v>
      </c>
      <c r="K107">
        <f t="shared" si="6"/>
        <v>3.1652457343687998E-3</v>
      </c>
      <c r="L107">
        <f t="shared" si="7"/>
        <v>1.2660982937475199E-2</v>
      </c>
      <c r="M107">
        <f>VLOOKUP('Files compared backup'!$A107,'Files top1'!$A$2:$F$999,2,FALSE)</f>
        <v>0.54</v>
      </c>
      <c r="N107">
        <f>VLOOKUP('Files compared backup'!$A107,'Files top1'!$A$2:$F$999,4,FALSE)</f>
        <v>0.52</v>
      </c>
      <c r="O107">
        <f>VLOOKUP('Files compared backup'!$A107,'Files top1'!$A$2:$F$999,3,FALSE)</f>
        <v>1</v>
      </c>
    </row>
    <row r="108" spans="1:15" ht="13.2" customHeight="1" x14ac:dyDescent="0.3">
      <c r="A108" s="4" t="s">
        <v>946</v>
      </c>
      <c r="B108" s="4">
        <v>9</v>
      </c>
      <c r="C108" s="4">
        <v>240</v>
      </c>
      <c r="D108" s="4">
        <v>50</v>
      </c>
      <c r="E108" s="4">
        <v>17641</v>
      </c>
      <c r="H108">
        <f t="shared" si="4"/>
        <v>2940.1666666666665</v>
      </c>
      <c r="I108">
        <f>VLOOKUP('Files compared backup'!$A108,'Files top1'!$A$2:$F$999,5,FALSE)</f>
        <v>1.6383399999999999</v>
      </c>
      <c r="J108">
        <f t="shared" si="5"/>
        <v>5.5722691457400374E-4</v>
      </c>
      <c r="K108">
        <f t="shared" si="6"/>
        <v>2.7861345728700188E-3</v>
      </c>
      <c r="L108">
        <f t="shared" si="7"/>
        <v>1.1144538291480075E-2</v>
      </c>
      <c r="M108">
        <f>VLOOKUP('Files compared backup'!$A108,'Files top1'!$A$2:$F$999,2,FALSE)</f>
        <v>0.54</v>
      </c>
      <c r="N108">
        <f>VLOOKUP('Files compared backup'!$A108,'Files top1'!$A$2:$F$999,4,FALSE)</f>
        <v>0.5</v>
      </c>
      <c r="O108">
        <f>VLOOKUP('Files compared backup'!$A108,'Files top1'!$A$2:$F$999,3,FALSE)</f>
        <v>1</v>
      </c>
    </row>
    <row r="109" spans="1:15" ht="13.2" customHeight="1" x14ac:dyDescent="0.3">
      <c r="A109" s="4" t="s">
        <v>947</v>
      </c>
      <c r="B109" s="4">
        <v>9</v>
      </c>
      <c r="C109" s="4">
        <v>240</v>
      </c>
      <c r="D109" s="4">
        <v>100</v>
      </c>
      <c r="E109" s="4">
        <v>17641</v>
      </c>
      <c r="H109">
        <f t="shared" si="4"/>
        <v>2940.1666666666665</v>
      </c>
      <c r="I109">
        <f>VLOOKUP('Files compared backup'!$A109,'Files top1'!$A$2:$F$999,5,FALSE)</f>
        <v>1.0434099999999999</v>
      </c>
      <c r="J109">
        <f t="shared" si="5"/>
        <v>3.5488124255994558E-4</v>
      </c>
      <c r="K109">
        <f t="shared" si="6"/>
        <v>1.774406212799728E-3</v>
      </c>
      <c r="L109">
        <f t="shared" si="7"/>
        <v>7.097624851198912E-3</v>
      </c>
      <c r="M109">
        <f>VLOOKUP('Files compared backup'!$A109,'Files top1'!$A$2:$F$999,2,FALSE)</f>
        <v>0.54</v>
      </c>
      <c r="N109">
        <f>VLOOKUP('Files compared backup'!$A109,'Files top1'!$A$2:$F$999,4,FALSE)</f>
        <v>0.51</v>
      </c>
      <c r="O109">
        <f>VLOOKUP('Files compared backup'!$A109,'Files top1'!$A$2:$F$999,3,FALSE)</f>
        <v>1</v>
      </c>
    </row>
    <row r="110" spans="1:15" ht="13.2" customHeight="1" x14ac:dyDescent="0.3">
      <c r="A110" s="4" t="s">
        <v>952</v>
      </c>
      <c r="B110" s="4">
        <v>9</v>
      </c>
      <c r="C110" s="4">
        <v>240</v>
      </c>
      <c r="D110" s="4">
        <v>10</v>
      </c>
      <c r="E110" s="4">
        <v>17641</v>
      </c>
      <c r="H110">
        <f t="shared" si="4"/>
        <v>2940.1666666666665</v>
      </c>
      <c r="I110">
        <f>VLOOKUP('Files compared backup'!$A110,'Files top1'!$A$2:$F$999,5,FALSE)</f>
        <v>1.5437099999999999</v>
      </c>
      <c r="J110">
        <f t="shared" si="5"/>
        <v>5.2504166430474464E-4</v>
      </c>
      <c r="K110">
        <f t="shared" si="6"/>
        <v>2.625208321523723E-3</v>
      </c>
      <c r="L110">
        <f t="shared" si="7"/>
        <v>1.0500833286094892E-2</v>
      </c>
      <c r="M110">
        <f>VLOOKUP('Files compared backup'!$A110,'Files top1'!$A$2:$F$999,2,FALSE)</f>
        <v>0.54</v>
      </c>
      <c r="N110">
        <f>VLOOKUP('Files compared backup'!$A110,'Files top1'!$A$2:$F$999,4,FALSE)</f>
        <v>0.51500000000000001</v>
      </c>
      <c r="O110">
        <f>VLOOKUP('Files compared backup'!$A110,'Files top1'!$A$2:$F$999,3,FALSE)</f>
        <v>1</v>
      </c>
    </row>
    <row r="111" spans="1:15" ht="13.2" customHeight="1" x14ac:dyDescent="0.3">
      <c r="A111" s="4" t="s">
        <v>949</v>
      </c>
      <c r="B111" s="4">
        <v>9</v>
      </c>
      <c r="C111" s="4">
        <v>240</v>
      </c>
      <c r="D111" s="4">
        <v>25</v>
      </c>
      <c r="E111" s="4">
        <v>17641</v>
      </c>
      <c r="H111">
        <f t="shared" si="4"/>
        <v>2940.1666666666665</v>
      </c>
      <c r="I111">
        <f>VLOOKUP('Files compared backup'!$A111,'Files top1'!$A$2:$F$999,5,FALSE)</f>
        <v>1.24501</v>
      </c>
      <c r="J111">
        <f t="shared" si="5"/>
        <v>4.23448784082535E-4</v>
      </c>
      <c r="K111">
        <f t="shared" si="6"/>
        <v>2.1172439204126749E-3</v>
      </c>
      <c r="L111">
        <f t="shared" si="7"/>
        <v>8.4689756816506995E-3</v>
      </c>
      <c r="M111">
        <f>VLOOKUP('Files compared backup'!$A111,'Files top1'!$A$2:$F$999,2,FALSE)</f>
        <v>0.54</v>
      </c>
      <c r="N111">
        <f>VLOOKUP('Files compared backup'!$A111,'Files top1'!$A$2:$F$999,4,FALSE)</f>
        <v>0.51</v>
      </c>
      <c r="O111">
        <f>VLOOKUP('Files compared backup'!$A111,'Files top1'!$A$2:$F$999,3,FALSE)</f>
        <v>1</v>
      </c>
    </row>
    <row r="112" spans="1:15" ht="13.2" customHeight="1" x14ac:dyDescent="0.3">
      <c r="A112" s="4" t="s">
        <v>951</v>
      </c>
      <c r="B112" s="4">
        <v>9</v>
      </c>
      <c r="C112" s="4">
        <v>240</v>
      </c>
      <c r="D112" s="4">
        <v>100</v>
      </c>
      <c r="E112" s="4">
        <v>17641</v>
      </c>
      <c r="H112">
        <f t="shared" si="4"/>
        <v>2940.1666666666665</v>
      </c>
      <c r="I112">
        <f>VLOOKUP('Files compared backup'!$A112,'Files top1'!$A$2:$F$999,5,FALSE)</f>
        <v>1.1453800000000001</v>
      </c>
      <c r="J112">
        <f t="shared" si="5"/>
        <v>3.895629499461482E-4</v>
      </c>
      <c r="K112">
        <f t="shared" si="6"/>
        <v>1.947814749730741E-3</v>
      </c>
      <c r="L112">
        <f t="shared" si="7"/>
        <v>7.791258998922964E-3</v>
      </c>
      <c r="M112">
        <f>VLOOKUP('Files compared backup'!$A112,'Files top1'!$A$2:$F$999,2,FALSE)</f>
        <v>0.54</v>
      </c>
      <c r="N112">
        <f>VLOOKUP('Files compared backup'!$A112,'Files top1'!$A$2:$F$999,4,FALSE)</f>
        <v>0.505</v>
      </c>
      <c r="O112">
        <f>VLOOKUP('Files compared backup'!$A112,'Files top1'!$A$2:$F$999,3,FALSE)</f>
        <v>1</v>
      </c>
    </row>
    <row r="113" spans="1:15" ht="13.2" customHeight="1" x14ac:dyDescent="0.3">
      <c r="A113" s="4" t="s">
        <v>950</v>
      </c>
      <c r="B113" s="4">
        <v>9</v>
      </c>
      <c r="C113" s="4">
        <v>240</v>
      </c>
      <c r="D113" s="4">
        <v>50</v>
      </c>
      <c r="E113" s="4">
        <v>17641</v>
      </c>
      <c r="H113">
        <f t="shared" si="4"/>
        <v>2940.1666666666665</v>
      </c>
      <c r="I113">
        <f>VLOOKUP('Files compared backup'!$A113,'Files top1'!$A$2:$F$999,5,FALSE)</f>
        <v>1.4869000000000001</v>
      </c>
      <c r="J113">
        <f t="shared" si="5"/>
        <v>5.0571963040643958E-4</v>
      </c>
      <c r="K113">
        <f t="shared" si="6"/>
        <v>2.528598152032198E-3</v>
      </c>
      <c r="L113">
        <f t="shared" si="7"/>
        <v>1.0114392608128792E-2</v>
      </c>
      <c r="M113">
        <f>VLOOKUP('Files compared backup'!$A113,'Files top1'!$A$2:$F$999,2,FALSE)</f>
        <v>0.54</v>
      </c>
      <c r="N113">
        <f>VLOOKUP('Files compared backup'!$A113,'Files top1'!$A$2:$F$999,4,FALSE)</f>
        <v>0.5</v>
      </c>
      <c r="O113">
        <f>VLOOKUP('Files compared backup'!$A113,'Files top1'!$A$2:$F$999,3,FALSE)</f>
        <v>1</v>
      </c>
    </row>
    <row r="114" spans="1:15" ht="13.2" customHeight="1" x14ac:dyDescent="0.3">
      <c r="A114" s="4" t="s">
        <v>945</v>
      </c>
      <c r="B114" s="4">
        <v>9</v>
      </c>
      <c r="C114" s="4">
        <v>240</v>
      </c>
      <c r="D114" s="4">
        <v>25</v>
      </c>
      <c r="E114" s="4">
        <v>17641</v>
      </c>
      <c r="H114">
        <f t="shared" si="4"/>
        <v>2940.1666666666665</v>
      </c>
      <c r="I114">
        <f>VLOOKUP('Files compared backup'!$A114,'Files top1'!$A$2:$F$999,5,FALSE)</f>
        <v>1.1764300000000001</v>
      </c>
      <c r="J114">
        <f t="shared" si="5"/>
        <v>4.0012357576101135E-4</v>
      </c>
      <c r="K114">
        <f t="shared" si="6"/>
        <v>2.0006178788050566E-3</v>
      </c>
      <c r="L114">
        <f t="shared" si="7"/>
        <v>8.0024715152202264E-3</v>
      </c>
      <c r="M114">
        <f>VLOOKUP('Files compared backup'!$A114,'Files top1'!$A$2:$F$999,2,FALSE)</f>
        <v>0.54</v>
      </c>
      <c r="N114">
        <f>VLOOKUP('Files compared backup'!$A114,'Files top1'!$A$2:$F$999,4,FALSE)</f>
        <v>0.51</v>
      </c>
      <c r="O114">
        <f>VLOOKUP('Files compared backup'!$A114,'Files top1'!$A$2:$F$999,3,FALSE)</f>
        <v>1</v>
      </c>
    </row>
    <row r="115" spans="1:15" ht="13.2" customHeight="1" x14ac:dyDescent="0.3">
      <c r="A115" s="4" t="s">
        <v>953</v>
      </c>
      <c r="B115" s="4">
        <v>9</v>
      </c>
      <c r="C115" s="4">
        <v>240</v>
      </c>
      <c r="D115" s="4">
        <v>25</v>
      </c>
      <c r="E115" s="4">
        <v>17641</v>
      </c>
      <c r="H115">
        <f t="shared" si="4"/>
        <v>2940.1666666666665</v>
      </c>
      <c r="I115">
        <f>VLOOKUP('Files compared backup'!$A115,'Files top1'!$A$2:$F$999,5,FALSE)</f>
        <v>1.38253</v>
      </c>
      <c r="J115">
        <f t="shared" si="5"/>
        <v>4.7022164276401567E-4</v>
      </c>
      <c r="K115">
        <f t="shared" si="6"/>
        <v>2.3511082138200782E-3</v>
      </c>
      <c r="L115">
        <f t="shared" si="7"/>
        <v>9.4044328552803126E-3</v>
      </c>
      <c r="M115">
        <f>VLOOKUP('Files compared backup'!$A115,'Files top1'!$A$2:$F$999,2,FALSE)</f>
        <v>0.54</v>
      </c>
      <c r="N115">
        <f>VLOOKUP('Files compared backup'!$A115,'Files top1'!$A$2:$F$999,4,FALSE)</f>
        <v>0.5</v>
      </c>
      <c r="O115">
        <f>VLOOKUP('Files compared backup'!$A115,'Files top1'!$A$2:$F$999,3,FALSE)</f>
        <v>1</v>
      </c>
    </row>
    <row r="116" spans="1:15" ht="13.2" customHeight="1" x14ac:dyDescent="0.3">
      <c r="A116" s="4" t="s">
        <v>948</v>
      </c>
      <c r="B116" s="4">
        <v>9</v>
      </c>
      <c r="C116" s="4">
        <v>240</v>
      </c>
      <c r="D116" s="4">
        <v>10</v>
      </c>
      <c r="E116" s="4">
        <v>17641</v>
      </c>
      <c r="H116">
        <f t="shared" si="4"/>
        <v>2940.1666666666665</v>
      </c>
      <c r="I116">
        <f>VLOOKUP('Files compared backup'!$A116,'Files top1'!$A$2:$F$999,5,FALSE)</f>
        <v>1.4131400000000001</v>
      </c>
      <c r="J116">
        <f t="shared" si="5"/>
        <v>4.8063261719857154E-4</v>
      </c>
      <c r="K116">
        <f t="shared" si="6"/>
        <v>2.4031630859928576E-3</v>
      </c>
      <c r="L116">
        <f t="shared" si="7"/>
        <v>9.6126523439714305E-3</v>
      </c>
      <c r="M116">
        <f>VLOOKUP('Files compared backup'!$A116,'Files top1'!$A$2:$F$999,2,FALSE)</f>
        <v>0.54</v>
      </c>
      <c r="N116">
        <f>VLOOKUP('Files compared backup'!$A116,'Files top1'!$A$2:$F$999,4,FALSE)</f>
        <v>0.505</v>
      </c>
      <c r="O116">
        <f>VLOOKUP('Files compared backup'!$A116,'Files top1'!$A$2:$F$999,3,FALSE)</f>
        <v>1</v>
      </c>
    </row>
    <row r="117" spans="1:15" ht="13.2" customHeight="1" x14ac:dyDescent="0.3">
      <c r="A117" s="4" t="s">
        <v>954</v>
      </c>
      <c r="B117" s="4">
        <v>9</v>
      </c>
      <c r="C117" s="4">
        <v>240</v>
      </c>
      <c r="D117" s="4">
        <v>50</v>
      </c>
      <c r="E117" s="4">
        <v>17641</v>
      </c>
      <c r="H117">
        <f t="shared" si="4"/>
        <v>2940.1666666666665</v>
      </c>
      <c r="I117">
        <f>VLOOKUP('Files compared backup'!$A117,'Files top1'!$A$2:$F$999,5,FALSE)</f>
        <v>1.68062</v>
      </c>
      <c r="J117">
        <f t="shared" si="5"/>
        <v>5.7160705175443572E-4</v>
      </c>
      <c r="K117">
        <f t="shared" si="6"/>
        <v>2.8580352587721787E-3</v>
      </c>
      <c r="L117">
        <f t="shared" si="7"/>
        <v>1.1432141035088715E-2</v>
      </c>
      <c r="M117">
        <f>VLOOKUP('Files compared backup'!$A117,'Files top1'!$A$2:$F$999,2,FALSE)</f>
        <v>0.54</v>
      </c>
      <c r="N117">
        <f>VLOOKUP('Files compared backup'!$A117,'Files top1'!$A$2:$F$999,4,FALSE)</f>
        <v>0.505</v>
      </c>
      <c r="O117">
        <f>VLOOKUP('Files compared backup'!$A117,'Files top1'!$A$2:$F$999,3,FALSE)</f>
        <v>1</v>
      </c>
    </row>
    <row r="118" spans="1:15" ht="13.2" customHeight="1" x14ac:dyDescent="0.3">
      <c r="A118" s="4" t="s">
        <v>955</v>
      </c>
      <c r="B118" s="4">
        <v>9</v>
      </c>
      <c r="C118" s="4">
        <v>240</v>
      </c>
      <c r="D118" s="4">
        <v>100</v>
      </c>
      <c r="E118" s="4">
        <v>17641</v>
      </c>
      <c r="H118">
        <f t="shared" si="4"/>
        <v>2940.1666666666665</v>
      </c>
      <c r="I118">
        <f>VLOOKUP('Files compared backup'!$A118,'Files top1'!$A$2:$F$999,5,FALSE)</f>
        <v>1.2685900000000001</v>
      </c>
      <c r="J118">
        <f t="shared" si="5"/>
        <v>4.3146873759990938E-4</v>
      </c>
      <c r="K118">
        <f t="shared" si="6"/>
        <v>2.157343687999547E-3</v>
      </c>
      <c r="L118">
        <f t="shared" si="7"/>
        <v>8.6293747519981881E-3</v>
      </c>
      <c r="M118">
        <f>VLOOKUP('Files compared backup'!$A118,'Files top1'!$A$2:$F$999,2,FALSE)</f>
        <v>0.54</v>
      </c>
      <c r="N118">
        <f>VLOOKUP('Files compared backup'!$A118,'Files top1'!$A$2:$F$999,4,FALSE)</f>
        <v>0.51</v>
      </c>
      <c r="O118">
        <f>VLOOKUP('Files compared backup'!$A118,'Files top1'!$A$2:$F$999,3,FALSE)</f>
        <v>1</v>
      </c>
    </row>
    <row r="119" spans="1:15" ht="13.2" customHeight="1" x14ac:dyDescent="0.3">
      <c r="A119" s="4" t="s">
        <v>956</v>
      </c>
      <c r="B119" s="4">
        <v>9</v>
      </c>
      <c r="C119" s="4">
        <v>240</v>
      </c>
      <c r="D119" s="4">
        <v>10</v>
      </c>
      <c r="E119" s="4">
        <v>17641</v>
      </c>
      <c r="H119">
        <f t="shared" si="4"/>
        <v>2940.1666666666665</v>
      </c>
      <c r="I119">
        <f>VLOOKUP('Files compared backup'!$A119,'Files top1'!$A$2:$F$999,5,FALSE)</f>
        <v>1.7669299999999999</v>
      </c>
      <c r="J119">
        <f t="shared" si="5"/>
        <v>6.0096253046879424E-4</v>
      </c>
      <c r="K119">
        <f t="shared" si="6"/>
        <v>3.0048126523439713E-3</v>
      </c>
      <c r="L119">
        <f t="shared" si="7"/>
        <v>1.2019250609375885E-2</v>
      </c>
      <c r="M119">
        <f>VLOOKUP('Files compared backup'!$A119,'Files top1'!$A$2:$F$999,2,FALSE)</f>
        <v>0.54</v>
      </c>
      <c r="N119">
        <f>VLOOKUP('Files compared backup'!$A119,'Files top1'!$A$2:$F$999,4,FALSE)</f>
        <v>0.505</v>
      </c>
      <c r="O119">
        <f>VLOOKUP('Files compared backup'!$A119,'Files top1'!$A$2:$F$999,3,FALSE)</f>
        <v>1</v>
      </c>
    </row>
    <row r="120" spans="1:15" ht="13.2" customHeight="1" x14ac:dyDescent="0.3">
      <c r="A120" s="4" t="s">
        <v>957</v>
      </c>
      <c r="B120" s="4">
        <v>9</v>
      </c>
      <c r="C120" s="4">
        <v>240</v>
      </c>
      <c r="D120" s="4">
        <v>25</v>
      </c>
      <c r="E120" s="4">
        <v>17641</v>
      </c>
      <c r="H120">
        <f t="shared" si="4"/>
        <v>2940.1666666666665</v>
      </c>
      <c r="I120">
        <f>VLOOKUP('Files compared backup'!$A120,'Files top1'!$A$2:$F$999,5,FALSE)</f>
        <v>1.0113799999999999</v>
      </c>
      <c r="J120">
        <f t="shared" si="5"/>
        <v>3.4398730230712543E-4</v>
      </c>
      <c r="K120">
        <f t="shared" si="6"/>
        <v>1.7199365115356273E-3</v>
      </c>
      <c r="L120">
        <f t="shared" si="7"/>
        <v>6.879746046142509E-3</v>
      </c>
      <c r="M120">
        <f>VLOOKUP('Files compared backup'!$A120,'Files top1'!$A$2:$F$999,2,FALSE)</f>
        <v>0.54</v>
      </c>
      <c r="N120">
        <f>VLOOKUP('Files compared backup'!$A120,'Files top1'!$A$2:$F$999,4,FALSE)</f>
        <v>0.505</v>
      </c>
      <c r="O120">
        <f>VLOOKUP('Files compared backup'!$A120,'Files top1'!$A$2:$F$999,3,FALSE)</f>
        <v>1</v>
      </c>
    </row>
    <row r="121" spans="1:15" ht="13.2" customHeight="1" x14ac:dyDescent="0.3">
      <c r="A121" s="4" t="s">
        <v>959</v>
      </c>
      <c r="B121" s="4">
        <v>9</v>
      </c>
      <c r="C121" s="4">
        <v>240</v>
      </c>
      <c r="D121" s="4">
        <v>100</v>
      </c>
      <c r="E121" s="4">
        <v>17641</v>
      </c>
      <c r="H121">
        <f t="shared" si="4"/>
        <v>2940.1666666666665</v>
      </c>
      <c r="I121">
        <f>VLOOKUP('Files compared backup'!$A121,'Files top1'!$A$2:$F$999,5,FALSE)</f>
        <v>1.35232</v>
      </c>
      <c r="J121">
        <f t="shared" si="5"/>
        <v>4.5994671503882999E-4</v>
      </c>
      <c r="K121">
        <f t="shared" si="6"/>
        <v>2.2997335751941501E-3</v>
      </c>
      <c r="L121">
        <f t="shared" si="7"/>
        <v>9.1989343007766004E-3</v>
      </c>
      <c r="M121">
        <f>VLOOKUP('Files compared backup'!$A121,'Files top1'!$A$2:$F$999,2,FALSE)</f>
        <v>0.54</v>
      </c>
      <c r="N121">
        <f>VLOOKUP('Files compared backup'!$A121,'Files top1'!$A$2:$F$999,4,FALSE)</f>
        <v>0.52</v>
      </c>
      <c r="O121">
        <f>VLOOKUP('Files compared backup'!$A121,'Files top1'!$A$2:$F$999,3,FALSE)</f>
        <v>1</v>
      </c>
    </row>
    <row r="122" spans="1:15" ht="13.2" customHeight="1" x14ac:dyDescent="0.3">
      <c r="A122" s="4" t="s">
        <v>958</v>
      </c>
      <c r="B122" s="4">
        <v>9</v>
      </c>
      <c r="C122" s="4">
        <v>240</v>
      </c>
      <c r="D122" s="4">
        <v>50</v>
      </c>
      <c r="E122" s="4">
        <v>17641</v>
      </c>
      <c r="H122">
        <f t="shared" si="4"/>
        <v>2940.1666666666665</v>
      </c>
      <c r="I122">
        <f>VLOOKUP('Files compared backup'!$A122,'Files top1'!$A$2:$F$999,5,FALSE)</f>
        <v>1.44017</v>
      </c>
      <c r="J122">
        <f t="shared" si="5"/>
        <v>4.8982597358426393E-4</v>
      </c>
      <c r="K122">
        <f t="shared" si="6"/>
        <v>2.4491298679213194E-3</v>
      </c>
      <c r="L122">
        <f t="shared" si="7"/>
        <v>9.7965194716852777E-3</v>
      </c>
      <c r="M122">
        <f>VLOOKUP('Files compared backup'!$A122,'Files top1'!$A$2:$F$999,2,FALSE)</f>
        <v>0.54</v>
      </c>
      <c r="N122">
        <f>VLOOKUP('Files compared backup'!$A122,'Files top1'!$A$2:$F$999,4,FALSE)</f>
        <v>0.51</v>
      </c>
      <c r="O122">
        <f>VLOOKUP('Files compared backup'!$A122,'Files top1'!$A$2:$F$999,3,FALSE)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2"/>
  <sheetViews>
    <sheetView workbookViewId="0">
      <selection activeCell="D29" sqref="D29"/>
    </sheetView>
  </sheetViews>
  <sheetFormatPr defaultRowHeight="14.4" x14ac:dyDescent="0.3"/>
  <cols>
    <col min="1" max="1" width="23.5546875" bestFit="1" customWidth="1"/>
    <col min="2" max="2" width="5" bestFit="1" customWidth="1"/>
    <col min="3" max="3" width="4.44140625" customWidth="1"/>
    <col min="4" max="4" width="6" bestFit="1" customWidth="1"/>
    <col min="5" max="5" width="8" bestFit="1" customWidth="1"/>
    <col min="6" max="6" width="8.6640625" bestFit="1" customWidth="1"/>
  </cols>
  <sheetData>
    <row r="1" spans="1:6" s="1" customFormat="1" x14ac:dyDescent="0.3">
      <c r="A1" s="1" t="s">
        <v>1349</v>
      </c>
      <c r="B1" s="1" t="s">
        <v>1350</v>
      </c>
      <c r="C1" s="1" t="s">
        <v>1351</v>
      </c>
      <c r="D1" s="1" t="s">
        <v>1352</v>
      </c>
      <c r="E1" s="1" t="s">
        <v>1353</v>
      </c>
      <c r="F1" s="1" t="s">
        <v>1354</v>
      </c>
    </row>
    <row r="2" spans="1:6" x14ac:dyDescent="0.3">
      <c r="A2" t="s">
        <v>882</v>
      </c>
      <c r="B2">
        <v>0.54</v>
      </c>
      <c r="C2">
        <v>1</v>
      </c>
      <c r="D2">
        <v>0.51500000000000001</v>
      </c>
      <c r="E2">
        <v>1.3020400000000001</v>
      </c>
      <c r="F2">
        <v>-3.8199999999999998E-2</v>
      </c>
    </row>
    <row r="3" spans="1:6" x14ac:dyDescent="0.3">
      <c r="A3" t="s">
        <v>883</v>
      </c>
      <c r="B3">
        <v>0.54</v>
      </c>
      <c r="C3">
        <v>1</v>
      </c>
      <c r="D3">
        <v>0.51</v>
      </c>
      <c r="E3">
        <v>1.3011999999999999</v>
      </c>
      <c r="F3">
        <v>-1.7999999999999999E-2</v>
      </c>
    </row>
    <row r="4" spans="1:6" x14ac:dyDescent="0.3">
      <c r="A4" t="s">
        <v>884</v>
      </c>
      <c r="B4">
        <v>0.54</v>
      </c>
      <c r="C4">
        <v>1</v>
      </c>
      <c r="D4">
        <v>0.5</v>
      </c>
      <c r="E4">
        <v>1.38395</v>
      </c>
      <c r="F4">
        <v>-2.2200000000000001E-2</v>
      </c>
    </row>
    <row r="5" spans="1:6" x14ac:dyDescent="0.3">
      <c r="A5" t="s">
        <v>885</v>
      </c>
      <c r="B5">
        <v>0.54</v>
      </c>
      <c r="C5">
        <v>1</v>
      </c>
      <c r="D5">
        <v>0.51</v>
      </c>
      <c r="E5">
        <v>1.0638000000000001</v>
      </c>
      <c r="F5">
        <v>-3.8699999999999998E-2</v>
      </c>
    </row>
    <row r="6" spans="1:6" x14ac:dyDescent="0.3">
      <c r="A6" t="s">
        <v>886</v>
      </c>
      <c r="B6">
        <v>0.54</v>
      </c>
      <c r="C6">
        <v>1</v>
      </c>
      <c r="D6">
        <v>0.51</v>
      </c>
      <c r="E6">
        <v>1.5719000000000001</v>
      </c>
      <c r="F6">
        <v>-2.7300000000000001E-2</v>
      </c>
    </row>
    <row r="7" spans="1:6" x14ac:dyDescent="0.3">
      <c r="A7" t="s">
        <v>887</v>
      </c>
      <c r="B7">
        <v>0.54</v>
      </c>
      <c r="C7">
        <v>1</v>
      </c>
      <c r="D7">
        <v>0.51500000000000001</v>
      </c>
      <c r="E7">
        <v>1.03542</v>
      </c>
      <c r="F7">
        <v>-4.1000000000000002E-2</v>
      </c>
    </row>
    <row r="8" spans="1:6" x14ac:dyDescent="0.3">
      <c r="A8" t="s">
        <v>888</v>
      </c>
      <c r="B8">
        <v>0.54</v>
      </c>
      <c r="C8">
        <v>1</v>
      </c>
      <c r="D8">
        <v>0.5</v>
      </c>
      <c r="E8">
        <v>1.5526800000000001</v>
      </c>
      <c r="F8">
        <v>-1.5900000000000001E-2</v>
      </c>
    </row>
    <row r="9" spans="1:6" x14ac:dyDescent="0.3">
      <c r="A9" t="s">
        <v>889</v>
      </c>
      <c r="B9">
        <v>0.54</v>
      </c>
      <c r="C9">
        <v>1</v>
      </c>
      <c r="D9">
        <v>0.52</v>
      </c>
      <c r="E9">
        <v>1.1503300000000001</v>
      </c>
      <c r="F9">
        <v>-4.3299999999999998E-2</v>
      </c>
    </row>
    <row r="10" spans="1:6" x14ac:dyDescent="0.3">
      <c r="A10" t="s">
        <v>960</v>
      </c>
      <c r="B10">
        <v>0.55000000000000004</v>
      </c>
      <c r="C10">
        <v>1</v>
      </c>
      <c r="D10">
        <v>0.505</v>
      </c>
      <c r="E10">
        <v>56.841999999999999</v>
      </c>
      <c r="F10">
        <v>-0.91100000000000003</v>
      </c>
    </row>
    <row r="11" spans="1:6" x14ac:dyDescent="0.3">
      <c r="A11" t="s">
        <v>961</v>
      </c>
      <c r="B11">
        <v>0.54</v>
      </c>
      <c r="C11">
        <v>1</v>
      </c>
      <c r="D11">
        <v>0.51500000000000001</v>
      </c>
      <c r="E11">
        <v>1.3033699999999999</v>
      </c>
      <c r="F11">
        <v>-2.0999999999999999E-3</v>
      </c>
    </row>
    <row r="12" spans="1:6" x14ac:dyDescent="0.3">
      <c r="A12" t="s">
        <v>962</v>
      </c>
      <c r="B12">
        <v>0.54</v>
      </c>
      <c r="C12">
        <v>1</v>
      </c>
      <c r="D12">
        <v>0.51500000000000001</v>
      </c>
      <c r="E12">
        <v>37.881999999999998</v>
      </c>
      <c r="F12">
        <v>-0.76500000000000001</v>
      </c>
    </row>
    <row r="13" spans="1:6" x14ac:dyDescent="0.3">
      <c r="A13" t="s">
        <v>963</v>
      </c>
      <c r="B13">
        <v>0.54</v>
      </c>
      <c r="C13">
        <v>2</v>
      </c>
      <c r="D13">
        <v>0.51</v>
      </c>
      <c r="E13">
        <v>98.61</v>
      </c>
      <c r="F13">
        <v>-0.56699999999999995</v>
      </c>
    </row>
    <row r="14" spans="1:6" x14ac:dyDescent="0.3">
      <c r="A14" t="s">
        <v>964</v>
      </c>
      <c r="B14">
        <v>0.54</v>
      </c>
      <c r="C14">
        <v>1</v>
      </c>
      <c r="D14">
        <v>0.51</v>
      </c>
      <c r="E14">
        <v>0.46107999999999999</v>
      </c>
      <c r="F14">
        <v>-1.18E-2</v>
      </c>
    </row>
    <row r="15" spans="1:6" x14ac:dyDescent="0.3">
      <c r="A15" t="s">
        <v>965</v>
      </c>
      <c r="B15">
        <v>0.54</v>
      </c>
      <c r="C15">
        <v>1</v>
      </c>
      <c r="D15">
        <v>0.51</v>
      </c>
      <c r="E15">
        <v>46.893999999999998</v>
      </c>
      <c r="F15">
        <v>0</v>
      </c>
    </row>
    <row r="16" spans="1:6" x14ac:dyDescent="0.3">
      <c r="A16" t="s">
        <v>966</v>
      </c>
      <c r="B16">
        <v>0.54</v>
      </c>
      <c r="C16">
        <v>1</v>
      </c>
      <c r="D16">
        <v>0.51500000000000001</v>
      </c>
      <c r="E16">
        <v>0.44835999999999998</v>
      </c>
      <c r="F16">
        <v>-8.3000000000000001E-4</v>
      </c>
    </row>
    <row r="17" spans="1:6" x14ac:dyDescent="0.3">
      <c r="A17" t="s">
        <v>967</v>
      </c>
      <c r="B17">
        <v>0.54</v>
      </c>
      <c r="C17">
        <v>1</v>
      </c>
      <c r="D17">
        <v>0.51</v>
      </c>
      <c r="E17">
        <v>85.832999999999998</v>
      </c>
      <c r="F17">
        <v>-0.13900000000000001</v>
      </c>
    </row>
    <row r="18" spans="1:6" x14ac:dyDescent="0.3">
      <c r="A18" t="s">
        <v>968</v>
      </c>
      <c r="B18">
        <v>0.54</v>
      </c>
      <c r="C18">
        <v>1</v>
      </c>
      <c r="D18">
        <v>0.51500000000000001</v>
      </c>
      <c r="E18">
        <v>1.2853600000000001</v>
      </c>
      <c r="F18">
        <v>-1.056E-2</v>
      </c>
    </row>
    <row r="19" spans="1:6" x14ac:dyDescent="0.3">
      <c r="A19" t="s">
        <v>969</v>
      </c>
      <c r="B19">
        <v>0.54</v>
      </c>
      <c r="C19">
        <v>2</v>
      </c>
      <c r="D19">
        <v>0.51500000000000001</v>
      </c>
      <c r="E19">
        <v>1.05253</v>
      </c>
      <c r="F19">
        <v>-4.4299999999999999E-3</v>
      </c>
    </row>
    <row r="20" spans="1:6" x14ac:dyDescent="0.3">
      <c r="A20" t="s">
        <v>970</v>
      </c>
      <c r="B20">
        <v>0.56000000000000005</v>
      </c>
      <c r="C20">
        <v>1</v>
      </c>
      <c r="D20">
        <v>0.505</v>
      </c>
      <c r="E20">
        <v>18.009</v>
      </c>
      <c r="F20">
        <v>-0.34</v>
      </c>
    </row>
    <row r="21" spans="1:6" x14ac:dyDescent="0.3">
      <c r="A21" t="s">
        <v>971</v>
      </c>
      <c r="B21">
        <v>0.54</v>
      </c>
      <c r="C21">
        <v>1</v>
      </c>
      <c r="D21">
        <v>0.51500000000000001</v>
      </c>
      <c r="E21">
        <v>0.47276000000000001</v>
      </c>
      <c r="F21">
        <v>-4.8399999999999997E-3</v>
      </c>
    </row>
    <row r="22" spans="1:6" x14ac:dyDescent="0.3">
      <c r="A22" t="s">
        <v>972</v>
      </c>
      <c r="B22">
        <v>0.54</v>
      </c>
      <c r="C22">
        <v>1</v>
      </c>
      <c r="D22">
        <v>0.51500000000000001</v>
      </c>
      <c r="E22">
        <v>0.45755000000000001</v>
      </c>
      <c r="F22">
        <v>-7.3899999999999999E-3</v>
      </c>
    </row>
    <row r="23" spans="1:6" x14ac:dyDescent="0.3">
      <c r="A23" t="s">
        <v>973</v>
      </c>
      <c r="B23">
        <v>0.54</v>
      </c>
      <c r="C23">
        <v>4</v>
      </c>
      <c r="D23">
        <v>0.51</v>
      </c>
      <c r="E23">
        <v>8.9079999999999995</v>
      </c>
      <c r="F23">
        <v>-0.505</v>
      </c>
    </row>
    <row r="24" spans="1:6" x14ac:dyDescent="0.3">
      <c r="A24" t="s">
        <v>974</v>
      </c>
      <c r="B24">
        <v>0.54</v>
      </c>
      <c r="C24">
        <v>1</v>
      </c>
      <c r="D24">
        <v>0.5</v>
      </c>
      <c r="E24">
        <v>15.725</v>
      </c>
      <c r="F24">
        <v>-1.4999999999999999E-2</v>
      </c>
    </row>
    <row r="25" spans="1:6" x14ac:dyDescent="0.3">
      <c r="A25" t="s">
        <v>975</v>
      </c>
      <c r="B25">
        <v>0.55000000000000004</v>
      </c>
      <c r="C25">
        <v>1</v>
      </c>
      <c r="D25">
        <v>0.51</v>
      </c>
      <c r="E25">
        <v>9.8309999999999995E-2</v>
      </c>
      <c r="F25">
        <v>-9.2000000000000003E-4</v>
      </c>
    </row>
    <row r="26" spans="1:6" x14ac:dyDescent="0.3">
      <c r="A26" t="s">
        <v>976</v>
      </c>
      <c r="B26">
        <v>0.54</v>
      </c>
      <c r="C26">
        <v>1</v>
      </c>
      <c r="D26">
        <v>0.51</v>
      </c>
      <c r="E26">
        <v>22.565000000000001</v>
      </c>
      <c r="F26">
        <v>-0.52600000000000002</v>
      </c>
    </row>
    <row r="27" spans="1:6" x14ac:dyDescent="0.3">
      <c r="A27" t="s">
        <v>977</v>
      </c>
      <c r="B27">
        <v>0.54</v>
      </c>
      <c r="C27">
        <v>1</v>
      </c>
      <c r="D27">
        <v>0.51500000000000001</v>
      </c>
      <c r="E27">
        <v>0.59401999999999999</v>
      </c>
      <c r="F27">
        <v>0</v>
      </c>
    </row>
    <row r="28" spans="1:6" x14ac:dyDescent="0.3">
      <c r="A28" t="s">
        <v>978</v>
      </c>
      <c r="B28">
        <v>0.54</v>
      </c>
      <c r="C28">
        <v>1</v>
      </c>
      <c r="D28">
        <v>0.505</v>
      </c>
      <c r="E28">
        <v>0.34188000000000002</v>
      </c>
      <c r="F28">
        <v>-8.2799999999999992E-3</v>
      </c>
    </row>
    <row r="29" spans="1:6" x14ac:dyDescent="0.3">
      <c r="A29" t="s">
        <v>979</v>
      </c>
      <c r="B29">
        <v>0.54</v>
      </c>
      <c r="C29">
        <v>1</v>
      </c>
      <c r="D29">
        <v>0.505</v>
      </c>
      <c r="E29">
        <v>19.620999999999999</v>
      </c>
      <c r="F29">
        <v>-0.14000000000000001</v>
      </c>
    </row>
    <row r="30" spans="1:6" x14ac:dyDescent="0.3">
      <c r="A30" t="s">
        <v>980</v>
      </c>
      <c r="B30">
        <v>0.54</v>
      </c>
      <c r="C30">
        <v>1</v>
      </c>
      <c r="D30">
        <v>0.51500000000000001</v>
      </c>
      <c r="E30">
        <v>0.44161</v>
      </c>
      <c r="F30">
        <v>-3.15E-3</v>
      </c>
    </row>
    <row r="31" spans="1:6" x14ac:dyDescent="0.3">
      <c r="A31" t="s">
        <v>981</v>
      </c>
      <c r="B31">
        <v>0.54</v>
      </c>
      <c r="C31">
        <v>1</v>
      </c>
      <c r="D31">
        <v>0.51</v>
      </c>
      <c r="E31">
        <v>16.030999999999999</v>
      </c>
      <c r="F31">
        <v>0</v>
      </c>
    </row>
    <row r="32" spans="1:6" x14ac:dyDescent="0.3">
      <c r="A32" t="s">
        <v>982</v>
      </c>
      <c r="B32">
        <v>0.55000000000000004</v>
      </c>
      <c r="C32">
        <v>1</v>
      </c>
      <c r="D32">
        <v>0.51</v>
      </c>
      <c r="E32">
        <v>38.651000000000003</v>
      </c>
      <c r="F32">
        <v>-0.11700000000000001</v>
      </c>
    </row>
    <row r="33" spans="1:6" x14ac:dyDescent="0.3">
      <c r="A33" t="s">
        <v>983</v>
      </c>
      <c r="B33">
        <v>0.54</v>
      </c>
      <c r="C33">
        <v>2</v>
      </c>
      <c r="D33">
        <v>0.51</v>
      </c>
      <c r="E33">
        <v>8.7590000000000001E-2</v>
      </c>
      <c r="F33">
        <v>-2.1000000000000001E-4</v>
      </c>
    </row>
    <row r="34" spans="1:6" x14ac:dyDescent="0.3">
      <c r="A34" t="s">
        <v>890</v>
      </c>
      <c r="B34">
        <v>0.54</v>
      </c>
      <c r="C34">
        <v>1</v>
      </c>
      <c r="D34">
        <v>0.505</v>
      </c>
      <c r="E34">
        <v>1.5581199999999999</v>
      </c>
      <c r="F34">
        <v>-4.7100000000000003E-2</v>
      </c>
    </row>
    <row r="35" spans="1:6" x14ac:dyDescent="0.3">
      <c r="A35" t="s">
        <v>891</v>
      </c>
      <c r="B35">
        <v>0.54</v>
      </c>
      <c r="C35">
        <v>1</v>
      </c>
      <c r="D35">
        <v>0.505</v>
      </c>
      <c r="E35">
        <v>1.07159</v>
      </c>
      <c r="F35">
        <v>-8.4400000000000003E-2</v>
      </c>
    </row>
    <row r="36" spans="1:6" x14ac:dyDescent="0.3">
      <c r="A36" t="s">
        <v>892</v>
      </c>
      <c r="B36">
        <v>0.54</v>
      </c>
      <c r="C36">
        <v>1</v>
      </c>
      <c r="D36">
        <v>0.5</v>
      </c>
      <c r="E36">
        <v>1.24359</v>
      </c>
      <c r="F36">
        <v>-0.14030000000000001</v>
      </c>
    </row>
    <row r="37" spans="1:6" x14ac:dyDescent="0.3">
      <c r="A37" t="s">
        <v>893</v>
      </c>
      <c r="B37">
        <v>0.54</v>
      </c>
      <c r="C37">
        <v>1</v>
      </c>
      <c r="D37">
        <v>0.51</v>
      </c>
      <c r="E37">
        <v>1.07589</v>
      </c>
      <c r="F37">
        <v>-0.10290000000000001</v>
      </c>
    </row>
    <row r="38" spans="1:6" x14ac:dyDescent="0.3">
      <c r="A38" t="s">
        <v>894</v>
      </c>
      <c r="B38">
        <v>0.54</v>
      </c>
      <c r="C38">
        <v>1</v>
      </c>
      <c r="D38">
        <v>0.51</v>
      </c>
      <c r="E38">
        <v>1.3614999999999999</v>
      </c>
      <c r="F38">
        <v>-2.6800000000000001E-2</v>
      </c>
    </row>
    <row r="39" spans="1:6" x14ac:dyDescent="0.3">
      <c r="A39" t="s">
        <v>895</v>
      </c>
      <c r="B39">
        <v>0.54</v>
      </c>
      <c r="C39">
        <v>1</v>
      </c>
      <c r="D39">
        <v>0.51</v>
      </c>
      <c r="E39">
        <v>1.08412</v>
      </c>
      <c r="F39">
        <v>-2.5899999999999999E-2</v>
      </c>
    </row>
    <row r="40" spans="1:6" x14ac:dyDescent="0.3">
      <c r="A40" t="s">
        <v>896</v>
      </c>
      <c r="B40">
        <v>0.55000000000000004</v>
      </c>
      <c r="C40">
        <v>2</v>
      </c>
      <c r="D40">
        <v>0.5</v>
      </c>
      <c r="E40">
        <v>1.1666099999999999</v>
      </c>
      <c r="F40">
        <v>-4.1500000000000002E-2</v>
      </c>
    </row>
    <row r="41" spans="1:6" x14ac:dyDescent="0.3">
      <c r="A41" t="s">
        <v>897</v>
      </c>
      <c r="B41">
        <v>0.54</v>
      </c>
      <c r="C41">
        <v>1</v>
      </c>
      <c r="D41">
        <v>0.5</v>
      </c>
      <c r="E41">
        <v>1.2007399999999999</v>
      </c>
      <c r="F41">
        <v>-2.4299999999999999E-2</v>
      </c>
    </row>
    <row r="42" spans="1:6" x14ac:dyDescent="0.3">
      <c r="A42" t="s">
        <v>898</v>
      </c>
      <c r="B42">
        <v>0.54</v>
      </c>
      <c r="C42">
        <v>1</v>
      </c>
      <c r="D42">
        <v>0.51</v>
      </c>
      <c r="E42">
        <v>1.0747100000000001</v>
      </c>
      <c r="F42">
        <v>-6.3299999999999995E-2</v>
      </c>
    </row>
    <row r="43" spans="1:6" x14ac:dyDescent="0.3">
      <c r="A43" t="s">
        <v>899</v>
      </c>
      <c r="B43">
        <v>0.54</v>
      </c>
      <c r="C43">
        <v>1</v>
      </c>
      <c r="D43">
        <v>0.5</v>
      </c>
      <c r="E43">
        <v>1.06579</v>
      </c>
      <c r="F43">
        <v>-1.01E-2</v>
      </c>
    </row>
    <row r="44" spans="1:6" x14ac:dyDescent="0.3">
      <c r="A44" t="s">
        <v>900</v>
      </c>
      <c r="B44">
        <v>0.54</v>
      </c>
      <c r="C44">
        <v>1</v>
      </c>
      <c r="D44">
        <v>0.51</v>
      </c>
      <c r="E44">
        <v>0.99538000000000004</v>
      </c>
      <c r="F44">
        <v>-6.3700000000000007E-2</v>
      </c>
    </row>
    <row r="45" spans="1:6" x14ac:dyDescent="0.3">
      <c r="A45" t="s">
        <v>901</v>
      </c>
      <c r="B45">
        <v>0.54</v>
      </c>
      <c r="C45">
        <v>1</v>
      </c>
      <c r="D45">
        <v>0.5</v>
      </c>
      <c r="E45">
        <v>0.98963999999999996</v>
      </c>
      <c r="F45">
        <v>-2.8799999999999999E-2</v>
      </c>
    </row>
    <row r="46" spans="1:6" x14ac:dyDescent="0.3">
      <c r="A46" t="s">
        <v>902</v>
      </c>
      <c r="B46">
        <v>0.54</v>
      </c>
      <c r="C46">
        <v>1</v>
      </c>
      <c r="D46">
        <v>0.5</v>
      </c>
      <c r="E46">
        <v>1.3725499999999999</v>
      </c>
      <c r="F46">
        <v>0</v>
      </c>
    </row>
    <row r="47" spans="1:6" x14ac:dyDescent="0.3">
      <c r="A47" t="s">
        <v>903</v>
      </c>
      <c r="B47">
        <v>0.54</v>
      </c>
      <c r="C47">
        <v>1</v>
      </c>
      <c r="D47">
        <v>0.505</v>
      </c>
      <c r="E47">
        <v>1.2947200000000001</v>
      </c>
      <c r="F47">
        <v>-1.6199999999999999E-2</v>
      </c>
    </row>
    <row r="48" spans="1:6" x14ac:dyDescent="0.3">
      <c r="A48" t="s">
        <v>904</v>
      </c>
      <c r="B48">
        <v>0.54</v>
      </c>
      <c r="C48">
        <v>1</v>
      </c>
      <c r="D48">
        <v>0.5</v>
      </c>
      <c r="E48">
        <v>1.2343900000000001</v>
      </c>
      <c r="F48">
        <v>-1.83E-2</v>
      </c>
    </row>
    <row r="49" spans="1:6" x14ac:dyDescent="0.3">
      <c r="A49" t="s">
        <v>905</v>
      </c>
      <c r="B49">
        <v>0.55000000000000004</v>
      </c>
      <c r="C49">
        <v>1</v>
      </c>
      <c r="D49">
        <v>0.51</v>
      </c>
      <c r="E49">
        <v>1.0423199999999999</v>
      </c>
      <c r="F49">
        <v>-4.9399999999999999E-2</v>
      </c>
    </row>
    <row r="50" spans="1:6" x14ac:dyDescent="0.3">
      <c r="A50" t="s">
        <v>906</v>
      </c>
      <c r="B50">
        <v>0.54</v>
      </c>
      <c r="C50">
        <v>1</v>
      </c>
      <c r="D50">
        <v>0.51500000000000001</v>
      </c>
      <c r="E50">
        <v>1.51675</v>
      </c>
      <c r="F50">
        <v>-1.8499999999999999E-2</v>
      </c>
    </row>
    <row r="51" spans="1:6" x14ac:dyDescent="0.3">
      <c r="A51" t="s">
        <v>907</v>
      </c>
      <c r="B51">
        <v>0.54</v>
      </c>
      <c r="C51">
        <v>1</v>
      </c>
      <c r="D51">
        <v>0.52</v>
      </c>
      <c r="E51">
        <v>1.78342</v>
      </c>
      <c r="F51">
        <v>-2E-3</v>
      </c>
    </row>
    <row r="52" spans="1:6" x14ac:dyDescent="0.3">
      <c r="A52" t="s">
        <v>908</v>
      </c>
      <c r="B52">
        <v>0.54</v>
      </c>
      <c r="C52">
        <v>1</v>
      </c>
      <c r="D52">
        <v>0.52</v>
      </c>
      <c r="E52">
        <v>1.2635000000000001</v>
      </c>
      <c r="F52">
        <v>-1.15E-2</v>
      </c>
    </row>
    <row r="53" spans="1:6" x14ac:dyDescent="0.3">
      <c r="A53" t="s">
        <v>909</v>
      </c>
      <c r="B53">
        <v>0.54</v>
      </c>
      <c r="C53">
        <v>1</v>
      </c>
      <c r="D53">
        <v>0.5</v>
      </c>
      <c r="E53">
        <v>1.6922900000000001</v>
      </c>
      <c r="F53">
        <v>-1.89E-2</v>
      </c>
    </row>
    <row r="54" spans="1:6" x14ac:dyDescent="0.3">
      <c r="A54" t="s">
        <v>910</v>
      </c>
      <c r="B54">
        <v>0.54</v>
      </c>
      <c r="C54">
        <v>1</v>
      </c>
      <c r="D54">
        <v>0.52</v>
      </c>
      <c r="E54">
        <v>1.0993999999999999</v>
      </c>
      <c r="F54">
        <v>-7.3499999999999996E-2</v>
      </c>
    </row>
    <row r="55" spans="1:6" x14ac:dyDescent="0.3">
      <c r="A55" t="s">
        <v>984</v>
      </c>
      <c r="B55">
        <v>0.54</v>
      </c>
      <c r="C55">
        <v>5</v>
      </c>
      <c r="D55">
        <v>0.5</v>
      </c>
      <c r="E55">
        <v>21.460999999999999</v>
      </c>
      <c r="F55">
        <v>-6.6580000000000004</v>
      </c>
    </row>
    <row r="56" spans="1:6" x14ac:dyDescent="0.3">
      <c r="A56" t="s">
        <v>985</v>
      </c>
      <c r="B56">
        <v>0.54</v>
      </c>
      <c r="C56">
        <v>1</v>
      </c>
      <c r="D56">
        <v>0.51500000000000001</v>
      </c>
      <c r="E56">
        <v>36.091000000000001</v>
      </c>
      <c r="F56">
        <v>-1.466</v>
      </c>
    </row>
    <row r="57" spans="1:6" x14ac:dyDescent="0.3">
      <c r="A57" t="s">
        <v>986</v>
      </c>
      <c r="B57">
        <v>0.54</v>
      </c>
      <c r="C57">
        <v>1</v>
      </c>
      <c r="D57">
        <v>0.505</v>
      </c>
      <c r="E57">
        <v>0.14939</v>
      </c>
      <c r="F57">
        <v>-6.9100000000000003E-3</v>
      </c>
    </row>
    <row r="58" spans="1:6" x14ac:dyDescent="0.3">
      <c r="A58" t="s">
        <v>987</v>
      </c>
      <c r="B58">
        <v>0.56000000000000005</v>
      </c>
      <c r="C58">
        <v>1</v>
      </c>
      <c r="D58">
        <v>0.505</v>
      </c>
      <c r="E58">
        <v>0.13519999999999999</v>
      </c>
      <c r="F58">
        <v>-7.5900000000000004E-3</v>
      </c>
    </row>
    <row r="59" spans="1:6" x14ac:dyDescent="0.3">
      <c r="A59" t="s">
        <v>988</v>
      </c>
      <c r="B59">
        <v>0.55000000000000004</v>
      </c>
      <c r="C59">
        <v>1</v>
      </c>
      <c r="D59">
        <v>0.505</v>
      </c>
      <c r="E59">
        <v>0.12456</v>
      </c>
      <c r="F59">
        <v>-9.1900000000000003E-3</v>
      </c>
    </row>
    <row r="60" spans="1:6" x14ac:dyDescent="0.3">
      <c r="A60" t="s">
        <v>989</v>
      </c>
      <c r="B60">
        <v>0.54</v>
      </c>
      <c r="C60">
        <v>7</v>
      </c>
      <c r="D60">
        <v>0.5</v>
      </c>
      <c r="E60">
        <v>46.779000000000003</v>
      </c>
      <c r="F60">
        <v>-3.871</v>
      </c>
    </row>
    <row r="61" spans="1:6" x14ac:dyDescent="0.3">
      <c r="A61" t="s">
        <v>990</v>
      </c>
      <c r="B61">
        <v>0.56000000000000005</v>
      </c>
      <c r="C61">
        <v>34</v>
      </c>
      <c r="D61">
        <v>0.5</v>
      </c>
      <c r="E61">
        <v>42.673999999999999</v>
      </c>
      <c r="F61">
        <v>-2.1720000000000002</v>
      </c>
    </row>
    <row r="62" spans="1:6" x14ac:dyDescent="0.3">
      <c r="A62" t="s">
        <v>991</v>
      </c>
      <c r="B62">
        <v>0.61</v>
      </c>
      <c r="C62">
        <v>1</v>
      </c>
      <c r="D62">
        <v>0.51</v>
      </c>
      <c r="E62">
        <v>36.661000000000001</v>
      </c>
      <c r="F62">
        <v>-5.6520000000000001</v>
      </c>
    </row>
    <row r="63" spans="1:6" x14ac:dyDescent="0.3">
      <c r="A63" t="s">
        <v>992</v>
      </c>
      <c r="B63">
        <v>0.6</v>
      </c>
      <c r="C63">
        <v>2</v>
      </c>
      <c r="D63">
        <v>0.51</v>
      </c>
      <c r="E63">
        <v>23.242000000000001</v>
      </c>
      <c r="F63">
        <v>-5.0679999999999996</v>
      </c>
    </row>
    <row r="64" spans="1:6" x14ac:dyDescent="0.3">
      <c r="A64" t="s">
        <v>993</v>
      </c>
      <c r="B64">
        <v>0.54</v>
      </c>
      <c r="C64">
        <v>1</v>
      </c>
      <c r="D64">
        <v>0.51</v>
      </c>
      <c r="E64">
        <v>46.045000000000002</v>
      </c>
      <c r="F64">
        <v>-0.53400000000000003</v>
      </c>
    </row>
    <row r="65" spans="1:6" x14ac:dyDescent="0.3">
      <c r="A65" t="s">
        <v>994</v>
      </c>
      <c r="B65">
        <v>0.55000000000000004</v>
      </c>
      <c r="C65">
        <v>3</v>
      </c>
      <c r="D65">
        <v>0.505</v>
      </c>
      <c r="E65">
        <v>34.338000000000001</v>
      </c>
      <c r="F65">
        <v>-1.83</v>
      </c>
    </row>
    <row r="66" spans="1:6" x14ac:dyDescent="0.3">
      <c r="A66" t="s">
        <v>995</v>
      </c>
      <c r="B66">
        <v>0.54</v>
      </c>
      <c r="C66">
        <v>1</v>
      </c>
      <c r="D66">
        <v>0.51500000000000001</v>
      </c>
      <c r="E66">
        <v>0.28106999999999999</v>
      </c>
      <c r="F66">
        <v>-4.2500000000000003E-3</v>
      </c>
    </row>
    <row r="67" spans="1:6" x14ac:dyDescent="0.3">
      <c r="A67" t="s">
        <v>911</v>
      </c>
      <c r="B67">
        <v>0.54</v>
      </c>
      <c r="C67">
        <v>1</v>
      </c>
      <c r="D67">
        <v>0.505</v>
      </c>
      <c r="E67">
        <v>1.7995300000000001</v>
      </c>
      <c r="F67">
        <v>-5.5599999999999997E-2</v>
      </c>
    </row>
    <row r="68" spans="1:6" x14ac:dyDescent="0.3">
      <c r="A68" t="s">
        <v>912</v>
      </c>
      <c r="B68">
        <v>0.54</v>
      </c>
      <c r="C68">
        <v>1</v>
      </c>
      <c r="D68">
        <v>0.51500000000000001</v>
      </c>
      <c r="E68">
        <v>1.2768999999999999</v>
      </c>
      <c r="F68">
        <v>-8.3199999999999996E-2</v>
      </c>
    </row>
    <row r="69" spans="1:6" x14ac:dyDescent="0.3">
      <c r="A69" t="s">
        <v>913</v>
      </c>
      <c r="B69">
        <v>0.54</v>
      </c>
      <c r="C69">
        <v>1</v>
      </c>
      <c r="D69">
        <v>0.5</v>
      </c>
      <c r="E69">
        <v>1.55569</v>
      </c>
      <c r="F69">
        <v>-2.87E-2</v>
      </c>
    </row>
    <row r="70" spans="1:6" x14ac:dyDescent="0.3">
      <c r="A70" t="s">
        <v>914</v>
      </c>
      <c r="B70">
        <v>0.54</v>
      </c>
      <c r="C70">
        <v>1</v>
      </c>
      <c r="D70">
        <v>0.5</v>
      </c>
      <c r="E70">
        <v>1.32847</v>
      </c>
      <c r="F70">
        <v>-4.4200000000000003E-2</v>
      </c>
    </row>
    <row r="71" spans="1:6" x14ac:dyDescent="0.3">
      <c r="A71" t="s">
        <v>915</v>
      </c>
      <c r="B71">
        <v>0.54</v>
      </c>
      <c r="C71">
        <v>1</v>
      </c>
      <c r="D71">
        <v>0.52</v>
      </c>
      <c r="E71">
        <v>1.24359</v>
      </c>
      <c r="F71">
        <v>-4.1000000000000002E-2</v>
      </c>
    </row>
    <row r="72" spans="1:6" x14ac:dyDescent="0.3">
      <c r="A72" t="s">
        <v>916</v>
      </c>
      <c r="B72">
        <v>0.54</v>
      </c>
      <c r="C72">
        <v>1</v>
      </c>
      <c r="D72">
        <v>0.51500000000000001</v>
      </c>
      <c r="E72">
        <v>1.0215700000000001</v>
      </c>
      <c r="F72">
        <v>-9.9199999999999997E-2</v>
      </c>
    </row>
    <row r="73" spans="1:6" x14ac:dyDescent="0.3">
      <c r="A73" t="s">
        <v>917</v>
      </c>
      <c r="B73">
        <v>0.54</v>
      </c>
      <c r="C73">
        <v>1</v>
      </c>
      <c r="D73">
        <v>0.505</v>
      </c>
      <c r="E73">
        <v>1.5410900000000001</v>
      </c>
      <c r="F73">
        <v>-6.6000000000000003E-2</v>
      </c>
    </row>
    <row r="74" spans="1:6" x14ac:dyDescent="0.3">
      <c r="A74" t="s">
        <v>918</v>
      </c>
      <c r="B74">
        <v>0.54</v>
      </c>
      <c r="C74">
        <v>1</v>
      </c>
      <c r="D74">
        <v>0.505</v>
      </c>
      <c r="E74">
        <v>1.2869299999999999</v>
      </c>
      <c r="F74">
        <v>-1.38E-2</v>
      </c>
    </row>
    <row r="75" spans="1:6" x14ac:dyDescent="0.3">
      <c r="A75" t="s">
        <v>996</v>
      </c>
      <c r="B75">
        <v>0.57999999999999996</v>
      </c>
      <c r="C75">
        <v>1</v>
      </c>
      <c r="D75">
        <v>0.5</v>
      </c>
      <c r="E75">
        <v>30.05</v>
      </c>
      <c r="F75">
        <v>-0.24099999999999999</v>
      </c>
    </row>
    <row r="76" spans="1:6" x14ac:dyDescent="0.3">
      <c r="A76" t="s">
        <v>997</v>
      </c>
      <c r="B76">
        <v>0.56000000000000005</v>
      </c>
      <c r="C76">
        <v>1</v>
      </c>
      <c r="D76">
        <v>0.51</v>
      </c>
      <c r="E76">
        <v>32.091999999999999</v>
      </c>
      <c r="F76">
        <v>-9.1530000000000005</v>
      </c>
    </row>
    <row r="77" spans="1:6" x14ac:dyDescent="0.3">
      <c r="A77" t="s">
        <v>919</v>
      </c>
      <c r="B77">
        <v>0.54</v>
      </c>
      <c r="C77">
        <v>1</v>
      </c>
      <c r="D77">
        <v>0.5</v>
      </c>
      <c r="E77">
        <v>1.5696600000000001</v>
      </c>
      <c r="F77">
        <v>-5.1200000000000002E-2</v>
      </c>
    </row>
    <row r="78" spans="1:6" x14ac:dyDescent="0.3">
      <c r="A78" t="s">
        <v>920</v>
      </c>
      <c r="B78">
        <v>0.54</v>
      </c>
      <c r="C78">
        <v>1</v>
      </c>
      <c r="D78">
        <v>0.51500000000000001</v>
      </c>
      <c r="E78">
        <v>1.24268</v>
      </c>
      <c r="F78">
        <v>-6.9599999999999995E-2</v>
      </c>
    </row>
    <row r="79" spans="1:6" x14ac:dyDescent="0.3">
      <c r="A79" t="s">
        <v>921</v>
      </c>
      <c r="B79">
        <v>0.54</v>
      </c>
      <c r="C79">
        <v>1</v>
      </c>
      <c r="D79">
        <v>0.505</v>
      </c>
      <c r="E79">
        <v>1.45756</v>
      </c>
      <c r="F79">
        <v>-2.7799999999999998E-2</v>
      </c>
    </row>
    <row r="80" spans="1:6" x14ac:dyDescent="0.3">
      <c r="A80" t="s">
        <v>922</v>
      </c>
      <c r="B80">
        <v>0.54</v>
      </c>
      <c r="C80">
        <v>1</v>
      </c>
      <c r="D80">
        <v>0.51500000000000001</v>
      </c>
      <c r="E80">
        <v>1.4782</v>
      </c>
      <c r="F80">
        <v>-6.13E-2</v>
      </c>
    </row>
    <row r="81" spans="1:6" x14ac:dyDescent="0.3">
      <c r="A81" t="s">
        <v>923</v>
      </c>
      <c r="B81">
        <v>0.56000000000000005</v>
      </c>
      <c r="C81">
        <v>1</v>
      </c>
      <c r="D81">
        <v>0.51500000000000001</v>
      </c>
      <c r="E81">
        <v>1.6689099999999999</v>
      </c>
      <c r="F81">
        <v>-1.4800000000000001E-2</v>
      </c>
    </row>
    <row r="82" spans="1:6" x14ac:dyDescent="0.3">
      <c r="A82" t="s">
        <v>924</v>
      </c>
      <c r="B82">
        <v>0.54</v>
      </c>
      <c r="C82">
        <v>1</v>
      </c>
      <c r="D82">
        <v>0.51500000000000001</v>
      </c>
      <c r="E82">
        <v>1.42187</v>
      </c>
      <c r="F82">
        <v>-5.3800000000000001E-2</v>
      </c>
    </row>
    <row r="83" spans="1:6" x14ac:dyDescent="0.3">
      <c r="A83" t="s">
        <v>925</v>
      </c>
      <c r="B83">
        <v>0.54</v>
      </c>
      <c r="C83">
        <v>1</v>
      </c>
      <c r="D83">
        <v>0.5</v>
      </c>
      <c r="E83">
        <v>1.5983499999999999</v>
      </c>
      <c r="F83">
        <v>-1.66E-2</v>
      </c>
    </row>
    <row r="84" spans="1:6" x14ac:dyDescent="0.3">
      <c r="A84" t="s">
        <v>926</v>
      </c>
      <c r="B84">
        <v>0.54</v>
      </c>
      <c r="C84">
        <v>1</v>
      </c>
      <c r="D84">
        <v>0.52</v>
      </c>
      <c r="E84">
        <v>1.46702</v>
      </c>
      <c r="F84">
        <v>-1E-3</v>
      </c>
    </row>
    <row r="85" spans="1:6" x14ac:dyDescent="0.3">
      <c r="A85" t="s">
        <v>927</v>
      </c>
      <c r="B85">
        <v>0.54</v>
      </c>
      <c r="C85">
        <v>1</v>
      </c>
      <c r="D85">
        <v>0.52500000000000002</v>
      </c>
      <c r="E85">
        <v>1.8331999999999999</v>
      </c>
      <c r="F85">
        <v>-6.7900000000000002E-2</v>
      </c>
    </row>
    <row r="86" spans="1:6" x14ac:dyDescent="0.3">
      <c r="A86" t="s">
        <v>928</v>
      </c>
      <c r="B86">
        <v>0.54</v>
      </c>
      <c r="C86">
        <v>1</v>
      </c>
      <c r="D86">
        <v>0.52</v>
      </c>
      <c r="E86">
        <v>1.82681</v>
      </c>
      <c r="F86">
        <v>-3.3300000000000003E-2</v>
      </c>
    </row>
    <row r="87" spans="1:6" x14ac:dyDescent="0.3">
      <c r="A87" t="s">
        <v>929</v>
      </c>
      <c r="B87">
        <v>0.54</v>
      </c>
      <c r="C87">
        <v>1</v>
      </c>
      <c r="D87">
        <v>0.505</v>
      </c>
      <c r="E87">
        <v>1.9316899999999999</v>
      </c>
      <c r="F87">
        <v>-6.7299999999999999E-2</v>
      </c>
    </row>
    <row r="88" spans="1:6" x14ac:dyDescent="0.3">
      <c r="A88" t="s">
        <v>930</v>
      </c>
      <c r="B88">
        <v>0.54</v>
      </c>
      <c r="C88">
        <v>1</v>
      </c>
      <c r="D88">
        <v>0.505</v>
      </c>
      <c r="E88">
        <v>1.5689599999999999</v>
      </c>
      <c r="F88">
        <v>-3.0099999999999998E-2</v>
      </c>
    </row>
    <row r="89" spans="1:6" x14ac:dyDescent="0.3">
      <c r="A89" t="s">
        <v>931</v>
      </c>
      <c r="B89">
        <v>0.54</v>
      </c>
      <c r="C89">
        <v>1</v>
      </c>
      <c r="D89">
        <v>0.51</v>
      </c>
      <c r="E89">
        <v>1.9345600000000001</v>
      </c>
      <c r="F89">
        <v>-4.0099999999999997E-2</v>
      </c>
    </row>
    <row r="90" spans="1:6" x14ac:dyDescent="0.3">
      <c r="A90" t="s">
        <v>932</v>
      </c>
      <c r="B90">
        <v>0.54</v>
      </c>
      <c r="C90">
        <v>2</v>
      </c>
      <c r="D90">
        <v>0.51</v>
      </c>
      <c r="E90">
        <v>1.95082</v>
      </c>
      <c r="F90">
        <v>-4.0300000000000002E-2</v>
      </c>
    </row>
    <row r="91" spans="1:6" x14ac:dyDescent="0.3">
      <c r="A91" t="s">
        <v>933</v>
      </c>
      <c r="B91">
        <v>0.54</v>
      </c>
      <c r="C91">
        <v>1</v>
      </c>
      <c r="D91">
        <v>0.5</v>
      </c>
      <c r="E91">
        <v>1.8327199999999999</v>
      </c>
      <c r="F91">
        <v>-8.2400000000000001E-2</v>
      </c>
    </row>
    <row r="92" spans="1:6" x14ac:dyDescent="0.3">
      <c r="A92" t="s">
        <v>934</v>
      </c>
      <c r="B92">
        <v>0.54</v>
      </c>
      <c r="C92">
        <v>1</v>
      </c>
      <c r="D92">
        <v>0.505</v>
      </c>
      <c r="E92">
        <v>1.7107000000000001</v>
      </c>
      <c r="F92">
        <v>-9.8500000000000004E-2</v>
      </c>
    </row>
    <row r="93" spans="1:6" x14ac:dyDescent="0.3">
      <c r="A93" t="s">
        <v>998</v>
      </c>
      <c r="B93">
        <v>0.64</v>
      </c>
      <c r="C93">
        <v>1</v>
      </c>
      <c r="D93">
        <v>0.51500000000000001</v>
      </c>
      <c r="E93">
        <v>5.5570000000000001E-2</v>
      </c>
      <c r="F93">
        <v>-1.7099999999999999E-3</v>
      </c>
    </row>
    <row r="94" spans="1:6" x14ac:dyDescent="0.3">
      <c r="A94" t="s">
        <v>999</v>
      </c>
      <c r="B94">
        <v>0.55000000000000004</v>
      </c>
      <c r="C94">
        <v>1</v>
      </c>
      <c r="D94">
        <v>0.52</v>
      </c>
      <c r="E94">
        <v>0.10050000000000001</v>
      </c>
      <c r="F94">
        <v>-9.7860000000000003E-2</v>
      </c>
    </row>
    <row r="95" spans="1:6" x14ac:dyDescent="0.3">
      <c r="A95" t="s">
        <v>1000</v>
      </c>
      <c r="B95">
        <v>0.55000000000000004</v>
      </c>
      <c r="C95">
        <v>1</v>
      </c>
      <c r="D95">
        <v>0.51</v>
      </c>
      <c r="E95">
        <v>19.085000000000001</v>
      </c>
      <c r="F95">
        <v>-6.3380000000000001</v>
      </c>
    </row>
    <row r="96" spans="1:6" x14ac:dyDescent="0.3">
      <c r="A96" t="s">
        <v>1001</v>
      </c>
      <c r="B96">
        <v>0.55000000000000004</v>
      </c>
      <c r="C96">
        <v>1</v>
      </c>
      <c r="D96">
        <v>0.51</v>
      </c>
      <c r="E96">
        <v>20.431999999999999</v>
      </c>
      <c r="F96">
        <v>-1.466</v>
      </c>
    </row>
    <row r="97" spans="1:6" x14ac:dyDescent="0.3">
      <c r="A97" t="s">
        <v>1002</v>
      </c>
      <c r="B97">
        <v>0.54</v>
      </c>
      <c r="C97">
        <v>1</v>
      </c>
      <c r="D97">
        <v>0.51</v>
      </c>
      <c r="E97">
        <v>0.29583999999999999</v>
      </c>
      <c r="F97">
        <v>-3.2820000000000002E-2</v>
      </c>
    </row>
    <row r="98" spans="1:6" x14ac:dyDescent="0.3">
      <c r="A98" t="s">
        <v>1003</v>
      </c>
      <c r="B98">
        <v>0.54</v>
      </c>
      <c r="C98">
        <v>1</v>
      </c>
      <c r="D98">
        <v>0.52</v>
      </c>
      <c r="E98">
        <v>0.19802</v>
      </c>
      <c r="F98">
        <v>-1.4880000000000001E-2</v>
      </c>
    </row>
    <row r="99" spans="1:6" x14ac:dyDescent="0.3">
      <c r="A99" t="s">
        <v>935</v>
      </c>
      <c r="B99">
        <v>0.56000000000000005</v>
      </c>
      <c r="C99">
        <v>4</v>
      </c>
      <c r="D99">
        <v>0.51500000000000001</v>
      </c>
      <c r="E99">
        <v>1.6931799999999999</v>
      </c>
      <c r="F99">
        <v>-5.4300000000000001E-2</v>
      </c>
    </row>
    <row r="100" spans="1:6" x14ac:dyDescent="0.3">
      <c r="A100" t="s">
        <v>936</v>
      </c>
      <c r="B100">
        <v>0.54</v>
      </c>
      <c r="C100">
        <v>1</v>
      </c>
      <c r="D100">
        <v>0.5</v>
      </c>
      <c r="E100">
        <v>2.0428600000000001</v>
      </c>
      <c r="F100">
        <v>-1.38E-2</v>
      </c>
    </row>
    <row r="101" spans="1:6" x14ac:dyDescent="0.3">
      <c r="A101" t="s">
        <v>937</v>
      </c>
      <c r="B101">
        <v>0.54</v>
      </c>
      <c r="C101">
        <v>1</v>
      </c>
      <c r="D101">
        <v>0.52</v>
      </c>
      <c r="E101">
        <v>1.86127</v>
      </c>
      <c r="F101">
        <v>-6.7799999999999999E-2</v>
      </c>
    </row>
    <row r="102" spans="1:6" x14ac:dyDescent="0.3">
      <c r="A102" t="s">
        <v>938</v>
      </c>
      <c r="B102">
        <v>0.55000000000000004</v>
      </c>
      <c r="C102">
        <v>1</v>
      </c>
      <c r="D102">
        <v>0.52</v>
      </c>
      <c r="E102">
        <v>1.6034200000000001</v>
      </c>
      <c r="F102">
        <v>-2.8899999999999999E-2</v>
      </c>
    </row>
    <row r="103" spans="1:6" x14ac:dyDescent="0.3">
      <c r="A103" t="s">
        <v>939</v>
      </c>
      <c r="B103">
        <v>0.54</v>
      </c>
      <c r="C103">
        <v>1</v>
      </c>
      <c r="D103">
        <v>0.51</v>
      </c>
      <c r="E103">
        <v>2.0441199999999999</v>
      </c>
      <c r="F103">
        <v>-2.53E-2</v>
      </c>
    </row>
    <row r="104" spans="1:6" x14ac:dyDescent="0.3">
      <c r="A104" t="s">
        <v>940</v>
      </c>
      <c r="B104">
        <v>0.54</v>
      </c>
      <c r="C104">
        <v>1</v>
      </c>
      <c r="D104">
        <v>0.52</v>
      </c>
      <c r="E104">
        <v>1.63954</v>
      </c>
      <c r="F104">
        <v>-4.5699999999999998E-2</v>
      </c>
    </row>
    <row r="105" spans="1:6" x14ac:dyDescent="0.3">
      <c r="A105" t="s">
        <v>941</v>
      </c>
      <c r="B105">
        <v>0.54</v>
      </c>
      <c r="C105">
        <v>1</v>
      </c>
      <c r="D105">
        <v>0.51500000000000001</v>
      </c>
      <c r="E105">
        <v>1.79593</v>
      </c>
      <c r="F105">
        <v>-5.6300000000000003E-2</v>
      </c>
    </row>
    <row r="106" spans="1:6" x14ac:dyDescent="0.3">
      <c r="A106" t="s">
        <v>942</v>
      </c>
      <c r="B106">
        <v>0.54</v>
      </c>
      <c r="C106">
        <v>2</v>
      </c>
      <c r="D106">
        <v>0.5</v>
      </c>
      <c r="E106">
        <v>1.4993099999999999</v>
      </c>
      <c r="F106">
        <v>-3.8300000000000001E-2</v>
      </c>
    </row>
    <row r="107" spans="1:6" x14ac:dyDescent="0.3">
      <c r="A107" t="s">
        <v>944</v>
      </c>
      <c r="B107">
        <v>0.56000000000000005</v>
      </c>
      <c r="C107">
        <v>1</v>
      </c>
      <c r="D107">
        <v>0.51</v>
      </c>
      <c r="E107">
        <v>1.5390999999999999</v>
      </c>
      <c r="F107">
        <v>-2.64E-2</v>
      </c>
    </row>
    <row r="108" spans="1:6" x14ac:dyDescent="0.3">
      <c r="A108" t="s">
        <v>945</v>
      </c>
      <c r="B108">
        <v>0.54</v>
      </c>
      <c r="C108">
        <v>1</v>
      </c>
      <c r="D108">
        <v>0.51</v>
      </c>
      <c r="E108">
        <v>1.1764300000000001</v>
      </c>
      <c r="F108">
        <v>-2.23E-2</v>
      </c>
    </row>
    <row r="109" spans="1:6" x14ac:dyDescent="0.3">
      <c r="A109" t="s">
        <v>946</v>
      </c>
      <c r="B109">
        <v>0.54</v>
      </c>
      <c r="C109">
        <v>1</v>
      </c>
      <c r="D109">
        <v>0.5</v>
      </c>
      <c r="E109">
        <v>1.6383399999999999</v>
      </c>
      <c r="F109">
        <v>-5.8500000000000003E-2</v>
      </c>
    </row>
    <row r="110" spans="1:6" x14ac:dyDescent="0.3">
      <c r="A110" t="s">
        <v>947</v>
      </c>
      <c r="B110">
        <v>0.54</v>
      </c>
      <c r="C110">
        <v>1</v>
      </c>
      <c r="D110">
        <v>0.51</v>
      </c>
      <c r="E110">
        <v>1.0434099999999999</v>
      </c>
      <c r="F110">
        <v>-5.3400000000000003E-2</v>
      </c>
    </row>
    <row r="111" spans="1:6" x14ac:dyDescent="0.3">
      <c r="A111" t="s">
        <v>948</v>
      </c>
      <c r="B111">
        <v>0.54</v>
      </c>
      <c r="C111">
        <v>1</v>
      </c>
      <c r="D111">
        <v>0.505</v>
      </c>
      <c r="E111">
        <v>1.4131400000000001</v>
      </c>
      <c r="F111">
        <v>-0.03</v>
      </c>
    </row>
    <row r="112" spans="1:6" x14ac:dyDescent="0.3">
      <c r="A112" t="s">
        <v>949</v>
      </c>
      <c r="B112">
        <v>0.54</v>
      </c>
      <c r="C112">
        <v>1</v>
      </c>
      <c r="D112">
        <v>0.51</v>
      </c>
      <c r="E112">
        <v>1.24501</v>
      </c>
      <c r="F112">
        <v>-1.5800000000000002E-2</v>
      </c>
    </row>
    <row r="113" spans="1:6" x14ac:dyDescent="0.3">
      <c r="A113" t="s">
        <v>950</v>
      </c>
      <c r="B113">
        <v>0.54</v>
      </c>
      <c r="C113">
        <v>1</v>
      </c>
      <c r="D113">
        <v>0.5</v>
      </c>
      <c r="E113">
        <v>1.4869000000000001</v>
      </c>
      <c r="F113">
        <v>-3.09E-2</v>
      </c>
    </row>
    <row r="114" spans="1:6" x14ac:dyDescent="0.3">
      <c r="A114" t="s">
        <v>951</v>
      </c>
      <c r="B114">
        <v>0.54</v>
      </c>
      <c r="C114">
        <v>1</v>
      </c>
      <c r="D114">
        <v>0.505</v>
      </c>
      <c r="E114">
        <v>1.1453800000000001</v>
      </c>
      <c r="F114">
        <v>-4.8500000000000001E-2</v>
      </c>
    </row>
    <row r="115" spans="1:6" x14ac:dyDescent="0.3">
      <c r="A115" t="s">
        <v>952</v>
      </c>
      <c r="B115">
        <v>0.54</v>
      </c>
      <c r="C115">
        <v>1</v>
      </c>
      <c r="D115">
        <v>0.51500000000000001</v>
      </c>
      <c r="E115">
        <v>1.5437099999999999</v>
      </c>
      <c r="F115">
        <v>-3.3099999999999997E-2</v>
      </c>
    </row>
    <row r="116" spans="1:6" x14ac:dyDescent="0.3">
      <c r="A116" t="s">
        <v>953</v>
      </c>
      <c r="B116">
        <v>0.54</v>
      </c>
      <c r="C116">
        <v>1</v>
      </c>
      <c r="D116">
        <v>0.5</v>
      </c>
      <c r="E116">
        <v>1.38253</v>
      </c>
      <c r="F116">
        <v>-4.1200000000000001E-2</v>
      </c>
    </row>
    <row r="117" spans="1:6" x14ac:dyDescent="0.3">
      <c r="A117" t="s">
        <v>954</v>
      </c>
      <c r="B117">
        <v>0.54</v>
      </c>
      <c r="C117">
        <v>1</v>
      </c>
      <c r="D117">
        <v>0.505</v>
      </c>
      <c r="E117">
        <v>1.68062</v>
      </c>
      <c r="F117">
        <v>-5.96E-2</v>
      </c>
    </row>
    <row r="118" spans="1:6" x14ac:dyDescent="0.3">
      <c r="A118" t="s">
        <v>955</v>
      </c>
      <c r="B118">
        <v>0.54</v>
      </c>
      <c r="C118">
        <v>1</v>
      </c>
      <c r="D118">
        <v>0.51</v>
      </c>
      <c r="E118">
        <v>1.2685900000000001</v>
      </c>
      <c r="F118">
        <v>-4.2999999999999997E-2</v>
      </c>
    </row>
    <row r="119" spans="1:6" x14ac:dyDescent="0.3">
      <c r="A119" t="s">
        <v>956</v>
      </c>
      <c r="B119">
        <v>0.54</v>
      </c>
      <c r="C119">
        <v>1</v>
      </c>
      <c r="D119">
        <v>0.505</v>
      </c>
      <c r="E119">
        <v>1.7669299999999999</v>
      </c>
      <c r="F119">
        <v>-3.2599999999999997E-2</v>
      </c>
    </row>
    <row r="120" spans="1:6" x14ac:dyDescent="0.3">
      <c r="A120" t="s">
        <v>957</v>
      </c>
      <c r="B120">
        <v>0.54</v>
      </c>
      <c r="C120">
        <v>1</v>
      </c>
      <c r="D120">
        <v>0.505</v>
      </c>
      <c r="E120">
        <v>1.0113799999999999</v>
      </c>
      <c r="F120">
        <v>-3.4000000000000002E-2</v>
      </c>
    </row>
    <row r="121" spans="1:6" x14ac:dyDescent="0.3">
      <c r="A121" t="s">
        <v>958</v>
      </c>
      <c r="B121">
        <v>0.54</v>
      </c>
      <c r="C121">
        <v>1</v>
      </c>
      <c r="D121">
        <v>0.51</v>
      </c>
      <c r="E121">
        <v>1.44017</v>
      </c>
      <c r="F121">
        <v>-4.6600000000000003E-2</v>
      </c>
    </row>
    <row r="122" spans="1:6" x14ac:dyDescent="0.3">
      <c r="A122" t="s">
        <v>959</v>
      </c>
      <c r="B122">
        <v>0.54</v>
      </c>
      <c r="C122">
        <v>1</v>
      </c>
      <c r="D122">
        <v>0.52</v>
      </c>
      <c r="E122">
        <v>1.35232</v>
      </c>
      <c r="F122">
        <v>-2.6499999999999999E-2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Files compared</vt:lpstr>
      <vt:lpstr>Files</vt:lpstr>
      <vt:lpstr>Files sql</vt:lpstr>
      <vt:lpstr>Files compared backup</vt:lpstr>
      <vt:lpstr>Files top1</vt:lpstr>
      <vt:lpstr>'Files top1'!cmp_1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cp:lastPrinted>2018-10-23T09:45:20Z</cp:lastPrinted>
  <dcterms:created xsi:type="dcterms:W3CDTF">2018-10-16T21:19:56Z</dcterms:created>
  <dcterms:modified xsi:type="dcterms:W3CDTF">2018-10-23T12:22:19Z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a989cb34-b807-4c5a-a596-7bbe6f260236</vt:lpwstr>
  </property>
</Properties>
</file>