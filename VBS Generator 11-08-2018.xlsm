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2" defaultThemeVersion="153222"/>
  <mc:AlternateContent xmlns:mc="http://schemas.openxmlformats.org/markup-compatibility/2006">
    <mc:Choice Requires="x15">
      <x15ac:absPath xmlns:x15ac="http://schemas.microsoft.com/office/spreadsheetml/2010/11/ac" url="C:\Users\Administrator\Desktop\Terminals\EURUSD-1D\MQL4\Files\"/>
    </mc:Choice>
  </mc:AlternateContent>
  <bookViews>
    <workbookView xWindow="0" yWindow="0" windowWidth="23040" windowHeight="9384" tabRatio="835" firstSheet="2" activeTab="5"/>
  </bookViews>
  <sheets>
    <sheet name="Files 5k 00-15-30-50 Cuts 1-2" sheetId="30513" r:id="rId1"/>
    <sheet name="Files 50k 00-15-30" sheetId="30507" r:id="rId2"/>
    <sheet name="Files sig-gen" sheetId="30511" r:id="rId3"/>
    <sheet name="Sheet4" sheetId="30512" r:id="rId4"/>
    <sheet name="Files SQL Stats" sheetId="30510" r:id="rId5"/>
    <sheet name="Files SQL" sheetId="30509" r:id="rId6"/>
    <sheet name="Files Statistics" sheetId="30508" r:id="rId7"/>
    <sheet name="Files 10k 00-15-30-50" sheetId="30505" r:id="rId8"/>
    <sheet name="Files 5k 00-15-30-50" sheetId="30504" r:id="rId9"/>
    <sheet name="Files 1k 00-15-30-50" sheetId="30502" r:id="rId10"/>
  </sheets>
  <definedNames>
    <definedName name="_xlnm._FilterDatabase" localSheetId="4" hidden="1">'Files SQL Stats'!$A$1:$O$1</definedName>
  </definedNames>
  <calcPr calcId="152511"/>
</workbook>
</file>

<file path=xl/calcChain.xml><?xml version="1.0" encoding="utf-8"?>
<calcChain xmlns="http://schemas.openxmlformats.org/spreadsheetml/2006/main">
  <c r="J25" i="30511" l="1"/>
  <c r="J26" i="30511"/>
  <c r="J27" i="30511"/>
  <c r="J28" i="30511"/>
  <c r="J29" i="30511"/>
  <c r="J30" i="30511"/>
  <c r="J31" i="30511"/>
  <c r="J32" i="30511"/>
  <c r="J33" i="30511"/>
  <c r="J34" i="30511"/>
  <c r="J35" i="30511"/>
  <c r="J36" i="30511"/>
  <c r="J37" i="30511"/>
  <c r="J38" i="30511"/>
  <c r="J39" i="30511"/>
  <c r="J40" i="30511"/>
  <c r="J41" i="30511"/>
  <c r="J42" i="30511"/>
  <c r="J43" i="30511"/>
  <c r="J44" i="30511"/>
  <c r="J45" i="30511"/>
  <c r="J46" i="30511"/>
  <c r="J47" i="30511"/>
  <c r="J48" i="30511"/>
  <c r="J49" i="30511"/>
  <c r="J50" i="30511"/>
  <c r="J51" i="30511"/>
  <c r="J52" i="30511"/>
  <c r="J53" i="30511"/>
  <c r="J54" i="30511"/>
  <c r="J55" i="30511"/>
  <c r="J56" i="30511"/>
  <c r="J57" i="30511"/>
  <c r="J58" i="30511"/>
  <c r="J59" i="30511"/>
  <c r="J60" i="30511"/>
  <c r="J61" i="30511"/>
  <c r="J62" i="30511"/>
  <c r="J63" i="30511"/>
  <c r="J64" i="30511"/>
  <c r="J65" i="30511"/>
  <c r="J66" i="30511"/>
  <c r="J67" i="30511"/>
  <c r="J68" i="30511"/>
  <c r="J69" i="30511"/>
  <c r="J70" i="30511"/>
  <c r="J71" i="30511"/>
  <c r="J72" i="30511"/>
  <c r="J73" i="30511"/>
  <c r="J74" i="30511"/>
  <c r="J75" i="30511"/>
  <c r="J76" i="30511"/>
  <c r="J77" i="30511"/>
  <c r="J78" i="30511"/>
  <c r="J79" i="30511"/>
  <c r="J80" i="30511"/>
  <c r="J81" i="30511"/>
  <c r="J82" i="30511"/>
  <c r="J83" i="30511"/>
  <c r="J84" i="30511"/>
  <c r="J85" i="30511"/>
  <c r="J86" i="30511"/>
  <c r="J87" i="30511"/>
  <c r="J88" i="30511"/>
  <c r="J89" i="30511"/>
  <c r="J90" i="30511"/>
  <c r="J91" i="30511"/>
  <c r="J92" i="30511"/>
  <c r="J93" i="30511"/>
  <c r="J94" i="30511"/>
  <c r="J95" i="30511"/>
  <c r="J96" i="30511"/>
  <c r="J97" i="30511"/>
  <c r="J98" i="30511"/>
  <c r="J99" i="30511"/>
  <c r="J100" i="30511"/>
  <c r="J101" i="30511"/>
  <c r="J102" i="30511"/>
  <c r="J103" i="30511"/>
  <c r="J104" i="30511"/>
  <c r="J105" i="30511"/>
  <c r="J106" i="30511"/>
  <c r="J107" i="30511"/>
  <c r="J108" i="30511"/>
  <c r="J109" i="30511"/>
  <c r="J110" i="30511"/>
  <c r="J111" i="30511"/>
  <c r="J112" i="30511"/>
  <c r="J113" i="30511"/>
  <c r="J114" i="30511"/>
  <c r="J115" i="30511"/>
  <c r="J116" i="30511"/>
  <c r="J117" i="30511"/>
  <c r="J118" i="30511"/>
  <c r="J119" i="30511"/>
  <c r="J120" i="30511"/>
  <c r="J121" i="30511"/>
  <c r="J122" i="30511"/>
  <c r="J123" i="30511"/>
  <c r="J124" i="30511"/>
  <c r="J125" i="30511"/>
  <c r="J126" i="30511"/>
  <c r="J127" i="30511"/>
  <c r="J128" i="30511"/>
  <c r="J129" i="30511"/>
  <c r="J130" i="30511"/>
  <c r="J131" i="30511"/>
  <c r="J132" i="30511"/>
  <c r="J133" i="30511"/>
  <c r="J134" i="30511"/>
  <c r="J135" i="30511"/>
  <c r="J136" i="30511"/>
  <c r="J137" i="30511"/>
  <c r="J138" i="30511"/>
  <c r="J139" i="30511"/>
  <c r="J140" i="30511"/>
  <c r="J141" i="30511"/>
  <c r="J142" i="30511"/>
  <c r="J143" i="30511"/>
  <c r="J144" i="30511"/>
  <c r="J145" i="30511"/>
  <c r="J146" i="30511"/>
  <c r="J147" i="30511"/>
  <c r="J148" i="30511"/>
  <c r="J149" i="30511"/>
  <c r="J150" i="30511"/>
  <c r="J151" i="30511"/>
  <c r="J152" i="30511"/>
  <c r="J153" i="30511"/>
  <c r="J154" i="30511"/>
  <c r="J155" i="30511"/>
  <c r="J156" i="30511"/>
  <c r="J157" i="30511"/>
  <c r="J158" i="30511"/>
  <c r="J159" i="30511"/>
  <c r="J160" i="30511"/>
  <c r="J161" i="30511"/>
  <c r="J162" i="30511"/>
  <c r="J163" i="30511"/>
  <c r="J164" i="30511"/>
  <c r="J165" i="30511"/>
  <c r="J166" i="30511"/>
  <c r="J167" i="30511"/>
  <c r="J168" i="30511"/>
  <c r="J169" i="30511"/>
  <c r="J170" i="30511"/>
  <c r="J171" i="30511"/>
  <c r="J172" i="30511"/>
  <c r="J173" i="30511"/>
  <c r="J174" i="30511"/>
  <c r="J175" i="30511"/>
  <c r="J176" i="30511"/>
  <c r="J177" i="30511"/>
  <c r="J178" i="30511"/>
  <c r="J179" i="30511"/>
  <c r="J180" i="30511"/>
  <c r="J181" i="30511"/>
  <c r="J182" i="30511"/>
  <c r="J183" i="30511"/>
  <c r="J184" i="30511"/>
  <c r="J185" i="30511"/>
  <c r="J186" i="30511"/>
  <c r="J187" i="30511"/>
  <c r="J188" i="30511"/>
  <c r="J189" i="30511"/>
  <c r="J190" i="30511"/>
  <c r="J191" i="30511"/>
  <c r="J192" i="30511"/>
  <c r="J193" i="30511"/>
  <c r="J194" i="30511"/>
  <c r="J195" i="30511"/>
  <c r="J196" i="30511"/>
  <c r="J197" i="30511"/>
  <c r="J198" i="30511"/>
  <c r="J199" i="30511"/>
  <c r="J200" i="30511"/>
  <c r="J201" i="30511"/>
  <c r="J202" i="30511"/>
  <c r="J203" i="30511"/>
  <c r="J204" i="30511"/>
  <c r="J205" i="30511"/>
  <c r="J206" i="30511"/>
  <c r="J207" i="30511"/>
  <c r="J208" i="30511"/>
  <c r="J209" i="30511"/>
  <c r="J210" i="30511"/>
  <c r="J211" i="30511"/>
  <c r="J212" i="30511"/>
  <c r="J213" i="30511"/>
  <c r="J214" i="30511"/>
  <c r="J215" i="30511"/>
  <c r="J216" i="30511"/>
  <c r="J217" i="30511"/>
  <c r="J218" i="30511"/>
  <c r="J219" i="30511"/>
  <c r="J220" i="30511"/>
  <c r="J221" i="30511"/>
  <c r="J24" i="30511"/>
  <c r="J21" i="30511"/>
  <c r="J22" i="30511"/>
  <c r="J23" i="30511"/>
  <c r="J3" i="30511"/>
  <c r="J4" i="30511"/>
  <c r="J5" i="30511"/>
  <c r="J6" i="30511"/>
  <c r="J7" i="30511"/>
  <c r="J8" i="30511"/>
  <c r="J9" i="30511"/>
  <c r="J10" i="30511"/>
  <c r="J11" i="30511"/>
  <c r="J12" i="30511"/>
  <c r="J13" i="30511"/>
  <c r="J14" i="30511"/>
  <c r="J15" i="30511"/>
  <c r="J16" i="30511"/>
  <c r="J17" i="30511"/>
  <c r="J18" i="30511"/>
  <c r="J19" i="30511"/>
  <c r="J20" i="30511"/>
  <c r="J2" i="30511"/>
  <c r="C2" i="30509"/>
  <c r="C3" i="30509"/>
  <c r="C4" i="30509"/>
  <c r="C5" i="30509"/>
  <c r="C6" i="30509"/>
  <c r="C7" i="30509"/>
  <c r="C8" i="30509"/>
  <c r="C9" i="30509"/>
  <c r="C10" i="30509"/>
  <c r="C11" i="30509"/>
  <c r="C12" i="30509"/>
  <c r="C13" i="30509"/>
  <c r="C14" i="30509"/>
  <c r="C15" i="30509"/>
  <c r="C16" i="30509"/>
  <c r="C17" i="30509"/>
  <c r="C18" i="30509"/>
  <c r="C19" i="30509"/>
  <c r="C20" i="30509"/>
  <c r="C21" i="30509"/>
  <c r="C22" i="30509"/>
  <c r="C23" i="30509"/>
  <c r="C24" i="30509"/>
  <c r="C25" i="30509"/>
  <c r="C26" i="30509"/>
  <c r="C27" i="30509"/>
  <c r="C28" i="30509"/>
  <c r="C29" i="30509"/>
  <c r="C30" i="30509"/>
  <c r="C31" i="30509"/>
  <c r="C32" i="30509"/>
  <c r="C33" i="30509"/>
  <c r="C34" i="30509"/>
  <c r="C35" i="30509"/>
  <c r="C36" i="30509"/>
  <c r="C37" i="30509"/>
  <c r="C38" i="30509"/>
  <c r="C39" i="30509"/>
  <c r="C40" i="30509"/>
  <c r="C41" i="30509"/>
  <c r="C42" i="30509"/>
  <c r="C43" i="30509"/>
  <c r="C44" i="30509"/>
  <c r="C45" i="30509"/>
  <c r="C46" i="30509"/>
  <c r="C47" i="30509"/>
  <c r="C48" i="30509"/>
  <c r="C49" i="30509"/>
  <c r="C50" i="30509"/>
  <c r="C51" i="30509"/>
  <c r="C52" i="30509"/>
  <c r="C53" i="30509"/>
  <c r="C54" i="30509"/>
  <c r="C55" i="30509"/>
  <c r="C56" i="30509"/>
  <c r="C57" i="30509"/>
  <c r="C58" i="30509"/>
  <c r="C59" i="30509"/>
  <c r="C60" i="30509"/>
  <c r="C61" i="30509"/>
  <c r="C62" i="30509"/>
  <c r="C63" i="30509"/>
  <c r="C64" i="30509"/>
  <c r="C65" i="30509"/>
  <c r="C66" i="30509"/>
  <c r="C67" i="30509"/>
  <c r="C68" i="30509"/>
  <c r="C69" i="30509"/>
  <c r="C70" i="30509"/>
  <c r="C71" i="30509"/>
  <c r="C72" i="30509"/>
  <c r="C73" i="30509"/>
  <c r="C74" i="30509"/>
  <c r="C75" i="30509"/>
  <c r="C76" i="30509"/>
  <c r="C77" i="30509"/>
  <c r="C78" i="30509"/>
  <c r="C79" i="30509"/>
  <c r="C80" i="30509"/>
  <c r="C81" i="30509"/>
  <c r="C82" i="30509"/>
  <c r="C83" i="30509"/>
  <c r="C84" i="30509"/>
  <c r="C85" i="30509"/>
  <c r="C86" i="30509"/>
  <c r="C87" i="30509"/>
  <c r="C88" i="30509"/>
  <c r="C89" i="30509"/>
  <c r="C90" i="30509"/>
  <c r="C91" i="30509"/>
  <c r="C92" i="30509"/>
  <c r="C93" i="30509"/>
  <c r="C94" i="30509"/>
  <c r="C95" i="30509"/>
  <c r="C96" i="30509"/>
  <c r="C97" i="30509"/>
  <c r="C98" i="30509"/>
  <c r="C99" i="30509"/>
  <c r="C100" i="30509"/>
  <c r="C101" i="30509"/>
  <c r="C102" i="30509"/>
  <c r="C103" i="30509"/>
  <c r="C104" i="30509"/>
  <c r="C105" i="30509"/>
  <c r="C106" i="30509"/>
  <c r="C107" i="30509"/>
  <c r="C108" i="30509"/>
  <c r="C109" i="30509"/>
  <c r="C110" i="30509"/>
  <c r="C111" i="30509"/>
  <c r="C112" i="30509"/>
  <c r="C113" i="30509"/>
  <c r="C114" i="30509"/>
  <c r="C115" i="30509"/>
  <c r="C116" i="30509"/>
  <c r="C117" i="30509"/>
  <c r="C118" i="30509"/>
  <c r="C119" i="30509"/>
  <c r="C120" i="30509"/>
  <c r="C121" i="30509"/>
  <c r="C122" i="30509"/>
  <c r="C123" i="30509"/>
  <c r="C124" i="30509"/>
  <c r="C125" i="30509"/>
  <c r="C126" i="30509"/>
  <c r="C127" i="30509"/>
  <c r="C128" i="30509"/>
  <c r="C129" i="30509"/>
  <c r="C130" i="30509"/>
  <c r="C131" i="30509"/>
  <c r="C132" i="30509"/>
  <c r="C133" i="30509"/>
  <c r="C134" i="30509"/>
  <c r="C135" i="30509"/>
  <c r="C136" i="30509"/>
  <c r="C137" i="30509"/>
  <c r="C138" i="30509"/>
  <c r="C139" i="30509"/>
  <c r="C140" i="30509"/>
  <c r="C141" i="30509"/>
  <c r="C142" i="30509"/>
  <c r="C143" i="30509"/>
  <c r="C144" i="30509"/>
  <c r="C145" i="30509"/>
  <c r="C146" i="30509"/>
  <c r="C147" i="30509"/>
  <c r="C148" i="30509"/>
  <c r="C149" i="30509"/>
  <c r="C150" i="30509"/>
  <c r="C151" i="30509"/>
  <c r="C152" i="30509"/>
  <c r="C153" i="30509"/>
  <c r="C154" i="30509"/>
  <c r="C155" i="30509"/>
  <c r="C156" i="30509"/>
  <c r="C157" i="30509"/>
  <c r="C158" i="30509"/>
  <c r="C159" i="30509"/>
  <c r="C160" i="30509"/>
  <c r="C161" i="30509"/>
  <c r="C162" i="30509"/>
  <c r="C163" i="30509"/>
  <c r="C164" i="30509"/>
  <c r="C165" i="30509"/>
  <c r="C166" i="30509"/>
  <c r="C167" i="30509"/>
  <c r="C168" i="30509"/>
  <c r="C169" i="30509"/>
  <c r="C170" i="30509"/>
  <c r="C171" i="30509"/>
  <c r="C172" i="30509"/>
  <c r="C173" i="30509"/>
  <c r="C174" i="30509"/>
  <c r="C175" i="30509"/>
  <c r="C176" i="30509"/>
  <c r="C177" i="30509"/>
  <c r="C178" i="30509"/>
  <c r="C179" i="30509"/>
  <c r="C180" i="30509"/>
  <c r="C181" i="30509"/>
  <c r="C182" i="30509"/>
  <c r="C183" i="30509"/>
  <c r="C184" i="30509"/>
  <c r="C185" i="30509"/>
  <c r="C186" i="30509"/>
  <c r="C187" i="30509"/>
  <c r="C188" i="30509"/>
  <c r="C189" i="30509"/>
  <c r="C190" i="30509"/>
  <c r="C191" i="30509"/>
  <c r="C192" i="30509"/>
  <c r="C193" i="30509"/>
  <c r="C194" i="30509"/>
  <c r="C195" i="30509"/>
  <c r="C196" i="30509"/>
  <c r="C197" i="30509"/>
  <c r="C198" i="30509"/>
  <c r="C199" i="30509"/>
  <c r="C200" i="30509"/>
  <c r="C201" i="30509"/>
  <c r="C202" i="30509"/>
  <c r="C203" i="30509"/>
  <c r="C204" i="30509"/>
  <c r="C205" i="30509"/>
  <c r="C206" i="30509"/>
  <c r="C207" i="30509"/>
  <c r="C208" i="30509"/>
  <c r="C209" i="30509"/>
  <c r="C210" i="30509"/>
  <c r="C211" i="30509"/>
  <c r="C212" i="30509"/>
  <c r="C213" i="30509"/>
  <c r="C214" i="30509"/>
  <c r="C215" i="30509"/>
  <c r="C216" i="30509"/>
  <c r="C217" i="30509"/>
  <c r="C218" i="30509"/>
  <c r="C219" i="30509"/>
  <c r="C220" i="30509"/>
  <c r="C1" i="30509"/>
  <c r="D36" i="30513" l="1"/>
  <c r="D33" i="30513"/>
  <c r="I25" i="30513" s="1"/>
  <c r="D31" i="30513"/>
  <c r="I21" i="30513" s="1"/>
  <c r="I26" i="30513"/>
  <c r="I24" i="30513"/>
  <c r="I23" i="30513"/>
  <c r="G22" i="30513"/>
  <c r="E21" i="30513"/>
  <c r="G21" i="30513" s="1"/>
  <c r="D15" i="30513"/>
  <c r="I7" i="30513" s="1"/>
  <c r="D18" i="30513"/>
  <c r="D13" i="30513"/>
  <c r="I3" i="30513" s="1"/>
  <c r="I8" i="30513"/>
  <c r="I6" i="30513"/>
  <c r="I5" i="30513"/>
  <c r="G4" i="30513"/>
  <c r="E3" i="30513"/>
  <c r="G3" i="30513" s="1"/>
  <c r="T12" i="30512"/>
  <c r="U12" i="30512" s="1"/>
  <c r="T14" i="30512" s="1"/>
  <c r="D30" i="30513" l="1"/>
  <c r="I22" i="30513" s="1"/>
  <c r="D12" i="30513"/>
  <c r="D72" i="30505"/>
  <c r="D69" i="30505"/>
  <c r="I61" i="30505" s="1"/>
  <c r="D67" i="30505"/>
  <c r="I57" i="30505" s="1"/>
  <c r="I62" i="30505"/>
  <c r="I60" i="30505"/>
  <c r="I59" i="30505"/>
  <c r="G58" i="30505"/>
  <c r="E57" i="30505"/>
  <c r="G57" i="30505" s="1"/>
  <c r="I29" i="30513" l="1"/>
  <c r="I4" i="30513"/>
  <c r="I11" i="30513"/>
  <c r="D66" i="30505"/>
  <c r="I58" i="30505" s="1"/>
  <c r="I65" i="30505" l="1"/>
  <c r="D72" i="30504" l="1"/>
  <c r="D69" i="30504"/>
  <c r="I61" i="30504" s="1"/>
  <c r="D67" i="30504"/>
  <c r="I57" i="30504" s="1"/>
  <c r="I62" i="30504"/>
  <c r="I60" i="30504"/>
  <c r="I59" i="30504"/>
  <c r="G58" i="30504"/>
  <c r="E57" i="30504"/>
  <c r="G57" i="30504" s="1"/>
  <c r="D72" i="30502"/>
  <c r="D69" i="30502"/>
  <c r="I61" i="30502" s="1"/>
  <c r="D67" i="30502"/>
  <c r="I57" i="30502" s="1"/>
  <c r="I62" i="30502"/>
  <c r="I60" i="30502"/>
  <c r="I59" i="30502"/>
  <c r="G58" i="30502"/>
  <c r="E57" i="30502"/>
  <c r="G57" i="30502" s="1"/>
  <c r="D54" i="30507"/>
  <c r="D51" i="30507"/>
  <c r="I43" i="30507" s="1"/>
  <c r="D49" i="30507"/>
  <c r="I44" i="30507"/>
  <c r="I42" i="30507"/>
  <c r="I41" i="30507"/>
  <c r="G40" i="30507"/>
  <c r="E39" i="30507"/>
  <c r="G39" i="30507" s="1"/>
  <c r="D36" i="30507"/>
  <c r="D33" i="30507"/>
  <c r="I25" i="30507" s="1"/>
  <c r="D31" i="30507"/>
  <c r="I26" i="30507"/>
  <c r="I24" i="30507"/>
  <c r="I23" i="30507"/>
  <c r="G22" i="30507"/>
  <c r="E21" i="30507"/>
  <c r="G21" i="30507" s="1"/>
  <c r="D15" i="30507"/>
  <c r="I7" i="30507" s="1"/>
  <c r="D14" i="30507"/>
  <c r="D18" i="30507" s="1"/>
  <c r="D13" i="30507"/>
  <c r="I3" i="30507" s="1"/>
  <c r="I8" i="30507"/>
  <c r="I6" i="30507"/>
  <c r="G4" i="30507"/>
  <c r="E3" i="30507"/>
  <c r="G3" i="30507" s="1"/>
  <c r="D48" i="30507" l="1"/>
  <c r="I47" i="30507" s="1"/>
  <c r="D66" i="30502"/>
  <c r="I65" i="30502" s="1"/>
  <c r="D30" i="30507"/>
  <c r="I29" i="30507" s="1"/>
  <c r="D66" i="30504"/>
  <c r="I65" i="30504" s="1"/>
  <c r="D12" i="30507"/>
  <c r="I11" i="30507" s="1"/>
  <c r="I21" i="30507"/>
  <c r="I39" i="30507"/>
  <c r="I5" i="30507"/>
  <c r="D54" i="30505"/>
  <c r="D51" i="30505"/>
  <c r="I43" i="30505" s="1"/>
  <c r="D49" i="30505"/>
  <c r="I39" i="30505" s="1"/>
  <c r="I44" i="30505"/>
  <c r="I42" i="30505"/>
  <c r="I41" i="30505"/>
  <c r="G40" i="30505"/>
  <c r="E39" i="30505"/>
  <c r="G39" i="30505" s="1"/>
  <c r="D36" i="30505"/>
  <c r="D33" i="30505"/>
  <c r="I25" i="30505" s="1"/>
  <c r="D31" i="30505"/>
  <c r="I21" i="30505" s="1"/>
  <c r="I26" i="30505"/>
  <c r="I24" i="30505"/>
  <c r="I23" i="30505"/>
  <c r="G22" i="30505"/>
  <c r="E21" i="30505"/>
  <c r="G21" i="30505" s="1"/>
  <c r="D15" i="30505"/>
  <c r="I7" i="30505" s="1"/>
  <c r="D14" i="30505"/>
  <c r="I5" i="30505" s="1"/>
  <c r="D13" i="30505"/>
  <c r="I8" i="30505"/>
  <c r="I6" i="30505"/>
  <c r="G4" i="30505"/>
  <c r="E3" i="30505"/>
  <c r="G3" i="30505" s="1"/>
  <c r="D54" i="30504"/>
  <c r="D51" i="30504"/>
  <c r="I43" i="30504" s="1"/>
  <c r="D49" i="30504"/>
  <c r="I44" i="30504"/>
  <c r="I42" i="30504"/>
  <c r="I41" i="30504"/>
  <c r="G40" i="30504"/>
  <c r="E39" i="30504"/>
  <c r="G39" i="30504" s="1"/>
  <c r="D36" i="30504"/>
  <c r="D33" i="30504"/>
  <c r="I25" i="30504" s="1"/>
  <c r="D31" i="30504"/>
  <c r="I21" i="30504" s="1"/>
  <c r="I26" i="30504"/>
  <c r="I24" i="30504"/>
  <c r="I23" i="30504"/>
  <c r="G22" i="30504"/>
  <c r="E21" i="30504"/>
  <c r="G21" i="30504" s="1"/>
  <c r="D15" i="30504"/>
  <c r="I7" i="30504" s="1"/>
  <c r="D14" i="30504"/>
  <c r="D18" i="30504" s="1"/>
  <c r="D13" i="30504"/>
  <c r="I8" i="30504"/>
  <c r="I6" i="30504"/>
  <c r="G4" i="30504"/>
  <c r="E3" i="30504"/>
  <c r="G3" i="30504" s="1"/>
  <c r="D54" i="30502"/>
  <c r="D36" i="30502"/>
  <c r="I41" i="30502"/>
  <c r="I23" i="30502"/>
  <c r="D14" i="30502"/>
  <c r="D18" i="30502" s="1"/>
  <c r="D51" i="30502"/>
  <c r="I43" i="30502" s="1"/>
  <c r="D49" i="30502"/>
  <c r="I39" i="30502" s="1"/>
  <c r="I44" i="30502"/>
  <c r="I42" i="30502"/>
  <c r="G40" i="30502"/>
  <c r="E39" i="30502"/>
  <c r="G39" i="30502" s="1"/>
  <c r="D33" i="30502"/>
  <c r="I25" i="30502" s="1"/>
  <c r="D31" i="30502"/>
  <c r="I21" i="30502" s="1"/>
  <c r="I26" i="30502"/>
  <c r="I24" i="30502"/>
  <c r="G22" i="30502"/>
  <c r="E21" i="30502"/>
  <c r="G21" i="30502" s="1"/>
  <c r="D30" i="30502" l="1"/>
  <c r="I22" i="30502" s="1"/>
  <c r="I22" i="30507"/>
  <c r="I40" i="30507"/>
  <c r="D48" i="30502"/>
  <c r="I4" i="30507"/>
  <c r="I58" i="30502"/>
  <c r="I58" i="30504"/>
  <c r="I5" i="30502"/>
  <c r="D18" i="30505"/>
  <c r="D12" i="30505" s="1"/>
  <c r="D48" i="30505"/>
  <c r="I47" i="30505" s="1"/>
  <c r="D30" i="30505"/>
  <c r="I22" i="30505" s="1"/>
  <c r="D48" i="30504"/>
  <c r="I40" i="30504" s="1"/>
  <c r="D30" i="30504"/>
  <c r="I29" i="30504" s="1"/>
  <c r="I3" i="30505"/>
  <c r="I39" i="30504"/>
  <c r="D12" i="30504"/>
  <c r="I5" i="30504"/>
  <c r="I3" i="30504"/>
  <c r="I47" i="30502"/>
  <c r="I40" i="30502"/>
  <c r="D15" i="30502"/>
  <c r="I7" i="30502" s="1"/>
  <c r="D13" i="30502"/>
  <c r="I8" i="30502"/>
  <c r="I6" i="30502"/>
  <c r="G4" i="30502"/>
  <c r="E3" i="30502"/>
  <c r="G3" i="30502" s="1"/>
  <c r="I29" i="30502" l="1"/>
  <c r="I11" i="30505"/>
  <c r="I4" i="30505"/>
  <c r="I22" i="30504"/>
  <c r="I3" i="30502"/>
  <c r="D12" i="30502"/>
  <c r="I4" i="30502" s="1"/>
  <c r="I40" i="30505"/>
  <c r="I29" i="30505"/>
  <c r="I47" i="30504"/>
  <c r="I4" i="30504"/>
  <c r="I11" i="30504"/>
  <c r="I11" i="30502" l="1"/>
</calcChain>
</file>

<file path=xl/sharedStrings.xml><?xml version="1.0" encoding="utf-8"?>
<sst xmlns="http://schemas.openxmlformats.org/spreadsheetml/2006/main" count="5121" uniqueCount="668">
  <si>
    <t>evaluation</t>
  </si>
  <si>
    <t>start trading</t>
  </si>
  <si>
    <t>quote file line</t>
  </si>
  <si>
    <t>report file line</t>
  </si>
  <si>
    <t>date</t>
  </si>
  <si>
    <t>N evaluation bars</t>
  </si>
  <si>
    <t>N Altreva init bars</t>
  </si>
  <si>
    <t>end trading</t>
  </si>
  <si>
    <t>Quotes Filename</t>
  </si>
  <si>
    <t>N_Agents</t>
  </si>
  <si>
    <t>Altreva Config Name</t>
  </si>
  <si>
    <t>Models to generate</t>
  </si>
  <si>
    <t>Model name prefix</t>
  </si>
  <si>
    <t>Unique config prefix</t>
  </si>
  <si>
    <t>Paste this to VBS file</t>
  </si>
  <si>
    <t>VBS file Name</t>
  </si>
  <si>
    <t>Timeframe (min)</t>
  </si>
  <si>
    <t>Instrument</t>
  </si>
  <si>
    <t>01k</t>
  </si>
  <si>
    <t>Style</t>
  </si>
  <si>
    <t>n_agents</t>
  </si>
  <si>
    <t>models</t>
  </si>
  <si>
    <t>1FDA-style.aps</t>
  </si>
  <si>
    <t>&lt;---</t>
  </si>
  <si>
    <t>this is to make an adaptive FDA period and other params</t>
  </si>
  <si>
    <t>1d00</t>
  </si>
  <si>
    <t>name code</t>
  </si>
  <si>
    <t>1D</t>
  </si>
  <si>
    <t>EURUSD</t>
  </si>
  <si>
    <t>EURUSD_1440_5k.csv</t>
  </si>
  <si>
    <t>Mutation</t>
  </si>
  <si>
    <t>05k</t>
  </si>
  <si>
    <t>10k</t>
  </si>
  <si>
    <t>20k</t>
  </si>
  <si>
    <t>1k</t>
  </si>
  <si>
    <t>5k</t>
  </si>
  <si>
    <t>50k</t>
  </si>
  <si>
    <t>0mut</t>
  </si>
  <si>
    <t>15mut</t>
  </si>
  <si>
    <t>30mut</t>
  </si>
  <si>
    <t>50mut</t>
  </si>
  <si>
    <t>-</t>
  </si>
  <si>
    <t>Extra runs</t>
  </si>
  <si>
    <t>05k_1C30</t>
  </si>
  <si>
    <t>uses Virtual Market Price</t>
  </si>
  <si>
    <t>05k_1A30</t>
  </si>
  <si>
    <t>breeding age = 1</t>
  </si>
  <si>
    <t>breeding age = 20</t>
  </si>
  <si>
    <t>05k_1B31</t>
  </si>
  <si>
    <t>01k_1D30.pkl</t>
  </si>
  <si>
    <t>05k_1D00.pkl</t>
  </si>
  <si>
    <t>05k_1D15.pkl</t>
  </si>
  <si>
    <t>05k_1D30.pkl</t>
  </si>
  <si>
    <t>01k_1D15.pkl</t>
  </si>
  <si>
    <t>01k_1D00.pkl</t>
  </si>
  <si>
    <t>10k_1D30.pkl</t>
  </si>
  <si>
    <t>05k_1D50.pkl</t>
  </si>
  <si>
    <t>01k_1D50.pkl</t>
  </si>
  <si>
    <t>10k_1D50.pkl</t>
  </si>
  <si>
    <t>20k_1D50.pkl</t>
  </si>
  <si>
    <t>file</t>
  </si>
  <si>
    <t>FDA Period</t>
  </si>
  <si>
    <t>min fda</t>
  </si>
  <si>
    <t>max fda</t>
  </si>
  <si>
    <t>maj</t>
  </si>
  <si>
    <t>all fda</t>
  </si>
  <si>
    <t>pnl</t>
  </si>
  <si>
    <t>dd</t>
  </si>
  <si>
    <t>period</t>
  </si>
  <si>
    <t>fdamin</t>
  </si>
  <si>
    <t>fdamax</t>
  </si>
  <si>
    <t>threshold</t>
  </si>
  <si>
    <t>fda all</t>
  </si>
  <si>
    <t>Threshold</t>
  </si>
  <si>
    <t>Bar</t>
  </si>
  <si>
    <t>Date</t>
  </si>
  <si>
    <t>Price</t>
  </si>
  <si>
    <t>Signal</t>
  </si>
  <si>
    <t>Calculations</t>
  </si>
  <si>
    <t>PnL</t>
  </si>
  <si>
    <t>Drawdown</t>
  </si>
  <si>
    <t>FDA</t>
  </si>
  <si>
    <t>FDA Alltime</t>
  </si>
  <si>
    <t>Year</t>
  </si>
  <si>
    <t>Month</t>
  </si>
  <si>
    <t>Day</t>
  </si>
  <si>
    <t>Weekday</t>
  </si>
  <si>
    <t>Hour</t>
  </si>
  <si>
    <t>Minute</t>
  </si>
  <si>
    <t>Wednesday</t>
  </si>
  <si>
    <t>Thursday</t>
  </si>
  <si>
    <t>Friday</t>
  </si>
  <si>
    <t>Monday</t>
  </si>
  <si>
    <t>Tuesday</t>
  </si>
  <si>
    <t>1.2345 - 1.2223 = 0.012199999999999989</t>
  </si>
  <si>
    <t>1.2091 - 1.2083 = 0.0008000000000001339</t>
  </si>
  <si>
    <t>1.1862 - 1.1843 = 0.0019000000000000128</t>
  </si>
  <si>
    <t>1.1827 - 1.1893 = -0.006599999999999939</t>
  </si>
  <si>
    <t>1.189 - 1.1809 = 0.008099999999999996</t>
  </si>
  <si>
    <t>1.2021 - 1.1952 = 0.006899999999999906</t>
  </si>
  <si>
    <t>1.2102 - 1.201 = 0.009199999999999875</t>
  </si>
  <si>
    <t>1.2244 - 1.2192 = 0.005199999999999871</t>
  </si>
  <si>
    <t>1.2114 - 1.2028 = 0.008599999999999941</t>
  </si>
  <si>
    <t>1.2046 - 1.2007 = 0.0038999999999997925</t>
  </si>
  <si>
    <t>1.212 - 1.2112 = 0.0007999999999999119</t>
  </si>
  <si>
    <t>1.2185 - 1.209 = 0.009499999999999842</t>
  </si>
  <si>
    <t>1.2186 - 1.2081 = 0.010499999999999954</t>
  </si>
  <si>
    <t>1.2387 - 1.2336 = 0.005099999999999882</t>
  </si>
  <si>
    <t>1.2454 - 1.2356 = 0.009800000000000031</t>
  </si>
  <si>
    <t>1.2279 - 1.2331 = -0.0052000000000000934</t>
  </si>
  <si>
    <t>1.2149 - 1.2095 = 0.005400000000000071</t>
  </si>
  <si>
    <t>1.2058 - 1.2058 = 0.0</t>
  </si>
  <si>
    <t>1.2043 - 1.2058 = -0.0015000000000000568</t>
  </si>
  <si>
    <t>1.2019 - 1.2043 = -0.0023999999999999577</t>
  </si>
  <si>
    <t>1.2025 - 1.2019 = 0.0005999999999999339</t>
  </si>
  <si>
    <t>1.2225 - 1.2228 = -0.000300000000000189</t>
  </si>
  <si>
    <t>1.2249 - 1.2225 = 0.0024000000000001798</t>
  </si>
  <si>
    <t>1.2338 - 1.2348 = -0.0009999999999998899</t>
  </si>
  <si>
    <t>1.2368 - 1.2338 = 0.0029999999999998916</t>
  </si>
  <si>
    <t>1.2082 - 1.2139 = -0.005700000000000038</t>
  </si>
  <si>
    <t>1.2053 - 1.2015 = 0.0038000000000000256</t>
  </si>
  <si>
    <t>1.2065 - 1.2061 = 0.00039999999999995595</t>
  </si>
  <si>
    <t>1.2152 - 1.2247 = -0.009499999999999842</t>
  </si>
  <si>
    <t>1.2185 - 1.2152 = 0.0032999999999998586</t>
  </si>
  <si>
    <t>1.2172 - 1.217 = 0.00019999999999997797</t>
  </si>
  <si>
    <t>1.2276 - 1.2267 = 0.0009000000000001229</t>
  </si>
  <si>
    <t>1.2309 - 1.2285 = 0.0024000000000001798</t>
  </si>
  <si>
    <t>1.234 - 1.2328 = 0.0012000000000000899</t>
  </si>
  <si>
    <t>1.2583 - 1.2517 = 0.006599999999999939</t>
  </si>
  <si>
    <t>1.2742 - 1.2702 = 0.0040000000000000036</t>
  </si>
  <si>
    <t>1.2826 - 1.2744 = 0.008199999999999985</t>
  </si>
  <si>
    <t>1.289 - 1.2897 = -0.000700000000000145</t>
  </si>
  <si>
    <t>1.3289 - 1.327 = 0.0019000000000000128</t>
  </si>
  <si>
    <t>1.3399 - 1.329 = 0.010900000000000132</t>
  </si>
  <si>
    <t>1.3632 - 1.3611 = 0.0020999999999999908</t>
  </si>
  <si>
    <t>1.3468 - 1.356 = -0.009200000000000097</t>
  </si>
  <si>
    <t>1.31 - 1.3072 = 0.0028000000000001357</t>
  </si>
  <si>
    <t>1.3046 - 1.3095 = -0.0049000000000001265</t>
  </si>
  <si>
    <t>1.3008 - 1.2957 = 0.005099999999999882</t>
  </si>
  <si>
    <t>1.3044 - 1.3045 = -9.999999999998899e-05</t>
  </si>
  <si>
    <t>1.2976 - 1.3033 = -0.005699999999999816</t>
  </si>
  <si>
    <t>1.2864 - 1.2976 = -0.011200000000000099</t>
  </si>
  <si>
    <t>1.3255 - 1.306 = 0.01949999999999985</t>
  </si>
  <si>
    <t>1.3136 - 1.3185 = -0.004899999999999904</t>
  </si>
  <si>
    <t>1.3108 - 1.3136 = -0.0028000000000001357</t>
  </si>
  <si>
    <t>1.3241 - 1.3108 = 0.01330000000000009</t>
  </si>
  <si>
    <t>1.331 - 1.3366 = -0.005600000000000049</t>
  </si>
  <si>
    <t>1.3417 - 1.331 = 0.010699999999999932</t>
  </si>
  <si>
    <t>1.3321 - 1.3379 = -0.005800000000000027</t>
  </si>
  <si>
    <t>1.3167 - 1.3321 = -0.01540000000000008</t>
  </si>
  <si>
    <t>1.2925 - 1.2895 = 0.0029999999999998916</t>
  </si>
  <si>
    <t>1.2965 - 1.2916 = 0.004899999999999904</t>
  </si>
  <si>
    <t>1.2872 - 1.2853 = 0.0018999999999997907</t>
  </si>
  <si>
    <t>1.2918 - 1.2851 = 0.00670000000000015</t>
  </si>
  <si>
    <t>1.29 - 1.2799 = 0.010099999999999998</t>
  </si>
  <si>
    <t>1.2992 - 1.2989 = 0.00029999999999996696</t>
  </si>
  <si>
    <t>1.2902 - 1.2926 = -0.0023999999999999577</t>
  </si>
  <si>
    <t>1.2863 - 1.2838 = 0.0024999999999999467</t>
  </si>
  <si>
    <t>1.2612 - 1.2634 = -0.0021999999999999797</t>
  </si>
  <si>
    <t>1.2679 - 1.2612 = 0.006699999999999928</t>
  </si>
  <si>
    <t>1.2551 - 1.2641 = -0.008999999999999897</t>
  </si>
  <si>
    <t>1.257 - 1.2551 = 0.0018999999999997907</t>
  </si>
  <si>
    <t>1.258 - 1.2512 = 0.006799999999999917</t>
  </si>
  <si>
    <t>1.2308 - 1.2474 = -0.01660000000000017</t>
  </si>
  <si>
    <t>1.226 - 1.2232 = 0.0027999999999999137</t>
  </si>
  <si>
    <t>1.2283 - 1.2105 = 0.017800000000000038</t>
  </si>
  <si>
    <t>1.2034 - 1.2133 = -0.00990000000000002</t>
  </si>
  <si>
    <t>1.2095 - 1.2034 = 0.006099999999999994</t>
  </si>
  <si>
    <t>1.207 - 1.2067 = 0.00029999999999996696</t>
  </si>
  <si>
    <t>1.19 - 1.1937 = -0.0037000000000000366</t>
  </si>
  <si>
    <t>1.2051 - 1.2043 = 0.0008000000000001339</t>
  </si>
  <si>
    <t>1.215 - 1.2032 = 0.011800000000000033</t>
  </si>
  <si>
    <t>1.2062 - 1.2024 = 0.0038000000000000256</t>
  </si>
  <si>
    <t>1.2379 - 1.2347 = 0.0032000000000000917</t>
  </si>
  <si>
    <t>1.2359 - 1.2368 = -0.0008999999999999009</t>
  </si>
  <si>
    <t>1.2218 - 1.2224 = -0.0005999999999999339</t>
  </si>
  <si>
    <t>1.2466 - 1.2543 = -0.00770000000000004</t>
  </si>
  <si>
    <t>1.2412 - 1.2466 = -0.005399999999999849</t>
  </si>
  <si>
    <t>1.2397 - 1.2412 = -0.0015000000000000568</t>
  </si>
  <si>
    <t>1.2268 - 1.2277 = -0.0009000000000001229</t>
  </si>
  <si>
    <t>1.2239 - 1.2224 = 0.0015000000000000568</t>
  </si>
  <si>
    <t>1.2119 - 1.2136 = -0.0017000000000000348</t>
  </si>
  <si>
    <t>1.2034 - 1.2148 = -0.011400000000000077</t>
  </si>
  <si>
    <t>1.2068 - 1.2034 = 0.0034000000000000696</t>
  </si>
  <si>
    <t>1.2044 - 1.2017 = 0.0026999999999999247</t>
  </si>
  <si>
    <t>1.2064 - 1.2035 = 0.0028999999999999027</t>
  </si>
  <si>
    <t>1.1919 - 1.1918 = 9.999999999998899e-05</t>
  </si>
  <si>
    <t>1.1988 - 1.2068 = -0.008000000000000007</t>
  </si>
  <si>
    <t>1.2027 - 1.1988 = 0.0039000000000000146</t>
  </si>
  <si>
    <t>1.2074 - 1.2027 = 0.0046999999999999265</t>
  </si>
  <si>
    <t>1.1994 - 1.1965 = 0.0029000000000001247</t>
  </si>
  <si>
    <t>1.198 - 1.1956 = 0.0023999999999999577</t>
  </si>
  <si>
    <t>1.2037 - 1.1984 = 0.005300000000000082</t>
  </si>
  <si>
    <t>1.181 - 1.1942 = -0.013199999999999878</t>
  </si>
  <si>
    <t>1.1691 - 1.1768 = -0.00770000000000004</t>
  </si>
  <si>
    <t>1.1738 - 1.1691 = 0.0046999999999999265</t>
  </si>
  <si>
    <t>1.1719 - 1.1695 = 0.0023999999999999577</t>
  </si>
  <si>
    <t>1.1744 - 1.1672 = 0.007200000000000095</t>
  </si>
  <si>
    <t>1.1848 - 1.1719 = 0.012900000000000134</t>
  </si>
  <si>
    <t>1.171 - 1.1739 = -0.0028999999999999027</t>
  </si>
  <si>
    <t>1.1818 - 1.1713 = 0.010499999999999954</t>
  </si>
  <si>
    <t>1.1834 - 1.1862 = -0.0027999999999999137</t>
  </si>
  <si>
    <t>1.1848 - 1.1862 = -0.0013999999999998458</t>
  </si>
  <si>
    <t>1.1833 - 1.1848 = -0.0015000000000000568</t>
  </si>
  <si>
    <t>1.1838 - 1.1833 = 0.0004999999999999449</t>
  </si>
  <si>
    <t>1.1821 - 1.1838 = -0.0017000000000000348</t>
  </si>
  <si>
    <t>1.2015 - 1.1821 = 0.019400000000000084</t>
  </si>
  <si>
    <t>1.2061 - 1.2081 = -0.0020000000000000018</t>
  </si>
  <si>
    <t>1.2119 - 1.2117 = 0.00019999999999997797</t>
  </si>
  <si>
    <t>1.2136 - 1.2091 = 0.0044999999999999485</t>
  </si>
  <si>
    <t>1.2202 - 1.2242 = -0.0040000000000000036</t>
  </si>
  <si>
    <t>1.2097 - 1.2202 = -0.010499999999999954</t>
  </si>
  <si>
    <t>1.2094 - 1.2097 = -0.00029999999999996696</t>
  </si>
  <si>
    <t>1.2088 - 1.2059 = 0.0029000000000001247</t>
  </si>
  <si>
    <t>1.197 - 1.2025 = -0.005499999999999838</t>
  </si>
  <si>
    <t>1.1987 - 1.1958 = 0.0029000000000001247</t>
  </si>
  <si>
    <t>1.1902 - 1.1908 = -0.000600000000000156</t>
  </si>
  <si>
    <t>1.1902 - 1.1892 = 0.0009999999999998899</t>
  </si>
  <si>
    <t>1.1847 - 1.1872 = -0.0024999999999999467</t>
  </si>
  <si>
    <t>1.1928 - 1.1887 = 0.0040999999999999925</t>
  </si>
  <si>
    <t>1.1916 - 1.1907 = 0.0008999999999999009</t>
  </si>
  <si>
    <t>1.2108 - 1.216 = -0.005199999999999871</t>
  </si>
  <si>
    <t>1.208 - 1.2108 = -0.0028000000000001357</t>
  </si>
  <si>
    <t>1.1968 - 1.208 = -0.011199999999999877</t>
  </si>
  <si>
    <t>1.2 - 1.2014 = -0.0014000000000000679</t>
  </si>
  <si>
    <t>1.2025 - 1.2 = 0.0024999999999999467</t>
  </si>
  <si>
    <t>1.2114 - 1.2093 = 0.0020999999999999908</t>
  </si>
  <si>
    <t>1.2107 - 1.2105 = 0.00020000000000020002</t>
  </si>
  <si>
    <t>1.2528 - 1.2447 = 0.008099999999999996</t>
  </si>
  <si>
    <t>1.2855 - 1.2725 = 0.013000000000000123</t>
  </si>
  <si>
    <t>1.2824 - 1.2758 = 0.006599999999999939</t>
  </si>
  <si>
    <t>1.2749 - 1.2737 = 0.0011999999999998678</t>
  </si>
  <si>
    <t>1.2802 - 1.2824 = -0.0021999999999999797</t>
  </si>
  <si>
    <t>1.2583 - 1.2575 = 0.0007999999999999119</t>
  </si>
  <si>
    <t>1.2548 - 1.2576 = -0.0028000000000001357</t>
  </si>
  <si>
    <t>1.2668 - 1.2548 = 0.01200000000000001</t>
  </si>
  <si>
    <t>1.2724 - 1.279 = -0.006599999999999939</t>
  </si>
  <si>
    <t>1.2779 - 1.2724 = 0.00550000000000006</t>
  </si>
  <si>
    <t>1.2694 - 1.2701 = -0.0006999999999999229</t>
  </si>
  <si>
    <t>1.2522 - 1.265 = -0.012799999999999923</t>
  </si>
  <si>
    <t>1.2508 - 1.2522 = -0.0014000000000000679</t>
  </si>
  <si>
    <t>1.2713 - 1.2581 = 0.0132000000000001</t>
  </si>
  <si>
    <t>1.2886 - 1.2825 = 0.006099999999999994</t>
  </si>
  <si>
    <t>1.2836 - 1.2806 = 0.0030000000000001137</t>
  </si>
  <si>
    <t>1.2734 - 1.2805 = -0.007099999999999884</t>
  </si>
  <si>
    <t>1.2688 - 1.2671 = 0.0017000000000000348</t>
  </si>
  <si>
    <t>1.2673 - 1.2694 = -0.0020999999999999908</t>
  </si>
  <si>
    <t>1.2736 - 1.2673 = 0.006299999999999972</t>
  </si>
  <si>
    <t>1.2711 - 1.2729 = -0.0018000000000000238</t>
  </si>
  <si>
    <t>1.2599 - 1.2692 = -0.009300000000000086</t>
  </si>
  <si>
    <t>1.2593 - 1.2599 = -0.0005999999999999339</t>
  </si>
  <si>
    <t>1.2532 - 1.2512 = 0.0020000000000000018</t>
  </si>
  <si>
    <t>1.2621 - 1.2533 = 0.008799999999999919</t>
  </si>
  <si>
    <t>1.2553 - 1.2549 = 0.000400000000000178</t>
  </si>
  <si>
    <t>1.3238 - 1.3152 = 0.008600000000000163</t>
  </si>
  <si>
    <t>1.3279 - 1.3315 = -0.0035999999999998256</t>
  </si>
  <si>
    <t>1.3283 - 1.3279 = 0.00039999999999995595</t>
  </si>
  <si>
    <t>1.3152 - 1.3207 = -0.00550000000000006</t>
  </si>
  <si>
    <t>1.3128 - 1.318 = -0.0052000000000000934</t>
  </si>
  <si>
    <t>1.3101 - 1.3128 = -0.0026999999999999247</t>
  </si>
  <si>
    <t>1.3125 - 1.3101 = 0.0023999999999999577</t>
  </si>
  <si>
    <t>1.3277 - 1.3189 = 0.008800000000000141</t>
  </si>
  <si>
    <t>1.3001 - 1.309 = -0.008899999999999908</t>
  </si>
  <si>
    <t>1.2939 - 1.2992 = -0.00529999999999986</t>
  </si>
  <si>
    <t>1.2893 - 1.2939 = -0.0046000000000001595</t>
  </si>
  <si>
    <t>1.2922 - 1.2893 = 0.0029000000000001247</t>
  </si>
  <si>
    <t>1.2938 - 1.2916 = 0.0021999999999999797</t>
  </si>
  <si>
    <t>1.3019 - 1.2941 = 0.007800000000000029</t>
  </si>
  <si>
    <t>1.2914 - 1.2925 = -0.0010999999999998789</t>
  </si>
  <si>
    <t>1.2928 - 1.2959 = -0.0031000000000001027</t>
  </si>
  <si>
    <t>1.3034 - 1.296 = 0.007399999999999851</t>
  </si>
  <si>
    <t>1.3149 - 1.3136 = 0.0012999999999998568</t>
  </si>
  <si>
    <t>1.3141 - 1.3135 = 0.000600000000000156</t>
  </si>
  <si>
    <t>1.3167 - 1.3125 = 0.0041999999999999815</t>
  </si>
  <si>
    <t>1.319 - 1.3173 = 0.0017000000000000348</t>
  </si>
  <si>
    <t>1.3127 - 1.308 = 0.0046999999999999265</t>
  </si>
  <si>
    <t>1.3116 - 1.3134 = -0.0017999999999998018</t>
  </si>
  <si>
    <t>1.3189 - 1.3116 = 0.007299999999999862</t>
  </si>
  <si>
    <t>1.333 - 1.3282 = 0.0047999999999999154</t>
  </si>
  <si>
    <t>1.3432 - 1.3356 = 0.007600000000000051</t>
  </si>
  <si>
    <t>1.359 - 1.3618 = -0.0027999999999999137</t>
  </si>
  <si>
    <t>1.3577 - 1.359 = -0.0013000000000000789</t>
  </si>
  <si>
    <t>1.3637 - 1.3577 = 0.006000000000000005</t>
  </si>
  <si>
    <t>1.3551 - 1.3582 = -0.0031000000000001027</t>
  </si>
  <si>
    <t>1.3526 - 1.3543 = -0.0017000000000000348</t>
  </si>
  <si>
    <t>1.3507 - 1.3498 = 0.0008999999999999009</t>
  </si>
  <si>
    <t>1.3451 - 1.3463 = -0.0012000000000000899</t>
  </si>
  <si>
    <t>1.3442 - 1.3431 = 0.001100000000000101</t>
  </si>
  <si>
    <t>1.3451 - 1.3429 = 0.0021999999999999797</t>
  </si>
  <si>
    <t>1.3493 - 1.3448 = 0.0044999999999999485</t>
  </si>
  <si>
    <t>1.3372 - 1.3426 = -0.005400000000000071</t>
  </si>
  <si>
    <t>1.3309 - 1.3302 = 0.0006999999999999229</t>
  </si>
  <si>
    <t>1.3386 - 1.34 = -0.0014000000000000679</t>
  </si>
  <si>
    <t>1.3469 - 1.3386 = 0.008299999999999974</t>
  </si>
  <si>
    <t>1.3452 - 1.3458 = -0.000600000000000156</t>
  </si>
  <si>
    <t>1.3446 - 1.3452 = -0.0005999999999999339</t>
  </si>
  <si>
    <t>1.354 - 1.3446 = 0.009400000000000075</t>
  </si>
  <si>
    <t>1.3625 - 1.3593 = 0.0032000000000000917</t>
  </si>
  <si>
    <t>1.3772 - 1.3782 = -0.001000000000000112</t>
  </si>
  <si>
    <t>1.3782 - 1.3772 = 0.001000000000000112</t>
  </si>
  <si>
    <t>1.3697 - 1.3635 = 0.006199999999999983</t>
  </si>
  <si>
    <t>1.3676 - 1.3677 = -9.999999999998899e-05</t>
  </si>
  <si>
    <t>1.3535 - 1.3607 = -0.007200000000000095</t>
  </si>
  <si>
    <t>1.3674 - 1.36 = 0.007399999999999851</t>
  </si>
  <si>
    <t>1.3622 - 1.3628 = -0.0005999999999999339</t>
  </si>
  <si>
    <t>1.3608 - 1.3622 = -0.0014000000000000679</t>
  </si>
  <si>
    <t>1.3649 - 1.3608 = 0.0040999999999999925</t>
  </si>
  <si>
    <t>1.3874 - 1.3865 = 0.0008999999999999009</t>
  </si>
  <si>
    <t>1.409 - 1.4148 = -0.005800000000000027</t>
  </si>
  <si>
    <t>1.4135 - 1.409 = 0.0044999999999999485</t>
  </si>
  <si>
    <t>1.4104 - 1.4054 = 0.0050000000000001155</t>
  </si>
  <si>
    <t>1.433 - 1.4261 = 0.006900000000000128</t>
  </si>
  <si>
    <t>1.4504 - 1.4425 = 0.007900000000000018</t>
  </si>
  <si>
    <t>1.453 - 1.4679 = -0.014899999999999913</t>
  </si>
  <si>
    <t>1.4616 - 1.453 = 0.008599999999999941</t>
  </si>
  <si>
    <t>1.4661 - 1.4614 = 0.0046999999999999265</t>
  </si>
  <si>
    <t>1.4864 - 1.4836 = 0.0027999999999999137</t>
  </si>
  <si>
    <t>1.4638 - 1.4747 = -0.01089999999999991</t>
  </si>
  <si>
    <t>1.4639 - 1.4616 = 0.0022999999999999687</t>
  </si>
  <si>
    <t>1.4429 - 1.4617 = -0.018799999999999928</t>
  </si>
  <si>
    <t>1.4371 - 1.4408 = -0.0037000000000000366</t>
  </si>
  <si>
    <t>1.432 - 1.4371 = -0.0051000000000001044</t>
  </si>
  <si>
    <t>1.4381 - 1.432 = 0.006099999999999994</t>
  </si>
  <si>
    <t>1.4709 - 1.4685 = 0.0024000000000001798</t>
  </si>
  <si>
    <t>1.4806 - 1.4658 = 0.014799999999999924</t>
  </si>
  <si>
    <t>1.4642 - 1.4652 = -0.001000000000000112</t>
  </si>
  <si>
    <t>1.4669 - 1.4429 = 0.02400000000000002</t>
  </si>
  <si>
    <t>1.4756 - 1.4631 = 0.012499999999999956</t>
  </si>
  <si>
    <t>1.4828 - 1.4801 = 0.0026999999999999247</t>
  </si>
  <si>
    <t>1.4621 - 1.4647 = -0.0025999999999999357</t>
  </si>
  <si>
    <t>1.5274 - 1.5201 = 0.007300000000000084</t>
  </si>
  <si>
    <t>1.5529 - 1.5342 = 0.01869999999999994</t>
  </si>
  <si>
    <t>1.5641 - 1.5638 = 0.00029999999999996696</t>
  </si>
  <si>
    <t>1.5432 - 1.5445 = -0.0013000000000000789</t>
  </si>
  <si>
    <t>1.5622 - 1.5761 = -0.013900000000000023</t>
  </si>
  <si>
    <t>1.5688 - 1.5622 = 0.006599999999999939</t>
  </si>
  <si>
    <t>1.5737 - 1.5682 = 0.00550000000000006</t>
  </si>
  <si>
    <t>1.5907 - 1.5816 = 0.009100000000000108</t>
  </si>
  <si>
    <t>1.5629 - 1.568 = -0.0051000000000001044</t>
  </si>
  <si>
    <t>1.5619 - 1.5565 = 0.005400000000000071</t>
  </si>
  <si>
    <t>1.5423 - 1.5467 = -0.0043999999999999595</t>
  </si>
  <si>
    <t>1.5403 - 1.5396 = 0.0006999999999999229</t>
  </si>
  <si>
    <t>1.5576 - 1.5442 = 0.013400000000000079</t>
  </si>
  <si>
    <t>1.5646 - 1.5678 = -0.0032000000000000917</t>
  </si>
  <si>
    <t>1.5554 - 1.5511 = 0.0042999999999999705</t>
  </si>
  <si>
    <t>1.5432 - 1.5539 = -0.010700000000000154</t>
  </si>
  <si>
    <t>1.5556 - 1.5455 = 0.010099999999999998</t>
  </si>
  <si>
    <t>1.5379 - 1.545 = -0.007099999999999884</t>
  </si>
  <si>
    <t>1.5794 - 1.5753 = 0.0040999999999999925</t>
  </si>
  <si>
    <t>1.5738 - 1.5665 = 0.007300000000000084</t>
  </si>
  <si>
    <t>1.5858 - 1.5819 = 0.0039000000000000146</t>
  </si>
  <si>
    <t>1.5925 - 1.5847 = 0.007800000000000029</t>
  </si>
  <si>
    <t>1.5577 - 1.5583 = -0.0005999999999999339</t>
  </si>
  <si>
    <t>1.5571 - 1.5564 = 0.0006999999999999229</t>
  </si>
  <si>
    <t>1.5414 - 1.5449 = -0.0034999999999998366</t>
  </si>
  <si>
    <t>1.4689 - 1.4802 = -0.011299999999999866</t>
  </si>
  <si>
    <t>1.4896 - 1.4743 = 0.015300000000000091</t>
  </si>
  <si>
    <t>1.4753 - 1.4793 = -0.0040000000000000036</t>
  </si>
  <si>
    <t>1.4715 - 1.4643 = 0.007200000000000095</t>
  </si>
  <si>
    <t>1.4678 - 1.4693 = -0.0015000000000000568</t>
  </si>
  <si>
    <t>1.4513 - 1.4586 = -0.007299999999999862</t>
  </si>
  <si>
    <t>1.4267 - 1.424 = 0.0027000000000001467</t>
  </si>
  <si>
    <t>1.4106 - 1.4117 = -0.0010999999999998789</t>
  </si>
  <si>
    <t>1.4018 - 1.3964 = 0.005399999999999849</t>
  </si>
  <si>
    <t>1.4617 - 1.4612 = 0.0004999999999999449</t>
  </si>
  <si>
    <t>1.4416 - 1.4613 = -0.01970000000000005</t>
  </si>
  <si>
    <t>1.4115 - 1.4416 = -0.030100000000000016</t>
  </si>
  <si>
    <t>1.3623 - 1.3483 = 0.014000000000000012</t>
  </si>
  <si>
    <t>1.3408 - 1.3597 = -0.018899999999999917</t>
  </si>
  <si>
    <t>1.3597 - 1.3408 = 0.018899999999999917</t>
  </si>
  <si>
    <t>1.333 - 1.3408 = -0.007800000000000029</t>
  </si>
  <si>
    <t>1.2461 - 1.2623 = -0.016199999999999992</t>
  </si>
  <si>
    <t>1.2584 - 1.2727 = -0.01429999999999998</t>
  </si>
  <si>
    <t>1.2455 - 1.2511 = -0.005600000000000049</t>
  </si>
  <si>
    <t>1.2454 - 1.2497 = -0.0042999999999999705</t>
  </si>
  <si>
    <t>1.2616 - 1.269 = -0.007399999999999851</t>
  </si>
  <si>
    <t>1.2771 - 1.2713 = 0.005799999999999805</t>
  </si>
  <si>
    <t>1.394 - 1.3907 = 0.0032999999999998586</t>
  </si>
  <si>
    <t>1.3993 - 1.3926 = 0.006699999999999928</t>
  </si>
  <si>
    <t>1.3206 - 1.2973 = 0.0233000000000001</t>
  </si>
  <si>
    <t>1.2812 - 1.2936 = -0.012400000000000189</t>
  </si>
  <si>
    <t>1.2885 - 1.2907 = -0.0021999999999999797</t>
  </si>
  <si>
    <t>1.2895 - 1.2885 = 0.001000000000000112</t>
  </si>
  <si>
    <t>1.2796 - 1.2862 = -0.006599999999999939</t>
  </si>
  <si>
    <t>1.2578 - 1.2796 = -0.02180000000000004</t>
  </si>
  <si>
    <t>1.2971 - 1.2929 = 0.0041999999999999815</t>
  </si>
  <si>
    <t>1.3036 - 1.2971 = 0.006500000000000172</t>
  </si>
  <si>
    <t>1.40703 - 1.42022 = -0.013190000000000035</t>
  </si>
  <si>
    <t>1.48435 - 1.49845 = -0.014100000000000001</t>
  </si>
  <si>
    <t>1.4856 - 1.50517 = -0.019569999999999865</t>
  </si>
  <si>
    <t>1.44111 - 1.43278 = 0.008329999999999949</t>
  </si>
  <si>
    <t>1.33932 - 1.34818 = -0.008859999999999868</t>
  </si>
  <si>
    <t>1.34888 - 1.35017 = -0.0012900000000000134</t>
  </si>
  <si>
    <t>1.22492 - 1.22115 = 0.003770000000000051</t>
  </si>
  <si>
    <t>1.27234 - 1.26821 = 0.004129999999999967</t>
  </si>
  <si>
    <t>1.3915 - 1.38812 = 0.0033799999999999386</t>
  </si>
  <si>
    <t>1.34821 - 1.35789 = -0.009680000000000133</t>
  </si>
  <si>
    <t>1.41566 - 1.41454 = 0.0011200000000000099</t>
  </si>
  <si>
    <t>1.42804 - 1.4092 = 0.018839999999999968</t>
  </si>
  <si>
    <t>1.44346 - 1.43571 = 0.007749999999999924</t>
  </si>
  <si>
    <t>1.33738 - 1.32476 = 0.012620000000000076</t>
  </si>
  <si>
    <t>1.3198 - 1.32121 = -0.0014099999999999113</t>
  </si>
  <si>
    <t>1.25045 - 1.24653 = 0.003920000000000146</t>
  </si>
  <si>
    <t>1.24971 - 1.25109 = -0.0013799999999999368</t>
  </si>
  <si>
    <t>1.27435 - 1.27705 = -0.0026999999999999247</t>
  </si>
  <si>
    <t>1.29867 - 1.2898 = 0.008869999999999933</t>
  </si>
  <si>
    <t>1.30184 - 1.29915 = 0.002690000000000081</t>
  </si>
  <si>
    <t>1.28802 - 1.29313 = -0.005109999999999948</t>
  </si>
  <si>
    <t>1.37465 - 1.37829 = -0.0036400000000000876</t>
  </si>
  <si>
    <t>1.367 - 1.36549 = 0.0015099999999999003</t>
  </si>
  <si>
    <t>1.35874 - 1.36643 = -0.007689999999999975</t>
  </si>
  <si>
    <t>1.36042 - 1.36722 = -0.006800000000000139</t>
  </si>
  <si>
    <t>1.37447 - 1.37336 = 0.0011100000000001664</t>
  </si>
  <si>
    <t>1.37437 - 1.3783 = -0.003929999999999989</t>
  </si>
  <si>
    <t>1.38068 - 1.38131 = -0.0006300000000001305</t>
  </si>
  <si>
    <t>1.34288 - 1.34622 = -0.0033399999999998986</t>
  </si>
  <si>
    <t>1.29404 - 1.29001 = 0.004029999999999978</t>
  </si>
  <si>
    <t>1.28464 - 1.28284 = 0.0018000000000000238</t>
  </si>
  <si>
    <t>1.16087 - 1.15479 = 0.006080000000000085</t>
  </si>
  <si>
    <t>1.12621 - 1.12566 = 0.0005499999999998284</t>
  </si>
  <si>
    <t>1.13365 - 1.12467 = 0.008979999999999988</t>
  </si>
  <si>
    <t>1.10518 - 1.11453 = -0.00934999999999997</t>
  </si>
  <si>
    <t>1.10228 - 1.10728 = -0.0050000000000001155</t>
  </si>
  <si>
    <t>1.1289 - 1.12687 = 0.0020299999999999763</t>
  </si>
  <si>
    <t>1.13474 - 1.13803 = -0.003290000000000015</t>
  </si>
  <si>
    <t>1.08653 - 1.09627 = -0.009740000000000082</t>
  </si>
  <si>
    <t>1.06847 - 1.07668 = -0.00821000000000005</t>
  </si>
  <si>
    <t>1.1266 - 1.12154 = 0.0050600000000000644</t>
  </si>
  <si>
    <t>1.11539 - 1.11393 = 0.0014600000000000168</t>
  </si>
  <si>
    <t>1.11869 - 1.11303 = 0.005659999999999998</t>
  </si>
  <si>
    <t>1.12628 - 1.13041 = -0.004129999999999967</t>
  </si>
  <si>
    <t>1.0712 - 1.05946 = 0.011739999999999862</t>
  </si>
  <si>
    <t>1.06434 - 1.06624 = -0.0019000000000000128</t>
  </si>
  <si>
    <t>1.18865 - 1.18579 = 0.0028600000000000847</t>
  </si>
  <si>
    <t>1.23768 - 1.23665 = 0.0010299999999998644</t>
  </si>
  <si>
    <t>1.22822 - 1.23367 = -0.005449999999999955</t>
  </si>
  <si>
    <t>1.22889 - 1.23044 = -0.0015499999999999403</t>
  </si>
  <si>
    <t>1.23001 - 1.23073 = -0.0007200000000000539</t>
  </si>
  <si>
    <t>1.17192 - 1.16951 = 0.0024100000000000232</t>
  </si>
  <si>
    <t>1.15679 - 1.15524 = 0.0015499999999999403</t>
  </si>
  <si>
    <t>1.16895 - 1.16555 = 0.0033999999999998476</t>
  </si>
  <si>
    <t>1.16289 - 1.15804 = 0.004850000000000021</t>
  </si>
  <si>
    <t>1.15134 - 1.14766 = 0.0036800000000001276</t>
  </si>
  <si>
    <t>T1</t>
  </si>
  <si>
    <t>T2</t>
  </si>
  <si>
    <t>EURUSD-1d-cut1.csv</t>
  </si>
  <si>
    <t>EURUSD-1d-cut2.csv</t>
  </si>
  <si>
    <t>Note: we use Virtual Market Price</t>
  </si>
  <si>
    <t>05k_SBER_702group.pkl</t>
  </si>
  <si>
    <t>05k_SBER_807group.pkl</t>
  </si>
  <si>
    <t>05k_SBER_804group.pkl</t>
  </si>
  <si>
    <t>05k_SBER_803group.pkl</t>
  </si>
  <si>
    <t>05k_SBER_809group.pkl</t>
  </si>
  <si>
    <t>05k_SBER_805group.pkl</t>
  </si>
  <si>
    <t>05k_SBER_801group.pkl</t>
  </si>
  <si>
    <t>05k_SBER_802group.pkl</t>
  </si>
  <si>
    <t>05k_SBER_703group.pkl</t>
  </si>
  <si>
    <t>05k_SBER_808group.pkl</t>
  </si>
  <si>
    <t>05k_SBER_700group.pkl</t>
  </si>
  <si>
    <t>05k_SBER_705group.pkl</t>
  </si>
  <si>
    <t>05k_SBER_800group.pkl</t>
  </si>
  <si>
    <t>05k_SBER_708group.pkl</t>
  </si>
  <si>
    <t>05k_SBER_704group.pkl</t>
  </si>
  <si>
    <t>05k_SBER_701group.pkl</t>
  </si>
  <si>
    <t>05k_SBER_709group.pkl</t>
  </si>
  <si>
    <t>05k_SBER_806group.pkl</t>
  </si>
  <si>
    <t>05k_SBER_707group.pkl</t>
  </si>
  <si>
    <t>05k_SBER_706group.pkl</t>
  </si>
  <si>
    <t>05k_SBER_7001group.pkl</t>
  </si>
  <si>
    <t>05k_SBER_7002group.pkl</t>
  </si>
  <si>
    <t>05k_SBER_7003group.pkl</t>
  </si>
  <si>
    <t>05k_SBER_7004group.pkl</t>
  </si>
  <si>
    <t>05k_SBER_7005group.pkl</t>
  </si>
  <si>
    <t>05k_SBER_7006group.pkl</t>
  </si>
  <si>
    <t>05k_SBER_7007group.pkl</t>
  </si>
  <si>
    <t>05k_SBER_7008group.pkl</t>
  </si>
  <si>
    <t>05k_SBER_7009group.pkl</t>
  </si>
  <si>
    <t>05k_SBER_7010group.pkl</t>
  </si>
  <si>
    <t>05k_SBER_7011group.pkl</t>
  </si>
  <si>
    <t>05k_SBER_7012group.pkl</t>
  </si>
  <si>
    <t>05k_SBER_7013group.pkl</t>
  </si>
  <si>
    <t>05k_SBER_7014group.pkl</t>
  </si>
  <si>
    <t>05k_SBER_7015group.pkl</t>
  </si>
  <si>
    <t>05k_SBER_7016group.pkl</t>
  </si>
  <si>
    <t>05k_SBER_7017group.pkl</t>
  </si>
  <si>
    <t>05k_SBER_7018group.pkl</t>
  </si>
  <si>
    <t>05k_SBER_7019group.pkl</t>
  </si>
  <si>
    <t>05k_SBER_7020group.pkl</t>
  </si>
  <si>
    <t>05k_SBER_7021group.pkl</t>
  </si>
  <si>
    <t>05k_SBER_7022group.pkl</t>
  </si>
  <si>
    <t>05k_SBER_7023group.pkl</t>
  </si>
  <si>
    <t>05k_SBER_7024group.pkl</t>
  </si>
  <si>
    <t>05k_SBER_7025group.pkl</t>
  </si>
  <si>
    <t>05k_SBER_7026group.pkl</t>
  </si>
  <si>
    <t>05k_SBER_7027group.pkl</t>
  </si>
  <si>
    <t>05k_SBER_7028group.pkl</t>
  </si>
  <si>
    <t>05k_SBER_7029group.pkl</t>
  </si>
  <si>
    <t>05k_SBER_7030group.pkl</t>
  </si>
  <si>
    <t>05k_SBER_7031group.pkl</t>
  </si>
  <si>
    <t>05k_SBER_7032group.pkl</t>
  </si>
  <si>
    <t>05k_SBER_7033group.pkl</t>
  </si>
  <si>
    <t>05k_SBER_7034group.pkl</t>
  </si>
  <si>
    <t>05k_SBER_7035group.pkl</t>
  </si>
  <si>
    <t>05k_SBER_7036group.pkl</t>
  </si>
  <si>
    <t>05k_SBER_7037group.pkl</t>
  </si>
  <si>
    <t>05k_SBER_7038group.pkl</t>
  </si>
  <si>
    <t>05k_SBER_7039group.pkl</t>
  </si>
  <si>
    <t>05k_SBER_7040group.pkl</t>
  </si>
  <si>
    <t>05k_SBER_7041group.pkl</t>
  </si>
  <si>
    <t>05k_SBER_7042group.pkl</t>
  </si>
  <si>
    <t>05k_SBER_7043group.pkl</t>
  </si>
  <si>
    <t>05k_SBER_7044group.pkl</t>
  </si>
  <si>
    <t>05k_SBER_7045group.pkl</t>
  </si>
  <si>
    <t>05k_SBER_7046group.pkl</t>
  </si>
  <si>
    <t>05k_SBER_7047group.pkl</t>
  </si>
  <si>
    <t>05k_SBER_7048group.pkl</t>
  </si>
  <si>
    <t>05k_SBER_7049group.pkl</t>
  </si>
  <si>
    <t>05k_SBER_7050group.pkl</t>
  </si>
  <si>
    <t>05k_SBER_7051group.pkl</t>
  </si>
  <si>
    <t>05k_SBER_7052group.pkl</t>
  </si>
  <si>
    <t>05k_SBER_7053group.pkl</t>
  </si>
  <si>
    <t>05k_SBER_7054group.pkl</t>
  </si>
  <si>
    <t>05k_SBER_7055group.pkl</t>
  </si>
  <si>
    <t>05k_SBER_7056group.pkl</t>
  </si>
  <si>
    <t>05k_SBER_7057group.pkl</t>
  </si>
  <si>
    <t>05k_SBER_7058group.pkl</t>
  </si>
  <si>
    <t>05k_SBER_7059group.pkl</t>
  </si>
  <si>
    <t>05k_SBER_7060group.pkl</t>
  </si>
  <si>
    <t>05k_SBER_7061group.pkl</t>
  </si>
  <si>
    <t>05k_SBER_7062group.pkl</t>
  </si>
  <si>
    <t>05k_SBER_7063group.pkl</t>
  </si>
  <si>
    <t>05k_SBER_7064group.pkl</t>
  </si>
  <si>
    <t>05k_SBER_7065group.pkl</t>
  </si>
  <si>
    <t>05k_SBER_7066group.pkl</t>
  </si>
  <si>
    <t>05k_SBER_7067group.pkl</t>
  </si>
  <si>
    <t>05k_SBER_7068group.pkl</t>
  </si>
  <si>
    <t>05k_SBER_7069group.pkl</t>
  </si>
  <si>
    <t>05k_SBER_7070group.pkl</t>
  </si>
  <si>
    <t>05k_SBER_7071group.pkl</t>
  </si>
  <si>
    <t>05k_SBER_7072group.pkl</t>
  </si>
  <si>
    <t>05k_SBER_7073group.pkl</t>
  </si>
  <si>
    <t>05k_SBER_7074group.pkl</t>
  </si>
  <si>
    <t>05k_SBER_7075group.pkl</t>
  </si>
  <si>
    <t>05k_SBER_7076group.pkl</t>
  </si>
  <si>
    <t>05k_SBER_7077group.pkl</t>
  </si>
  <si>
    <t>05k_SBER_7078group.pkl</t>
  </si>
  <si>
    <t>05k_SBER_7079group.pkl</t>
  </si>
  <si>
    <t>05k_SBER_7080group.pkl</t>
  </si>
  <si>
    <t>05k_SBER_7081group.pkl</t>
  </si>
  <si>
    <t>05k_SBER_7082group.pkl</t>
  </si>
  <si>
    <t>05k_SBER_7083group.pkl</t>
  </si>
  <si>
    <t>05k_SBER_7084group.pkl</t>
  </si>
  <si>
    <t>05k_SBER_7085group.pkl</t>
  </si>
  <si>
    <t>05k_SBER_7086group.pkl</t>
  </si>
  <si>
    <t>05k_SBER_7087group.pkl</t>
  </si>
  <si>
    <t>05k_SBER_7088group.pkl</t>
  </si>
  <si>
    <t>05k_SBER_7089group.pkl</t>
  </si>
  <si>
    <t>05k_SBER_7090group.pkl</t>
  </si>
  <si>
    <t>05k_SBER_7091group.pkl</t>
  </si>
  <si>
    <t>05k_SBER_7092group.pkl</t>
  </si>
  <si>
    <t>05k_SBER_7093group.pkl</t>
  </si>
  <si>
    <t>05k_SBER_7094group.pkl</t>
  </si>
  <si>
    <t>05k_SBER_7095group.pkl</t>
  </si>
  <si>
    <t>05k_SBER_7096group.pkl</t>
  </si>
  <si>
    <t>05k_SBER_7097group.pkl</t>
  </si>
  <si>
    <t>05k_SBER_7098group.pkl</t>
  </si>
  <si>
    <t>05k_SBER_7099group.pkl</t>
  </si>
  <si>
    <t>05k_SBER_7100group.pkl</t>
  </si>
  <si>
    <t>05k_SBER_8001group.pkl</t>
  </si>
  <si>
    <t>05k_SBER_8002group.pkl</t>
  </si>
  <si>
    <t>05k_SBER_8003group.pkl</t>
  </si>
  <si>
    <t>05k_SBER_8004group.pkl</t>
  </si>
  <si>
    <t>05k_SBER_8005group.pkl</t>
  </si>
  <si>
    <t>05k_SBER_8006group.pkl</t>
  </si>
  <si>
    <t>05k_SBER_8007group.pkl</t>
  </si>
  <si>
    <t>05k_SBER_8008group.pkl</t>
  </si>
  <si>
    <t>05k_SBER_8009group.pkl</t>
  </si>
  <si>
    <t>05k_SBER_8010group.pkl</t>
  </si>
  <si>
    <t>05k_SBER_8011group.pkl</t>
  </si>
  <si>
    <t>05k_SBER_8012group.pkl</t>
  </si>
  <si>
    <t>05k_SBER_8013group.pkl</t>
  </si>
  <si>
    <t>05k_SBER_8014group.pkl</t>
  </si>
  <si>
    <t>05k_SBER_8015group.pkl</t>
  </si>
  <si>
    <t>05k_SBER_8016group.pkl</t>
  </si>
  <si>
    <t>05k_SBER_8017group.pkl</t>
  </si>
  <si>
    <t>05k_SBER_8018group.pkl</t>
  </si>
  <si>
    <t>05k_SBER_8019group.pkl</t>
  </si>
  <si>
    <t>05k_SBER_8020group.pkl</t>
  </si>
  <si>
    <t>05k_SBER_8021group.pkl</t>
  </si>
  <si>
    <t>05k_SBER_8022group.pkl</t>
  </si>
  <si>
    <t>05k_SBER_8023group.pkl</t>
  </si>
  <si>
    <t>05k_SBER_8024group.pkl</t>
  </si>
  <si>
    <t>05k_SBER_8025group.pkl</t>
  </si>
  <si>
    <t>05k_SBER_8026group.pkl</t>
  </si>
  <si>
    <t>05k_SBER_8027group.pkl</t>
  </si>
  <si>
    <t>05k_SBER_8028group.pkl</t>
  </si>
  <si>
    <t>05k_SBER_8029group.pkl</t>
  </si>
  <si>
    <t>05k_SBER_8030group.pkl</t>
  </si>
  <si>
    <t>05k_SBER_8031group.pkl</t>
  </si>
  <si>
    <t>05k_SBER_8032group.pkl</t>
  </si>
  <si>
    <t>05k_SBER_8033group.pkl</t>
  </si>
  <si>
    <t>05k_SBER_8034group.pkl</t>
  </si>
  <si>
    <t>05k_SBER_8035group.pkl</t>
  </si>
  <si>
    <t>05k_SBER_8036group.pkl</t>
  </si>
  <si>
    <t>05k_SBER_8037group.pkl</t>
  </si>
  <si>
    <t>05k_SBER_8038group.pkl</t>
  </si>
  <si>
    <t>05k_SBER_8039group.pkl</t>
  </si>
  <si>
    <t>05k_SBER_8040group.pkl</t>
  </si>
  <si>
    <t>05k_SBER_8041group.pkl</t>
  </si>
  <si>
    <t>05k_SBER_8042group.pkl</t>
  </si>
  <si>
    <t>05k_SBER_8043group.pkl</t>
  </si>
  <si>
    <t>05k_SBER_8044group.pkl</t>
  </si>
  <si>
    <t>05k_SBER_8045group.pkl</t>
  </si>
  <si>
    <t>05k_SBER_8046group.pkl</t>
  </si>
  <si>
    <t>05k_SBER_8047group.pkl</t>
  </si>
  <si>
    <t>05k_SBER_8048group.pkl</t>
  </si>
  <si>
    <t>05k_SBER_8049group.pkl</t>
  </si>
  <si>
    <t>05k_SBER_8050group.pkl</t>
  </si>
  <si>
    <t>05k_SBER_8051group.pkl</t>
  </si>
  <si>
    <t>05k_SBER_8052group.pkl</t>
  </si>
  <si>
    <t>05k_SBER_8053group.pkl</t>
  </si>
  <si>
    <t>05k_SBER_8054group.pkl</t>
  </si>
  <si>
    <t>05k_SBER_8055group.pkl</t>
  </si>
  <si>
    <t>05k_SBER_8056group.pkl</t>
  </si>
  <si>
    <t>05k_SBER_8057group.pkl</t>
  </si>
  <si>
    <t>05k_SBER_8058group.pkl</t>
  </si>
  <si>
    <t>05k_SBER_8059group.pkl</t>
  </si>
  <si>
    <t>05k_SBER_8060group.pkl</t>
  </si>
  <si>
    <t>05k_SBER_8061group.pkl</t>
  </si>
  <si>
    <t>05k_SBER_8062group.pkl</t>
  </si>
  <si>
    <t>05k_SBER_8063group.pkl</t>
  </si>
  <si>
    <t>05k_SBER_8064group.pkl</t>
  </si>
  <si>
    <t>05k_SBER_8065group.pkl</t>
  </si>
  <si>
    <t>05k_SBER_8066group.pkl</t>
  </si>
  <si>
    <t>05k_SBER_8067group.pkl</t>
  </si>
  <si>
    <t>05k_SBER_8068group.pkl</t>
  </si>
  <si>
    <t>05k_SBER_8069group.pkl</t>
  </si>
  <si>
    <t>05k_SBER_8070group.pkl</t>
  </si>
  <si>
    <t>05k_SBER_8071group.pkl</t>
  </si>
  <si>
    <t>05k_SBER_8072group.pkl</t>
  </si>
  <si>
    <t>05k_SBER_8073group.pkl</t>
  </si>
  <si>
    <t>05k_SBER_8074group.pkl</t>
  </si>
  <si>
    <t>05k_SBER_8075group.pkl</t>
  </si>
  <si>
    <t>05k_SBER_8076group.pkl</t>
  </si>
  <si>
    <t>05k_SBER_8077group.pkl</t>
  </si>
  <si>
    <t>05k_SBER_8078group.pkl</t>
  </si>
  <si>
    <t>05k_SBER_8079group.pkl</t>
  </si>
  <si>
    <t>05k_SBER_8080group.pkl</t>
  </si>
  <si>
    <t>05k_SBER_8081group.pkl</t>
  </si>
  <si>
    <t>05k_SBER_8082group.pkl</t>
  </si>
  <si>
    <t>05k_SBER_8083group.pkl</t>
  </si>
  <si>
    <t>05k_SBER_8084group.pkl</t>
  </si>
  <si>
    <t>05k_SBER_8085group.pkl</t>
  </si>
  <si>
    <t>05k_SBER_8086group.pkl</t>
  </si>
  <si>
    <t>05k_SBER_8087group.pkl</t>
  </si>
  <si>
    <t>05k_SBER_8088group.pkl</t>
  </si>
  <si>
    <t>05k_SBER_8089group.pkl</t>
  </si>
  <si>
    <t>05k_SBER_8090group.pkl</t>
  </si>
  <si>
    <t>05k_SBER_8091group.pkl</t>
  </si>
  <si>
    <t>05k_SBER_8092group.pkl</t>
  </si>
  <si>
    <t>05k_SBER_8093group.pkl</t>
  </si>
  <si>
    <t>05k_SBER_8094group.pkl</t>
  </si>
  <si>
    <t>05k_SBER_8095group.pkl</t>
  </si>
  <si>
    <t>05k_SBER_8096group.pkl</t>
  </si>
  <si>
    <t>05k_SBER_8097group.pkl</t>
  </si>
  <si>
    <t>05k_SBER_8098group.pkl</t>
  </si>
  <si>
    <t>05k_SBER_8099group.pkl</t>
  </si>
  <si>
    <t>05k_SBER_8100group.pkl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</si>
</sst>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3F3F76"/>
      <name val="Calibri"/>
      <family val="2"/>
      <scheme val="minor"/>
    </font>
    <font>
      <b/>
      <u/>
      <sz val="11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b/>
      <sz val="11"/>
      <color rgb="FF3F3F76"/>
      <name val="Calibri"/>
      <family val="2"/>
      <charset val="204"/>
      <scheme val="minor"/>
    </font>
    <font>
      <b/>
      <sz val="11"/>
      <color rgb="FF9C6500"/>
      <name val="Calibri"/>
      <family val="2"/>
      <charset val="204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A5A5A5"/>
      </patternFill>
    </fill>
  </fills>
  <borders count="1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4" fillId="4" borderId="1" applyNumberFormat="0" applyAlignment="0" applyProtection="0"/>
    <xf numFmtId="0" fontId="10" fillId="5" borderId="14" applyNumberFormat="0" applyAlignment="0" applyProtection="0"/>
  </cellStyleXfs>
  <cellXfs count="37">
    <xf numFmtId="0" fontId="0" fillId="0" borderId="0" xfId="0"/>
    <xf numFmtId="0" fontId="2" fillId="3" borderId="0" xfId="2"/>
    <xf numFmtId="0" fontId="0" fillId="0" borderId="2" xfId="0" applyBorder="1"/>
    <xf numFmtId="0" fontId="0" fillId="0" borderId="3" xfId="0" applyBorder="1"/>
    <xf numFmtId="0" fontId="5" fillId="0" borderId="3" xfId="0" applyFont="1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6" fillId="0" borderId="0" xfId="0" applyFont="1" applyBorder="1"/>
    <xf numFmtId="0" fontId="2" fillId="3" borderId="0" xfId="2" applyBorder="1"/>
    <xf numFmtId="0" fontId="5" fillId="0" borderId="6" xfId="0" applyFont="1" applyBorder="1"/>
    <xf numFmtId="14" fontId="0" fillId="0" borderId="0" xfId="0" applyNumberFormat="1" applyBorder="1"/>
    <xf numFmtId="0" fontId="1" fillId="2" borderId="0" xfId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3" fillId="0" borderId="0" xfId="0" applyFont="1" applyBorder="1"/>
    <xf numFmtId="0" fontId="3" fillId="0" borderId="0" xfId="0" applyFont="1" applyFill="1" applyBorder="1"/>
    <xf numFmtId="0" fontId="3" fillId="0" borderId="8" xfId="0" applyFont="1" applyFill="1" applyBorder="1"/>
    <xf numFmtId="0" fontId="0" fillId="0" borderId="9" xfId="0" applyBorder="1"/>
    <xf numFmtId="0" fontId="5" fillId="0" borderId="0" xfId="0" applyFont="1" applyBorder="1"/>
    <xf numFmtId="0" fontId="4" fillId="4" borderId="1" xfId="3" applyBorder="1"/>
    <xf numFmtId="0" fontId="5" fillId="0" borderId="10" xfId="0" applyFont="1" applyBorder="1"/>
    <xf numFmtId="0" fontId="1" fillId="2" borderId="11" xfId="1" applyBorder="1"/>
    <xf numFmtId="0" fontId="0" fillId="0" borderId="12" xfId="0" applyBorder="1"/>
    <xf numFmtId="0" fontId="7" fillId="4" borderId="1" xfId="3" applyFont="1" applyBorder="1"/>
    <xf numFmtId="0" fontId="1" fillId="2" borderId="13" xfId="1" applyBorder="1"/>
    <xf numFmtId="0" fontId="8" fillId="2" borderId="0" xfId="1" applyFont="1" applyBorder="1"/>
    <xf numFmtId="0" fontId="9" fillId="0" borderId="0" xfId="0" applyFont="1" applyBorder="1"/>
    <xf numFmtId="0" fontId="10" fillId="5" borderId="14" xfId="4" applyBorder="1"/>
    <xf numFmtId="0" fontId="0" fillId="0" borderId="14" xfId="0" applyBorder="1"/>
    <xf numFmtId="0" fontId="5" fillId="0" borderId="0" xfId="0" applyFont="1"/>
    <xf numFmtId="0" fontId="1" fillId="2" borderId="0" xfId="1"/>
    <xf numFmtId="0" fontId="9" fillId="0" borderId="0" xfId="0" applyFont="1"/>
    <xf numFmtId="14" fontId="0" fillId="0" borderId="0" xfId="0" applyNumberFormat="1"/>
    <xf numFmtId="0" fontId="0" fillId="0" borderId="0" xfId="0" applyAlignment="1">
      <alignment vertical="center" wrapText="1"/>
    </xf>
    <xf numFmtId="0" fontId="11" fillId="0" borderId="0" xfId="0" applyNumberFormat="1" applyFont="1" applyFill="1" applyBorder="1" applyAlignment="1" applyProtection="1"/>
  </cellXfs>
  <cellStyles count="5">
    <cellStyle name="Check Cell" xfId="4" builtinId="23"/>
    <cellStyle name="Good" xfId="2" builtinId="26"/>
    <cellStyle name="Input" xfId="3" builtinId="20"/>
    <cellStyle name="Neutral" xfId="1" builtinId="28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Sheet4!$C$2:$C$3805</c:f>
              <c:numCache>
                <c:formatCode>General</c:formatCode>
                <c:ptCount val="3804"/>
                <c:pt idx="0">
                  <c:v>1.2213000000000001</c:v>
                </c:pt>
                <c:pt idx="1">
                  <c:v>1.2193000000000001</c:v>
                </c:pt>
                <c:pt idx="2">
                  <c:v>1.2191000000000001</c:v>
                </c:pt>
                <c:pt idx="3">
                  <c:v>1.2361</c:v>
                </c:pt>
                <c:pt idx="4">
                  <c:v>1.2398</c:v>
                </c:pt>
                <c:pt idx="5">
                  <c:v>1.2311000000000001</c:v>
                </c:pt>
                <c:pt idx="6">
                  <c:v>1.2222999999999999</c:v>
                </c:pt>
                <c:pt idx="7">
                  <c:v>1.2344999999999999</c:v>
                </c:pt>
                <c:pt idx="8">
                  <c:v>1.2221</c:v>
                </c:pt>
                <c:pt idx="9">
                  <c:v>1.2263999999999999</c:v>
                </c:pt>
                <c:pt idx="10">
                  <c:v>1.2272000000000001</c:v>
                </c:pt>
                <c:pt idx="11">
                  <c:v>1.2232000000000001</c:v>
                </c:pt>
                <c:pt idx="12">
                  <c:v>1.2387999999999999</c:v>
                </c:pt>
                <c:pt idx="13">
                  <c:v>1.2282999999999999</c:v>
                </c:pt>
                <c:pt idx="14">
                  <c:v>1.2345999999999999</c:v>
                </c:pt>
                <c:pt idx="15">
                  <c:v>1.2351000000000001</c:v>
                </c:pt>
                <c:pt idx="16">
                  <c:v>1.2121999999999999</c:v>
                </c:pt>
                <c:pt idx="17">
                  <c:v>1.2119</c:v>
                </c:pt>
                <c:pt idx="18">
                  <c:v>1.2122999999999999</c:v>
                </c:pt>
                <c:pt idx="19">
                  <c:v>1.216</c:v>
                </c:pt>
                <c:pt idx="20">
                  <c:v>1.2170000000000001</c:v>
                </c:pt>
                <c:pt idx="21">
                  <c:v>1.2316</c:v>
                </c:pt>
                <c:pt idx="22">
                  <c:v>1.2364999999999999</c:v>
                </c:pt>
                <c:pt idx="23">
                  <c:v>1.2133</c:v>
                </c:pt>
                <c:pt idx="24">
                  <c:v>1.2002999999999999</c:v>
                </c:pt>
                <c:pt idx="25">
                  <c:v>1.2141</c:v>
                </c:pt>
                <c:pt idx="26">
                  <c:v>1.2172000000000001</c:v>
                </c:pt>
                <c:pt idx="27">
                  <c:v>1.2082999999999999</c:v>
                </c:pt>
                <c:pt idx="28">
                  <c:v>1.2091000000000001</c:v>
                </c:pt>
                <c:pt idx="29">
                  <c:v>1.2079</c:v>
                </c:pt>
                <c:pt idx="30">
                  <c:v>1.1936</c:v>
                </c:pt>
                <c:pt idx="31">
                  <c:v>1.1955</c:v>
                </c:pt>
                <c:pt idx="32">
                  <c:v>1.1977</c:v>
                </c:pt>
                <c:pt idx="33">
                  <c:v>1.1999</c:v>
                </c:pt>
                <c:pt idx="34">
                  <c:v>1.2005999999999999</c:v>
                </c:pt>
                <c:pt idx="35">
                  <c:v>1.1850000000000001</c:v>
                </c:pt>
                <c:pt idx="36">
                  <c:v>1.1835</c:v>
                </c:pt>
                <c:pt idx="37">
                  <c:v>1.1909000000000001</c:v>
                </c:pt>
                <c:pt idx="38">
                  <c:v>1.1842999999999999</c:v>
                </c:pt>
                <c:pt idx="39">
                  <c:v>1.1861999999999999</c:v>
                </c:pt>
                <c:pt idx="40">
                  <c:v>1.1926000000000001</c:v>
                </c:pt>
                <c:pt idx="41">
                  <c:v>1.1848000000000001</c:v>
                </c:pt>
                <c:pt idx="42">
                  <c:v>1.1962999999999999</c:v>
                </c:pt>
                <c:pt idx="43">
                  <c:v>1.1986000000000001</c:v>
                </c:pt>
                <c:pt idx="44">
                  <c:v>1.1940999999999999</c:v>
                </c:pt>
                <c:pt idx="45">
                  <c:v>1.2104999999999999</c:v>
                </c:pt>
                <c:pt idx="46">
                  <c:v>1.2159</c:v>
                </c:pt>
                <c:pt idx="47">
                  <c:v>1.2071000000000001</c:v>
                </c:pt>
                <c:pt idx="48">
                  <c:v>1.1893</c:v>
                </c:pt>
                <c:pt idx="49">
                  <c:v>1.1827000000000001</c:v>
                </c:pt>
                <c:pt idx="50">
                  <c:v>1.1865000000000001</c:v>
                </c:pt>
                <c:pt idx="51">
                  <c:v>1.1907000000000001</c:v>
                </c:pt>
                <c:pt idx="52">
                  <c:v>1.1809000000000001</c:v>
                </c:pt>
                <c:pt idx="53">
                  <c:v>1.1890000000000001</c:v>
                </c:pt>
                <c:pt idx="54">
                  <c:v>1.2021999999999999</c:v>
                </c:pt>
                <c:pt idx="55">
                  <c:v>1.1952</c:v>
                </c:pt>
                <c:pt idx="56">
                  <c:v>1.2020999999999999</c:v>
                </c:pt>
                <c:pt idx="57">
                  <c:v>1.1964999999999999</c:v>
                </c:pt>
                <c:pt idx="58">
                  <c:v>1.1996</c:v>
                </c:pt>
                <c:pt idx="59">
                  <c:v>1.2010000000000001</c:v>
                </c:pt>
                <c:pt idx="60">
                  <c:v>1.2101999999999999</c:v>
                </c:pt>
                <c:pt idx="61">
                  <c:v>1.2116</c:v>
                </c:pt>
                <c:pt idx="62">
                  <c:v>1.2267999999999999</c:v>
                </c:pt>
                <c:pt idx="63">
                  <c:v>1.2215</c:v>
                </c:pt>
                <c:pt idx="64">
                  <c:v>1.2192000000000001</c:v>
                </c:pt>
                <c:pt idx="65">
                  <c:v>1.2243999999999999</c:v>
                </c:pt>
                <c:pt idx="66">
                  <c:v>1.2209000000000001</c:v>
                </c:pt>
                <c:pt idx="67">
                  <c:v>1.2218</c:v>
                </c:pt>
                <c:pt idx="68">
                  <c:v>1.2285999999999999</c:v>
                </c:pt>
                <c:pt idx="69">
                  <c:v>1.2321</c:v>
                </c:pt>
                <c:pt idx="70">
                  <c:v>1.2259</c:v>
                </c:pt>
                <c:pt idx="71">
                  <c:v>1.2028000000000001</c:v>
                </c:pt>
                <c:pt idx="72">
                  <c:v>1.2114</c:v>
                </c:pt>
                <c:pt idx="73">
                  <c:v>1.2009000000000001</c:v>
                </c:pt>
                <c:pt idx="74">
                  <c:v>1.2056</c:v>
                </c:pt>
                <c:pt idx="75">
                  <c:v>1.2161999999999999</c:v>
                </c:pt>
                <c:pt idx="76">
                  <c:v>1.2007000000000001</c:v>
                </c:pt>
                <c:pt idx="77">
                  <c:v>1.2045999999999999</c:v>
                </c:pt>
                <c:pt idx="78">
                  <c:v>1.2141999999999999</c:v>
                </c:pt>
                <c:pt idx="79">
                  <c:v>1.2112000000000001</c:v>
                </c:pt>
                <c:pt idx="80">
                  <c:v>1.212</c:v>
                </c:pt>
                <c:pt idx="81">
                  <c:v>1.2090000000000001</c:v>
                </c:pt>
                <c:pt idx="82">
                  <c:v>1.2184999999999999</c:v>
                </c:pt>
                <c:pt idx="83">
                  <c:v>1.2181</c:v>
                </c:pt>
                <c:pt idx="84">
                  <c:v>1.2183999999999999</c:v>
                </c:pt>
                <c:pt idx="85">
                  <c:v>1.2081</c:v>
                </c:pt>
                <c:pt idx="86">
                  <c:v>1.2185999999999999</c:v>
                </c:pt>
                <c:pt idx="87">
                  <c:v>1.2159</c:v>
                </c:pt>
                <c:pt idx="88">
                  <c:v>1.2321</c:v>
                </c:pt>
                <c:pt idx="89">
                  <c:v>1.2284999999999999</c:v>
                </c:pt>
                <c:pt idx="90">
                  <c:v>1.2292000000000001</c:v>
                </c:pt>
                <c:pt idx="91">
                  <c:v>1.2369000000000001</c:v>
                </c:pt>
                <c:pt idx="92">
                  <c:v>1.2395</c:v>
                </c:pt>
                <c:pt idx="93">
                  <c:v>1.2418</c:v>
                </c:pt>
                <c:pt idx="94">
                  <c:v>1.2410000000000001</c:v>
                </c:pt>
                <c:pt idx="95">
                  <c:v>1.2336</c:v>
                </c:pt>
                <c:pt idx="96">
                  <c:v>1.2386999999999999</c:v>
                </c:pt>
                <c:pt idx="97">
                  <c:v>1.2356</c:v>
                </c:pt>
                <c:pt idx="98">
                  <c:v>1.2454000000000001</c:v>
                </c:pt>
                <c:pt idx="99">
                  <c:v>1.2445999999999999</c:v>
                </c:pt>
                <c:pt idx="100">
                  <c:v>1.2331000000000001</c:v>
                </c:pt>
                <c:pt idx="101">
                  <c:v>1.2279</c:v>
                </c:pt>
                <c:pt idx="102">
                  <c:v>1.2256</c:v>
                </c:pt>
                <c:pt idx="103">
                  <c:v>1.2095</c:v>
                </c:pt>
                <c:pt idx="104">
                  <c:v>1.2149000000000001</c:v>
                </c:pt>
                <c:pt idx="105">
                  <c:v>1.2058</c:v>
                </c:pt>
                <c:pt idx="106">
                  <c:v>1.2058</c:v>
                </c:pt>
                <c:pt idx="107">
                  <c:v>1.2042999999999999</c:v>
                </c:pt>
                <c:pt idx="108">
                  <c:v>1.2019</c:v>
                </c:pt>
                <c:pt idx="109">
                  <c:v>1.2024999999999999</c:v>
                </c:pt>
                <c:pt idx="110">
                  <c:v>1.2051000000000001</c:v>
                </c:pt>
                <c:pt idx="111">
                  <c:v>1.2050000000000001</c:v>
                </c:pt>
                <c:pt idx="112">
                  <c:v>1.2059</c:v>
                </c:pt>
                <c:pt idx="113">
                  <c:v>1.2282999999999999</c:v>
                </c:pt>
                <c:pt idx="114">
                  <c:v>1.2265999999999999</c:v>
                </c:pt>
                <c:pt idx="115">
                  <c:v>1.2228000000000001</c:v>
                </c:pt>
                <c:pt idx="116">
                  <c:v>1.2224999999999999</c:v>
                </c:pt>
                <c:pt idx="117">
                  <c:v>1.2249000000000001</c:v>
                </c:pt>
                <c:pt idx="118">
                  <c:v>1.2377</c:v>
                </c:pt>
                <c:pt idx="119">
                  <c:v>1.2359</c:v>
                </c:pt>
                <c:pt idx="120">
                  <c:v>1.2347999999999999</c:v>
                </c:pt>
                <c:pt idx="121">
                  <c:v>1.2338</c:v>
                </c:pt>
                <c:pt idx="122">
                  <c:v>1.2367999999999999</c:v>
                </c:pt>
                <c:pt idx="123">
                  <c:v>1.2319</c:v>
                </c:pt>
                <c:pt idx="124">
                  <c:v>1.2139</c:v>
                </c:pt>
                <c:pt idx="125">
                  <c:v>1.2081999999999999</c:v>
                </c:pt>
                <c:pt idx="126">
                  <c:v>1.2084999999999999</c:v>
                </c:pt>
                <c:pt idx="127">
                  <c:v>1.2104999999999999</c:v>
                </c:pt>
                <c:pt idx="128">
                  <c:v>1.2015</c:v>
                </c:pt>
                <c:pt idx="129">
                  <c:v>1.2053</c:v>
                </c:pt>
                <c:pt idx="130">
                  <c:v>1.2181999999999999</c:v>
                </c:pt>
                <c:pt idx="131">
                  <c:v>1.2191000000000001</c:v>
                </c:pt>
                <c:pt idx="132">
                  <c:v>1.2169000000000001</c:v>
                </c:pt>
                <c:pt idx="133">
                  <c:v>1.2060999999999999</c:v>
                </c:pt>
                <c:pt idx="134">
                  <c:v>1.2064999999999999</c:v>
                </c:pt>
                <c:pt idx="135">
                  <c:v>1.2103999999999999</c:v>
                </c:pt>
                <c:pt idx="136">
                  <c:v>1.2183999999999999</c:v>
                </c:pt>
                <c:pt idx="137">
                  <c:v>1.2233000000000001</c:v>
                </c:pt>
                <c:pt idx="138">
                  <c:v>1.2269000000000001</c:v>
                </c:pt>
                <c:pt idx="139">
                  <c:v>1.226</c:v>
                </c:pt>
                <c:pt idx="140">
                  <c:v>1.2246999999999999</c:v>
                </c:pt>
                <c:pt idx="141">
                  <c:v>1.2152000000000001</c:v>
                </c:pt>
                <c:pt idx="142">
                  <c:v>1.2184999999999999</c:v>
                </c:pt>
                <c:pt idx="143">
                  <c:v>1.2170000000000001</c:v>
                </c:pt>
                <c:pt idx="144">
                  <c:v>1.2172000000000001</c:v>
                </c:pt>
                <c:pt idx="145">
                  <c:v>1.2330000000000001</c:v>
                </c:pt>
                <c:pt idx="146">
                  <c:v>1.2262999999999999</c:v>
                </c:pt>
                <c:pt idx="147">
                  <c:v>1.2266999999999999</c:v>
                </c:pt>
                <c:pt idx="148">
                  <c:v>1.2276</c:v>
                </c:pt>
                <c:pt idx="149">
                  <c:v>1.2299</c:v>
                </c:pt>
                <c:pt idx="150">
                  <c:v>1.2324999999999999</c:v>
                </c:pt>
                <c:pt idx="151">
                  <c:v>1.2332000000000001</c:v>
                </c:pt>
                <c:pt idx="152">
                  <c:v>1.2427999999999999</c:v>
                </c:pt>
                <c:pt idx="153">
                  <c:v>1.2402</c:v>
                </c:pt>
                <c:pt idx="154">
                  <c:v>1.2284999999999999</c:v>
                </c:pt>
                <c:pt idx="155">
                  <c:v>1.2309000000000001</c:v>
                </c:pt>
                <c:pt idx="156">
                  <c:v>1.2282</c:v>
                </c:pt>
                <c:pt idx="157">
                  <c:v>1.2285999999999999</c:v>
                </c:pt>
                <c:pt idx="158">
                  <c:v>1.2407999999999999</c:v>
                </c:pt>
                <c:pt idx="159">
                  <c:v>1.2384999999999999</c:v>
                </c:pt>
                <c:pt idx="160">
                  <c:v>1.2327999999999999</c:v>
                </c:pt>
                <c:pt idx="161">
                  <c:v>1.234</c:v>
                </c:pt>
                <c:pt idx="162">
                  <c:v>1.2383</c:v>
                </c:pt>
                <c:pt idx="163">
                  <c:v>1.2477</c:v>
                </c:pt>
                <c:pt idx="164">
                  <c:v>1.2491000000000001</c:v>
                </c:pt>
                <c:pt idx="165">
                  <c:v>1.2517</c:v>
                </c:pt>
                <c:pt idx="166">
                  <c:v>1.2583</c:v>
                </c:pt>
                <c:pt idx="167">
                  <c:v>1.2613000000000001</c:v>
                </c:pt>
                <c:pt idx="168">
                  <c:v>1.2685999999999999</c:v>
                </c:pt>
                <c:pt idx="169">
                  <c:v>1.2803</c:v>
                </c:pt>
                <c:pt idx="170">
                  <c:v>1.2746999999999999</c:v>
                </c:pt>
                <c:pt idx="171">
                  <c:v>1.2702</c:v>
                </c:pt>
                <c:pt idx="172">
                  <c:v>1.2742</c:v>
                </c:pt>
                <c:pt idx="173">
                  <c:v>1.2786999999999999</c:v>
                </c:pt>
                <c:pt idx="174">
                  <c:v>1.2753000000000001</c:v>
                </c:pt>
                <c:pt idx="175">
                  <c:v>1.2744</c:v>
                </c:pt>
                <c:pt idx="176">
                  <c:v>1.2826</c:v>
                </c:pt>
                <c:pt idx="177">
                  <c:v>1.2870999999999999</c:v>
                </c:pt>
                <c:pt idx="178">
                  <c:v>1.2974000000000001</c:v>
                </c:pt>
                <c:pt idx="179">
                  <c:v>1.2911999999999999</c:v>
                </c:pt>
                <c:pt idx="180">
                  <c:v>1.2897000000000001</c:v>
                </c:pt>
                <c:pt idx="181">
                  <c:v>1.2889999999999999</c:v>
                </c:pt>
                <c:pt idx="182">
                  <c:v>1.2907999999999999</c:v>
                </c:pt>
                <c:pt idx="183">
                  <c:v>1.2969999999999999</c:v>
                </c:pt>
                <c:pt idx="184">
                  <c:v>1.2948</c:v>
                </c:pt>
                <c:pt idx="185">
                  <c:v>1.2959000000000001</c:v>
                </c:pt>
                <c:pt idx="186">
                  <c:v>1.3037000000000001</c:v>
                </c:pt>
                <c:pt idx="187">
                  <c:v>1.2944</c:v>
                </c:pt>
                <c:pt idx="188">
                  <c:v>1.3053999999999999</c:v>
                </c:pt>
                <c:pt idx="189">
                  <c:v>1.3041</c:v>
                </c:pt>
                <c:pt idx="190">
                  <c:v>1.3085</c:v>
                </c:pt>
                <c:pt idx="191">
                  <c:v>1.3187</c:v>
                </c:pt>
                <c:pt idx="192">
                  <c:v>1.3274999999999999</c:v>
                </c:pt>
                <c:pt idx="193">
                  <c:v>1.3297000000000001</c:v>
                </c:pt>
                <c:pt idx="194">
                  <c:v>1.327</c:v>
                </c:pt>
                <c:pt idx="195">
                  <c:v>1.3289</c:v>
                </c:pt>
                <c:pt idx="196">
                  <c:v>1.3340000000000001</c:v>
                </c:pt>
                <c:pt idx="197">
                  <c:v>1.3267</c:v>
                </c:pt>
                <c:pt idx="198">
                  <c:v>1.3454999999999999</c:v>
                </c:pt>
                <c:pt idx="199">
                  <c:v>1.3403</c:v>
                </c:pt>
                <c:pt idx="200">
                  <c:v>1.3425</c:v>
                </c:pt>
                <c:pt idx="201">
                  <c:v>1.3354999999999999</c:v>
                </c:pt>
                <c:pt idx="202">
                  <c:v>1.3309</c:v>
                </c:pt>
                <c:pt idx="203">
                  <c:v>1.3211999999999999</c:v>
                </c:pt>
                <c:pt idx="204">
                  <c:v>1.3314999999999999</c:v>
                </c:pt>
                <c:pt idx="205">
                  <c:v>1.329</c:v>
                </c:pt>
                <c:pt idx="206">
                  <c:v>1.3399000000000001</c:v>
                </c:pt>
                <c:pt idx="207">
                  <c:v>1.3252999999999999</c:v>
                </c:pt>
                <c:pt idx="208">
                  <c:v>1.3315999999999999</c:v>
                </c:pt>
                <c:pt idx="209">
                  <c:v>1.3396999999999999</c:v>
                </c:pt>
                <c:pt idx="210">
                  <c:v>1.3364</c:v>
                </c:pt>
                <c:pt idx="211">
                  <c:v>1.339</c:v>
                </c:pt>
                <c:pt idx="212">
                  <c:v>1.3504</c:v>
                </c:pt>
                <c:pt idx="213">
                  <c:v>1.3528</c:v>
                </c:pt>
                <c:pt idx="214">
                  <c:v>1.3620000000000001</c:v>
                </c:pt>
                <c:pt idx="215">
                  <c:v>1.3614999999999999</c:v>
                </c:pt>
                <c:pt idx="216">
                  <c:v>1.3611</c:v>
                </c:pt>
                <c:pt idx="217">
                  <c:v>1.3632</c:v>
                </c:pt>
                <c:pt idx="218">
                  <c:v>1.3560000000000001</c:v>
                </c:pt>
                <c:pt idx="219">
                  <c:v>1.3468</c:v>
                </c:pt>
                <c:pt idx="220">
                  <c:v>1.327</c:v>
                </c:pt>
                <c:pt idx="221">
                  <c:v>1.3271999999999999</c:v>
                </c:pt>
                <c:pt idx="222">
                  <c:v>1.3181</c:v>
                </c:pt>
                <c:pt idx="223">
                  <c:v>1.3071999999999999</c:v>
                </c:pt>
                <c:pt idx="224">
                  <c:v>1.31</c:v>
                </c:pt>
                <c:pt idx="225">
                  <c:v>1.3118000000000001</c:v>
                </c:pt>
                <c:pt idx="226">
                  <c:v>1.325</c:v>
                </c:pt>
                <c:pt idx="227">
                  <c:v>1.3212999999999999</c:v>
                </c:pt>
                <c:pt idx="228">
                  <c:v>1.3095000000000001</c:v>
                </c:pt>
                <c:pt idx="229">
                  <c:v>1.3046</c:v>
                </c:pt>
                <c:pt idx="230">
                  <c:v>1.3017000000000001</c:v>
                </c:pt>
                <c:pt idx="231">
                  <c:v>1.3008</c:v>
                </c:pt>
                <c:pt idx="232">
                  <c:v>1.2957000000000001</c:v>
                </c:pt>
                <c:pt idx="233">
                  <c:v>1.3008</c:v>
                </c:pt>
                <c:pt idx="234">
                  <c:v>1.3045</c:v>
                </c:pt>
                <c:pt idx="235">
                  <c:v>1.2974000000000001</c:v>
                </c:pt>
                <c:pt idx="236">
                  <c:v>1.3073999999999999</c:v>
                </c:pt>
                <c:pt idx="237">
                  <c:v>1.3041</c:v>
                </c:pt>
                <c:pt idx="238">
                  <c:v>1.3056000000000001</c:v>
                </c:pt>
                <c:pt idx="239">
                  <c:v>1.3045</c:v>
                </c:pt>
                <c:pt idx="240">
                  <c:v>1.3044</c:v>
                </c:pt>
                <c:pt idx="241">
                  <c:v>1.3032999999999999</c:v>
                </c:pt>
                <c:pt idx="242">
                  <c:v>1.2976000000000001</c:v>
                </c:pt>
                <c:pt idx="243">
                  <c:v>1.2864</c:v>
                </c:pt>
                <c:pt idx="244">
                  <c:v>1.2751999999999999</c:v>
                </c:pt>
                <c:pt idx="245">
                  <c:v>1.2763</c:v>
                </c:pt>
                <c:pt idx="246">
                  <c:v>1.2810999999999999</c:v>
                </c:pt>
                <c:pt idx="247">
                  <c:v>1.2876000000000001</c:v>
                </c:pt>
                <c:pt idx="248">
                  <c:v>1.2865</c:v>
                </c:pt>
                <c:pt idx="249">
                  <c:v>1.2971999999999999</c:v>
                </c:pt>
                <c:pt idx="250">
                  <c:v>1.3018000000000001</c:v>
                </c:pt>
                <c:pt idx="251">
                  <c:v>1.3025</c:v>
                </c:pt>
                <c:pt idx="252">
                  <c:v>1.3073999999999999</c:v>
                </c:pt>
                <c:pt idx="253">
                  <c:v>1.3064</c:v>
                </c:pt>
                <c:pt idx="254">
                  <c:v>1.306</c:v>
                </c:pt>
                <c:pt idx="255">
                  <c:v>1.3254999999999999</c:v>
                </c:pt>
                <c:pt idx="256">
                  <c:v>1.3207</c:v>
                </c:pt>
                <c:pt idx="257">
                  <c:v>1.3193999999999999</c:v>
                </c:pt>
                <c:pt idx="258">
                  <c:v>1.3243</c:v>
                </c:pt>
                <c:pt idx="259">
                  <c:v>1.3214999999999999</c:v>
                </c:pt>
                <c:pt idx="260">
                  <c:v>1.3185</c:v>
                </c:pt>
                <c:pt idx="261">
                  <c:v>1.3136000000000001</c:v>
                </c:pt>
                <c:pt idx="262">
                  <c:v>1.3108</c:v>
                </c:pt>
                <c:pt idx="263">
                  <c:v>1.3241000000000001</c:v>
                </c:pt>
                <c:pt idx="264">
                  <c:v>1.3216000000000001</c:v>
                </c:pt>
                <c:pt idx="265">
                  <c:v>1.3353999999999999</c:v>
                </c:pt>
                <c:pt idx="266">
                  <c:v>1.339</c:v>
                </c:pt>
                <c:pt idx="267">
                  <c:v>1.3409</c:v>
                </c:pt>
                <c:pt idx="268">
                  <c:v>1.3458000000000001</c:v>
                </c:pt>
                <c:pt idx="269">
                  <c:v>1.3366</c:v>
                </c:pt>
                <c:pt idx="270">
                  <c:v>1.331</c:v>
                </c:pt>
                <c:pt idx="271">
                  <c:v>1.3416999999999999</c:v>
                </c:pt>
                <c:pt idx="272">
                  <c:v>1.3379000000000001</c:v>
                </c:pt>
                <c:pt idx="273">
                  <c:v>1.3321000000000001</c:v>
                </c:pt>
                <c:pt idx="274">
                  <c:v>1.3167</c:v>
                </c:pt>
                <c:pt idx="275">
                  <c:v>1.3085</c:v>
                </c:pt>
                <c:pt idx="276">
                  <c:v>1.2988999999999999</c:v>
                </c:pt>
                <c:pt idx="277">
                  <c:v>1.2943</c:v>
                </c:pt>
                <c:pt idx="278">
                  <c:v>1.2956000000000001</c:v>
                </c:pt>
                <c:pt idx="279">
                  <c:v>1.2895000000000001</c:v>
                </c:pt>
                <c:pt idx="280">
                  <c:v>1.2925</c:v>
                </c:pt>
                <c:pt idx="281">
                  <c:v>1.2916000000000001</c:v>
                </c:pt>
                <c:pt idx="282">
                  <c:v>1.2965</c:v>
                </c:pt>
                <c:pt idx="283">
                  <c:v>1.2907999999999999</c:v>
                </c:pt>
                <c:pt idx="284">
                  <c:v>1.2853000000000001</c:v>
                </c:pt>
                <c:pt idx="285">
                  <c:v>1.2853000000000001</c:v>
                </c:pt>
                <c:pt idx="286">
                  <c:v>1.2871999999999999</c:v>
                </c:pt>
                <c:pt idx="287">
                  <c:v>1.2850999999999999</c:v>
                </c:pt>
                <c:pt idx="288">
                  <c:v>1.2918000000000001</c:v>
                </c:pt>
                <c:pt idx="289">
                  <c:v>1.2974000000000001</c:v>
                </c:pt>
                <c:pt idx="290">
                  <c:v>1.2918000000000001</c:v>
                </c:pt>
                <c:pt idx="291">
                  <c:v>1.2919</c:v>
                </c:pt>
                <c:pt idx="292">
                  <c:v>1.2799</c:v>
                </c:pt>
                <c:pt idx="293">
                  <c:v>1.29</c:v>
                </c:pt>
                <c:pt idx="294">
                  <c:v>1.3028</c:v>
                </c:pt>
                <c:pt idx="295">
                  <c:v>1.3057000000000001</c:v>
                </c:pt>
                <c:pt idx="296">
                  <c:v>1.3087</c:v>
                </c:pt>
                <c:pt idx="297">
                  <c:v>1.3049999999999999</c:v>
                </c:pt>
                <c:pt idx="298">
                  <c:v>1.3062</c:v>
                </c:pt>
                <c:pt idx="299">
                  <c:v>1.2988999999999999</c:v>
                </c:pt>
                <c:pt idx="300">
                  <c:v>1.2991999999999999</c:v>
                </c:pt>
                <c:pt idx="301">
                  <c:v>1.2926</c:v>
                </c:pt>
                <c:pt idx="302">
                  <c:v>1.2902</c:v>
                </c:pt>
                <c:pt idx="303">
                  <c:v>1.2874000000000001</c:v>
                </c:pt>
                <c:pt idx="304">
                  <c:v>1.2851999999999999</c:v>
                </c:pt>
                <c:pt idx="305">
                  <c:v>1.2874000000000001</c:v>
                </c:pt>
                <c:pt idx="306">
                  <c:v>1.2955000000000001</c:v>
                </c:pt>
                <c:pt idx="307">
                  <c:v>1.2958000000000001</c:v>
                </c:pt>
                <c:pt idx="308">
                  <c:v>1.2838000000000001</c:v>
                </c:pt>
                <c:pt idx="309">
                  <c:v>1.2863</c:v>
                </c:pt>
                <c:pt idx="310">
                  <c:v>1.2879</c:v>
                </c:pt>
                <c:pt idx="311">
                  <c:v>1.2806</c:v>
                </c:pt>
                <c:pt idx="312">
                  <c:v>1.2679</c:v>
                </c:pt>
                <c:pt idx="313">
                  <c:v>1.2614000000000001</c:v>
                </c:pt>
                <c:pt idx="314">
                  <c:v>1.2634000000000001</c:v>
                </c:pt>
                <c:pt idx="315">
                  <c:v>1.2612000000000001</c:v>
                </c:pt>
                <c:pt idx="316">
                  <c:v>1.2679</c:v>
                </c:pt>
                <c:pt idx="317">
                  <c:v>1.2641</c:v>
                </c:pt>
                <c:pt idx="318">
                  <c:v>1.2551000000000001</c:v>
                </c:pt>
                <c:pt idx="319">
                  <c:v>1.2569999999999999</c:v>
                </c:pt>
                <c:pt idx="320">
                  <c:v>1.2582</c:v>
                </c:pt>
                <c:pt idx="321">
                  <c:v>1.2603</c:v>
                </c:pt>
                <c:pt idx="322">
                  <c:v>1.2512000000000001</c:v>
                </c:pt>
                <c:pt idx="323">
                  <c:v>1.258</c:v>
                </c:pt>
                <c:pt idx="324">
                  <c:v>1.2474000000000001</c:v>
                </c:pt>
                <c:pt idx="325">
                  <c:v>1.2307999999999999</c:v>
                </c:pt>
                <c:pt idx="326">
                  <c:v>1.2206999999999999</c:v>
                </c:pt>
                <c:pt idx="327">
                  <c:v>1.2277</c:v>
                </c:pt>
                <c:pt idx="328">
                  <c:v>1.2232000000000001</c:v>
                </c:pt>
                <c:pt idx="329">
                  <c:v>1.226</c:v>
                </c:pt>
                <c:pt idx="330">
                  <c:v>1.2285999999999999</c:v>
                </c:pt>
                <c:pt idx="331">
                  <c:v>1.2235</c:v>
                </c:pt>
                <c:pt idx="332">
                  <c:v>1.2229000000000001</c:v>
                </c:pt>
                <c:pt idx="333">
                  <c:v>1.2121999999999999</c:v>
                </c:pt>
                <c:pt idx="334">
                  <c:v>1.2112000000000001</c:v>
                </c:pt>
                <c:pt idx="335">
                  <c:v>1.2033</c:v>
                </c:pt>
                <c:pt idx="336">
                  <c:v>1.2123999999999999</c:v>
                </c:pt>
                <c:pt idx="337">
                  <c:v>1.2104999999999999</c:v>
                </c:pt>
                <c:pt idx="338">
                  <c:v>1.2282999999999999</c:v>
                </c:pt>
                <c:pt idx="339">
                  <c:v>1.2155</c:v>
                </c:pt>
                <c:pt idx="340">
                  <c:v>1.2173</c:v>
                </c:pt>
                <c:pt idx="341">
                  <c:v>1.2133</c:v>
                </c:pt>
                <c:pt idx="342">
                  <c:v>1.2034</c:v>
                </c:pt>
                <c:pt idx="343">
                  <c:v>1.2095</c:v>
                </c:pt>
                <c:pt idx="344">
                  <c:v>1.2171000000000001</c:v>
                </c:pt>
                <c:pt idx="345">
                  <c:v>1.2067000000000001</c:v>
                </c:pt>
                <c:pt idx="346">
                  <c:v>1.2070000000000001</c:v>
                </c:pt>
                <c:pt idx="347">
                  <c:v>1.2094</c:v>
                </c:pt>
                <c:pt idx="348">
                  <c:v>1.1937</c:v>
                </c:pt>
                <c:pt idx="349">
                  <c:v>1.19</c:v>
                </c:pt>
                <c:pt idx="350">
                  <c:v>1.1918</c:v>
                </c:pt>
                <c:pt idx="351">
                  <c:v>1.1936</c:v>
                </c:pt>
                <c:pt idx="352">
                  <c:v>1.1952</c:v>
                </c:pt>
                <c:pt idx="353">
                  <c:v>1.1975</c:v>
                </c:pt>
                <c:pt idx="354">
                  <c:v>1.2075</c:v>
                </c:pt>
                <c:pt idx="355">
                  <c:v>1.2241</c:v>
                </c:pt>
                <c:pt idx="356">
                  <c:v>1.2082999999999999</c:v>
                </c:pt>
                <c:pt idx="357">
                  <c:v>1.2082999999999999</c:v>
                </c:pt>
                <c:pt idx="358">
                  <c:v>1.2042999999999999</c:v>
                </c:pt>
                <c:pt idx="359">
                  <c:v>1.2051000000000001</c:v>
                </c:pt>
                <c:pt idx="360">
                  <c:v>1.2032</c:v>
                </c:pt>
                <c:pt idx="361">
                  <c:v>1.2150000000000001</c:v>
                </c:pt>
                <c:pt idx="362">
                  <c:v>1.2162999999999999</c:v>
                </c:pt>
                <c:pt idx="363">
                  <c:v>1.2058</c:v>
                </c:pt>
                <c:pt idx="364">
                  <c:v>1.2069000000000001</c:v>
                </c:pt>
                <c:pt idx="365">
                  <c:v>1.2023999999999999</c:v>
                </c:pt>
                <c:pt idx="366">
                  <c:v>1.2061999999999999</c:v>
                </c:pt>
                <c:pt idx="367">
                  <c:v>1.2126999999999999</c:v>
                </c:pt>
                <c:pt idx="368">
                  <c:v>1.2122999999999999</c:v>
                </c:pt>
                <c:pt idx="369">
                  <c:v>1.2176</c:v>
                </c:pt>
                <c:pt idx="370">
                  <c:v>1.2196</c:v>
                </c:pt>
                <c:pt idx="371">
                  <c:v>1.2332000000000001</c:v>
                </c:pt>
                <c:pt idx="372">
                  <c:v>1.2385999999999999</c:v>
                </c:pt>
                <c:pt idx="373">
                  <c:v>1.2376</c:v>
                </c:pt>
                <c:pt idx="374">
                  <c:v>1.2346999999999999</c:v>
                </c:pt>
                <c:pt idx="375">
                  <c:v>1.2379</c:v>
                </c:pt>
                <c:pt idx="376">
                  <c:v>1.2387999999999999</c:v>
                </c:pt>
                <c:pt idx="377">
                  <c:v>1.2467999999999999</c:v>
                </c:pt>
                <c:pt idx="378">
                  <c:v>1.2438</c:v>
                </c:pt>
                <c:pt idx="379">
                  <c:v>1.2367999999999999</c:v>
                </c:pt>
                <c:pt idx="380">
                  <c:v>1.2359</c:v>
                </c:pt>
                <c:pt idx="381">
                  <c:v>1.2277</c:v>
                </c:pt>
                <c:pt idx="382">
                  <c:v>1.2175</c:v>
                </c:pt>
                <c:pt idx="383">
                  <c:v>1.2153</c:v>
                </c:pt>
                <c:pt idx="384">
                  <c:v>1.2224999999999999</c:v>
                </c:pt>
                <c:pt idx="385">
                  <c:v>1.2229000000000001</c:v>
                </c:pt>
                <c:pt idx="386">
                  <c:v>1.2271000000000001</c:v>
                </c:pt>
                <c:pt idx="387">
                  <c:v>1.23</c:v>
                </c:pt>
                <c:pt idx="388">
                  <c:v>1.2281</c:v>
                </c:pt>
                <c:pt idx="389">
                  <c:v>1.2223999999999999</c:v>
                </c:pt>
                <c:pt idx="390">
                  <c:v>1.2218</c:v>
                </c:pt>
                <c:pt idx="391">
                  <c:v>1.2342</c:v>
                </c:pt>
                <c:pt idx="392">
                  <c:v>1.2493000000000001</c:v>
                </c:pt>
                <c:pt idx="393">
                  <c:v>1.2515000000000001</c:v>
                </c:pt>
                <c:pt idx="394">
                  <c:v>1.2543</c:v>
                </c:pt>
                <c:pt idx="395">
                  <c:v>1.2465999999999999</c:v>
                </c:pt>
                <c:pt idx="396">
                  <c:v>1.2412000000000001</c:v>
                </c:pt>
                <c:pt idx="397">
                  <c:v>1.2397</c:v>
                </c:pt>
                <c:pt idx="398">
                  <c:v>1.2418</c:v>
                </c:pt>
                <c:pt idx="399">
                  <c:v>1.2277</c:v>
                </c:pt>
                <c:pt idx="400">
                  <c:v>1.2267999999999999</c:v>
                </c:pt>
                <c:pt idx="401">
                  <c:v>1.2283999999999999</c:v>
                </c:pt>
                <c:pt idx="402">
                  <c:v>1.2223999999999999</c:v>
                </c:pt>
                <c:pt idx="403">
                  <c:v>1.2239</c:v>
                </c:pt>
                <c:pt idx="404">
                  <c:v>1.2136</c:v>
                </c:pt>
                <c:pt idx="405">
                  <c:v>1.2119</c:v>
                </c:pt>
                <c:pt idx="406">
                  <c:v>1.2225999999999999</c:v>
                </c:pt>
                <c:pt idx="407">
                  <c:v>1.2148000000000001</c:v>
                </c:pt>
                <c:pt idx="408">
                  <c:v>1.2034</c:v>
                </c:pt>
                <c:pt idx="409">
                  <c:v>1.2068000000000001</c:v>
                </c:pt>
                <c:pt idx="410">
                  <c:v>1.2017</c:v>
                </c:pt>
                <c:pt idx="411">
                  <c:v>1.2043999999999999</c:v>
                </c:pt>
                <c:pt idx="412">
                  <c:v>1.2035</c:v>
                </c:pt>
                <c:pt idx="413">
                  <c:v>1.2063999999999999</c:v>
                </c:pt>
                <c:pt idx="414">
                  <c:v>1.1918</c:v>
                </c:pt>
                <c:pt idx="415">
                  <c:v>1.1919</c:v>
                </c:pt>
                <c:pt idx="416">
                  <c:v>1.2010000000000001</c:v>
                </c:pt>
                <c:pt idx="417">
                  <c:v>1.2182999999999999</c:v>
                </c:pt>
                <c:pt idx="418">
                  <c:v>1.2128000000000001</c:v>
                </c:pt>
                <c:pt idx="419">
                  <c:v>1.2068000000000001</c:v>
                </c:pt>
                <c:pt idx="420">
                  <c:v>1.1988000000000001</c:v>
                </c:pt>
                <c:pt idx="421">
                  <c:v>1.2027000000000001</c:v>
                </c:pt>
                <c:pt idx="422">
                  <c:v>1.2027000000000001</c:v>
                </c:pt>
                <c:pt idx="423">
                  <c:v>1.2074</c:v>
                </c:pt>
                <c:pt idx="424">
                  <c:v>1.2018</c:v>
                </c:pt>
                <c:pt idx="425">
                  <c:v>1.1964999999999999</c:v>
                </c:pt>
                <c:pt idx="426">
                  <c:v>1.1994</c:v>
                </c:pt>
                <c:pt idx="427">
                  <c:v>1.2019</c:v>
                </c:pt>
                <c:pt idx="428">
                  <c:v>1.1956</c:v>
                </c:pt>
                <c:pt idx="429">
                  <c:v>1.198</c:v>
                </c:pt>
                <c:pt idx="430">
                  <c:v>1.2111000000000001</c:v>
                </c:pt>
                <c:pt idx="431">
                  <c:v>1.2059</c:v>
                </c:pt>
                <c:pt idx="432">
                  <c:v>1.2138</c:v>
                </c:pt>
                <c:pt idx="433">
                  <c:v>1.2065999999999999</c:v>
                </c:pt>
                <c:pt idx="434">
                  <c:v>1.1983999999999999</c:v>
                </c:pt>
                <c:pt idx="435">
                  <c:v>1.2037</c:v>
                </c:pt>
                <c:pt idx="436">
                  <c:v>1.2073</c:v>
                </c:pt>
                <c:pt idx="437">
                  <c:v>1.1941999999999999</c:v>
                </c:pt>
                <c:pt idx="438">
                  <c:v>1.181</c:v>
                </c:pt>
                <c:pt idx="439">
                  <c:v>1.1788000000000001</c:v>
                </c:pt>
                <c:pt idx="440">
                  <c:v>1.1778999999999999</c:v>
                </c:pt>
                <c:pt idx="441">
                  <c:v>1.1768000000000001</c:v>
                </c:pt>
                <c:pt idx="442">
                  <c:v>1.1691</c:v>
                </c:pt>
                <c:pt idx="443">
                  <c:v>1.1738</c:v>
                </c:pt>
                <c:pt idx="444">
                  <c:v>1.1695</c:v>
                </c:pt>
                <c:pt idx="445">
                  <c:v>1.1718999999999999</c:v>
                </c:pt>
                <c:pt idx="446">
                  <c:v>1.1672</c:v>
                </c:pt>
                <c:pt idx="447">
                  <c:v>1.1744000000000001</c:v>
                </c:pt>
                <c:pt idx="448">
                  <c:v>1.1771</c:v>
                </c:pt>
                <c:pt idx="449">
                  <c:v>1.1728000000000001</c:v>
                </c:pt>
                <c:pt idx="450">
                  <c:v>1.1819999999999999</c:v>
                </c:pt>
                <c:pt idx="451">
                  <c:v>1.1811</c:v>
                </c:pt>
                <c:pt idx="452">
                  <c:v>1.1778999999999999</c:v>
                </c:pt>
                <c:pt idx="453">
                  <c:v>1.1718999999999999</c:v>
                </c:pt>
                <c:pt idx="454">
                  <c:v>1.1848000000000001</c:v>
                </c:pt>
                <c:pt idx="455">
                  <c:v>1.1765000000000001</c:v>
                </c:pt>
                <c:pt idx="456">
                  <c:v>1.179</c:v>
                </c:pt>
                <c:pt idx="457">
                  <c:v>1.1738999999999999</c:v>
                </c:pt>
                <c:pt idx="458">
                  <c:v>1.171</c:v>
                </c:pt>
                <c:pt idx="459">
                  <c:v>1.1792</c:v>
                </c:pt>
                <c:pt idx="460">
                  <c:v>1.1779999999999999</c:v>
                </c:pt>
                <c:pt idx="461">
                  <c:v>1.1713</c:v>
                </c:pt>
                <c:pt idx="462">
                  <c:v>1.1818</c:v>
                </c:pt>
                <c:pt idx="463">
                  <c:v>1.1815</c:v>
                </c:pt>
                <c:pt idx="464">
                  <c:v>1.1954</c:v>
                </c:pt>
                <c:pt idx="465">
                  <c:v>1.1934</c:v>
                </c:pt>
                <c:pt idx="466">
                  <c:v>1.1994</c:v>
                </c:pt>
                <c:pt idx="467">
                  <c:v>1.1970000000000001</c:v>
                </c:pt>
                <c:pt idx="468">
                  <c:v>1.2015</c:v>
                </c:pt>
                <c:pt idx="469">
                  <c:v>1.2001999999999999</c:v>
                </c:pt>
                <c:pt idx="470">
                  <c:v>1.1861999999999999</c:v>
                </c:pt>
                <c:pt idx="471">
                  <c:v>1.1834</c:v>
                </c:pt>
                <c:pt idx="472">
                  <c:v>1.1873</c:v>
                </c:pt>
                <c:pt idx="473">
                  <c:v>1.1861999999999999</c:v>
                </c:pt>
                <c:pt idx="474">
                  <c:v>1.1848000000000001</c:v>
                </c:pt>
                <c:pt idx="475">
                  <c:v>1.1833</c:v>
                </c:pt>
                <c:pt idx="476">
                  <c:v>1.1838</c:v>
                </c:pt>
                <c:pt idx="477">
                  <c:v>1.1840999999999999</c:v>
                </c:pt>
                <c:pt idx="478">
                  <c:v>1.1838</c:v>
                </c:pt>
                <c:pt idx="479">
                  <c:v>1.1820999999999999</c:v>
                </c:pt>
                <c:pt idx="480">
                  <c:v>1.2015</c:v>
                </c:pt>
                <c:pt idx="481">
                  <c:v>1.2108000000000001</c:v>
                </c:pt>
                <c:pt idx="482">
                  <c:v>1.2097</c:v>
                </c:pt>
                <c:pt idx="483">
                  <c:v>1.2142999999999999</c:v>
                </c:pt>
                <c:pt idx="484">
                  <c:v>1.2081</c:v>
                </c:pt>
                <c:pt idx="485">
                  <c:v>1.2060999999999999</c:v>
                </c:pt>
                <c:pt idx="486">
                  <c:v>1.2141</c:v>
                </c:pt>
                <c:pt idx="487">
                  <c:v>1.2033</c:v>
                </c:pt>
                <c:pt idx="488">
                  <c:v>1.2115</c:v>
                </c:pt>
                <c:pt idx="489">
                  <c:v>1.2116</c:v>
                </c:pt>
                <c:pt idx="490">
                  <c:v>1.2117</c:v>
                </c:pt>
                <c:pt idx="491">
                  <c:v>1.2119</c:v>
                </c:pt>
                <c:pt idx="492">
                  <c:v>1.2091000000000001</c:v>
                </c:pt>
                <c:pt idx="493">
                  <c:v>1.2136</c:v>
                </c:pt>
                <c:pt idx="494">
                  <c:v>1.2297</c:v>
                </c:pt>
                <c:pt idx="495">
                  <c:v>1.2269000000000001</c:v>
                </c:pt>
                <c:pt idx="496">
                  <c:v>1.2242</c:v>
                </c:pt>
                <c:pt idx="497">
                  <c:v>1.2202</c:v>
                </c:pt>
                <c:pt idx="498">
                  <c:v>1.2097</c:v>
                </c:pt>
                <c:pt idx="499">
                  <c:v>1.2094</c:v>
                </c:pt>
                <c:pt idx="500">
                  <c:v>1.2148000000000001</c:v>
                </c:pt>
                <c:pt idx="501">
                  <c:v>1.2059</c:v>
                </c:pt>
                <c:pt idx="502">
                  <c:v>1.2088000000000001</c:v>
                </c:pt>
                <c:pt idx="503">
                  <c:v>1.2024999999999999</c:v>
                </c:pt>
                <c:pt idx="504">
                  <c:v>1.1970000000000001</c:v>
                </c:pt>
                <c:pt idx="505">
                  <c:v>1.1983999999999999</c:v>
                </c:pt>
                <c:pt idx="506">
                  <c:v>1.1958</c:v>
                </c:pt>
                <c:pt idx="507">
                  <c:v>1.1987000000000001</c:v>
                </c:pt>
                <c:pt idx="508">
                  <c:v>1.1908000000000001</c:v>
                </c:pt>
                <c:pt idx="509">
                  <c:v>1.1901999999999999</c:v>
                </c:pt>
                <c:pt idx="510">
                  <c:v>1.1913</c:v>
                </c:pt>
                <c:pt idx="511">
                  <c:v>1.1892</c:v>
                </c:pt>
                <c:pt idx="512">
                  <c:v>1.1901999999999999</c:v>
                </c:pt>
                <c:pt idx="513">
                  <c:v>1.1932</c:v>
                </c:pt>
                <c:pt idx="514">
                  <c:v>1.1937</c:v>
                </c:pt>
                <c:pt idx="515">
                  <c:v>1.1909000000000001</c:v>
                </c:pt>
                <c:pt idx="516">
                  <c:v>1.1912</c:v>
                </c:pt>
                <c:pt idx="517">
                  <c:v>1.1918</c:v>
                </c:pt>
                <c:pt idx="518">
                  <c:v>1.1872</c:v>
                </c:pt>
                <c:pt idx="519">
                  <c:v>1.1847000000000001</c:v>
                </c:pt>
                <c:pt idx="520">
                  <c:v>1.1931</c:v>
                </c:pt>
                <c:pt idx="521">
                  <c:v>1.1923999999999999</c:v>
                </c:pt>
                <c:pt idx="522">
                  <c:v>1.2033</c:v>
                </c:pt>
                <c:pt idx="523">
                  <c:v>1.2037</c:v>
                </c:pt>
                <c:pt idx="524">
                  <c:v>1.2009000000000001</c:v>
                </c:pt>
                <c:pt idx="525">
                  <c:v>1.1887000000000001</c:v>
                </c:pt>
                <c:pt idx="526">
                  <c:v>1.1928000000000001</c:v>
                </c:pt>
                <c:pt idx="527">
                  <c:v>1.1907000000000001</c:v>
                </c:pt>
                <c:pt idx="528">
                  <c:v>1.1916</c:v>
                </c:pt>
                <c:pt idx="529">
                  <c:v>1.1960999999999999</c:v>
                </c:pt>
                <c:pt idx="530">
                  <c:v>1.2016</c:v>
                </c:pt>
                <c:pt idx="531">
                  <c:v>1.2069000000000001</c:v>
                </c:pt>
                <c:pt idx="532">
                  <c:v>1.2172000000000001</c:v>
                </c:pt>
                <c:pt idx="533">
                  <c:v>1.2190000000000001</c:v>
                </c:pt>
                <c:pt idx="534">
                  <c:v>1.216</c:v>
                </c:pt>
                <c:pt idx="535">
                  <c:v>1.2108000000000001</c:v>
                </c:pt>
                <c:pt idx="536">
                  <c:v>1.208</c:v>
                </c:pt>
                <c:pt idx="537">
                  <c:v>1.1968000000000001</c:v>
                </c:pt>
                <c:pt idx="538">
                  <c:v>1.204</c:v>
                </c:pt>
                <c:pt idx="539">
                  <c:v>1.2014</c:v>
                </c:pt>
                <c:pt idx="540">
                  <c:v>1.2</c:v>
                </c:pt>
                <c:pt idx="541">
                  <c:v>1.2024999999999999</c:v>
                </c:pt>
                <c:pt idx="542">
                  <c:v>1.2161999999999999</c:v>
                </c:pt>
                <c:pt idx="543">
                  <c:v>1.2116</c:v>
                </c:pt>
                <c:pt idx="544">
                  <c:v>1.2133</c:v>
                </c:pt>
                <c:pt idx="545">
                  <c:v>1.2261</c:v>
                </c:pt>
                <c:pt idx="546">
                  <c:v>1.2292000000000001</c:v>
                </c:pt>
                <c:pt idx="547">
                  <c:v>1.2219</c:v>
                </c:pt>
                <c:pt idx="548">
                  <c:v>1.2093</c:v>
                </c:pt>
                <c:pt idx="549">
                  <c:v>1.2114</c:v>
                </c:pt>
                <c:pt idx="550">
                  <c:v>1.2139</c:v>
                </c:pt>
                <c:pt idx="551">
                  <c:v>1.2104999999999999</c:v>
                </c:pt>
                <c:pt idx="552">
                  <c:v>1.2107000000000001</c:v>
                </c:pt>
                <c:pt idx="553">
                  <c:v>1.2111000000000001</c:v>
                </c:pt>
                <c:pt idx="554">
                  <c:v>1.2256</c:v>
                </c:pt>
                <c:pt idx="555">
                  <c:v>1.2366999999999999</c:v>
                </c:pt>
                <c:pt idx="556">
                  <c:v>1.2379</c:v>
                </c:pt>
                <c:pt idx="557">
                  <c:v>1.2314000000000001</c:v>
                </c:pt>
                <c:pt idx="558">
                  <c:v>1.234</c:v>
                </c:pt>
                <c:pt idx="559">
                  <c:v>1.2383999999999999</c:v>
                </c:pt>
                <c:pt idx="560">
                  <c:v>1.2427999999999999</c:v>
                </c:pt>
                <c:pt idx="561">
                  <c:v>1.2446999999999999</c:v>
                </c:pt>
                <c:pt idx="562">
                  <c:v>1.2527999999999999</c:v>
                </c:pt>
                <c:pt idx="563">
                  <c:v>1.2635000000000001</c:v>
                </c:pt>
                <c:pt idx="564">
                  <c:v>1.2567999999999999</c:v>
                </c:pt>
                <c:pt idx="565">
                  <c:v>1.2612000000000001</c:v>
                </c:pt>
                <c:pt idx="566">
                  <c:v>1.2628999999999999</c:v>
                </c:pt>
                <c:pt idx="567">
                  <c:v>1.2696000000000001</c:v>
                </c:pt>
                <c:pt idx="568">
                  <c:v>1.2726999999999999</c:v>
                </c:pt>
                <c:pt idx="569">
                  <c:v>1.2701</c:v>
                </c:pt>
                <c:pt idx="570">
                  <c:v>1.2763</c:v>
                </c:pt>
                <c:pt idx="571">
                  <c:v>1.2782</c:v>
                </c:pt>
                <c:pt idx="572">
                  <c:v>1.2836000000000001</c:v>
                </c:pt>
                <c:pt idx="573">
                  <c:v>1.2926</c:v>
                </c:pt>
                <c:pt idx="574">
                  <c:v>1.28</c:v>
                </c:pt>
                <c:pt idx="575">
                  <c:v>1.286</c:v>
                </c:pt>
                <c:pt idx="576">
                  <c:v>1.2725</c:v>
                </c:pt>
                <c:pt idx="577">
                  <c:v>1.2855000000000001</c:v>
                </c:pt>
                <c:pt idx="578">
                  <c:v>1.2770999999999999</c:v>
                </c:pt>
                <c:pt idx="579">
                  <c:v>1.286</c:v>
                </c:pt>
                <c:pt idx="580">
                  <c:v>1.2787999999999999</c:v>
                </c:pt>
                <c:pt idx="581">
                  <c:v>1.2758</c:v>
                </c:pt>
                <c:pt idx="582">
                  <c:v>1.2824</c:v>
                </c:pt>
                <c:pt idx="583">
                  <c:v>1.2737000000000001</c:v>
                </c:pt>
                <c:pt idx="584">
                  <c:v>1.2748999999999999</c:v>
                </c:pt>
                <c:pt idx="585">
                  <c:v>1.2875000000000001</c:v>
                </c:pt>
                <c:pt idx="586">
                  <c:v>1.2817000000000001</c:v>
                </c:pt>
                <c:pt idx="587">
                  <c:v>1.2816000000000001</c:v>
                </c:pt>
                <c:pt idx="588">
                  <c:v>1.2922</c:v>
                </c:pt>
                <c:pt idx="589">
                  <c:v>1.2905</c:v>
                </c:pt>
                <c:pt idx="590">
                  <c:v>1.2824</c:v>
                </c:pt>
                <c:pt idx="591">
                  <c:v>1.2802</c:v>
                </c:pt>
                <c:pt idx="592">
                  <c:v>1.2648999999999999</c:v>
                </c:pt>
                <c:pt idx="593">
                  <c:v>1.2642</c:v>
                </c:pt>
                <c:pt idx="594">
                  <c:v>1.2581</c:v>
                </c:pt>
                <c:pt idx="595">
                  <c:v>1.2543</c:v>
                </c:pt>
                <c:pt idx="596">
                  <c:v>1.2606999999999999</c:v>
                </c:pt>
                <c:pt idx="597">
                  <c:v>1.2630999999999999</c:v>
                </c:pt>
                <c:pt idx="598">
                  <c:v>1.2646999999999999</c:v>
                </c:pt>
                <c:pt idx="599">
                  <c:v>1.2575000000000001</c:v>
                </c:pt>
                <c:pt idx="600">
                  <c:v>1.2583</c:v>
                </c:pt>
                <c:pt idx="601">
                  <c:v>1.2666999999999999</c:v>
                </c:pt>
                <c:pt idx="602">
                  <c:v>1.2569999999999999</c:v>
                </c:pt>
                <c:pt idx="603">
                  <c:v>1.2509999999999999</c:v>
                </c:pt>
                <c:pt idx="604">
                  <c:v>1.2589999999999999</c:v>
                </c:pt>
                <c:pt idx="605">
                  <c:v>1.2576000000000001</c:v>
                </c:pt>
                <c:pt idx="606">
                  <c:v>1.2547999999999999</c:v>
                </c:pt>
                <c:pt idx="607">
                  <c:v>1.2667999999999999</c:v>
                </c:pt>
                <c:pt idx="608">
                  <c:v>1.2789999999999999</c:v>
                </c:pt>
                <c:pt idx="609">
                  <c:v>1.2793000000000001</c:v>
                </c:pt>
                <c:pt idx="610">
                  <c:v>1.2789999999999999</c:v>
                </c:pt>
                <c:pt idx="611">
                  <c:v>1.2724</c:v>
                </c:pt>
                <c:pt idx="612">
                  <c:v>1.2779</c:v>
                </c:pt>
                <c:pt idx="613">
                  <c:v>1.2809999999999999</c:v>
                </c:pt>
                <c:pt idx="614">
                  <c:v>1.274</c:v>
                </c:pt>
                <c:pt idx="615">
                  <c:v>1.2767999999999999</c:v>
                </c:pt>
                <c:pt idx="616">
                  <c:v>1.2701</c:v>
                </c:pt>
                <c:pt idx="617">
                  <c:v>1.2694000000000001</c:v>
                </c:pt>
                <c:pt idx="618">
                  <c:v>1.2649999999999999</c:v>
                </c:pt>
                <c:pt idx="619">
                  <c:v>1.2522</c:v>
                </c:pt>
                <c:pt idx="620">
                  <c:v>1.2507999999999999</c:v>
                </c:pt>
                <c:pt idx="621">
                  <c:v>1.2593000000000001</c:v>
                </c:pt>
                <c:pt idx="622">
                  <c:v>1.2627999999999999</c:v>
                </c:pt>
                <c:pt idx="623">
                  <c:v>1.27</c:v>
                </c:pt>
                <c:pt idx="624">
                  <c:v>1.2634000000000001</c:v>
                </c:pt>
                <c:pt idx="625">
                  <c:v>1.2581</c:v>
                </c:pt>
                <c:pt idx="626">
                  <c:v>1.2713000000000001</c:v>
                </c:pt>
                <c:pt idx="627">
                  <c:v>1.2698</c:v>
                </c:pt>
                <c:pt idx="628">
                  <c:v>1.2762</c:v>
                </c:pt>
                <c:pt idx="629">
                  <c:v>1.2766999999999999</c:v>
                </c:pt>
                <c:pt idx="630">
                  <c:v>1.2822</c:v>
                </c:pt>
                <c:pt idx="631">
                  <c:v>1.2789999999999999</c:v>
                </c:pt>
                <c:pt idx="632">
                  <c:v>1.2803</c:v>
                </c:pt>
                <c:pt idx="633">
                  <c:v>1.2874000000000001</c:v>
                </c:pt>
                <c:pt idx="634">
                  <c:v>1.2818000000000001</c:v>
                </c:pt>
                <c:pt idx="635">
                  <c:v>1.2822</c:v>
                </c:pt>
                <c:pt idx="636">
                  <c:v>1.2864</c:v>
                </c:pt>
                <c:pt idx="637">
                  <c:v>1.2793000000000001</c:v>
                </c:pt>
                <c:pt idx="638">
                  <c:v>1.2721</c:v>
                </c:pt>
                <c:pt idx="639">
                  <c:v>1.2724</c:v>
                </c:pt>
                <c:pt idx="640">
                  <c:v>1.2786</c:v>
                </c:pt>
                <c:pt idx="641">
                  <c:v>1.2844</c:v>
                </c:pt>
                <c:pt idx="642">
                  <c:v>1.2826</c:v>
                </c:pt>
                <c:pt idx="643">
                  <c:v>1.2825</c:v>
                </c:pt>
                <c:pt idx="644">
                  <c:v>1.2886</c:v>
                </c:pt>
                <c:pt idx="645">
                  <c:v>1.2807999999999999</c:v>
                </c:pt>
                <c:pt idx="646">
                  <c:v>1.2786999999999999</c:v>
                </c:pt>
                <c:pt idx="647">
                  <c:v>1.2765</c:v>
                </c:pt>
                <c:pt idx="648">
                  <c:v>1.2754000000000001</c:v>
                </c:pt>
                <c:pt idx="649">
                  <c:v>1.2786</c:v>
                </c:pt>
                <c:pt idx="650">
                  <c:v>1.2829999999999999</c:v>
                </c:pt>
                <c:pt idx="651">
                  <c:v>1.2837000000000001</c:v>
                </c:pt>
                <c:pt idx="652">
                  <c:v>1.2806</c:v>
                </c:pt>
                <c:pt idx="653">
                  <c:v>1.2836000000000001</c:v>
                </c:pt>
                <c:pt idx="654">
                  <c:v>1.286</c:v>
                </c:pt>
                <c:pt idx="655">
                  <c:v>1.2816000000000001</c:v>
                </c:pt>
                <c:pt idx="656">
                  <c:v>1.2805</c:v>
                </c:pt>
                <c:pt idx="657">
                  <c:v>1.2734000000000001</c:v>
                </c:pt>
                <c:pt idx="658">
                  <c:v>1.2674000000000001</c:v>
                </c:pt>
                <c:pt idx="659">
                  <c:v>1.2702</c:v>
                </c:pt>
                <c:pt idx="660">
                  <c:v>1.2688999999999999</c:v>
                </c:pt>
                <c:pt idx="661">
                  <c:v>1.27</c:v>
                </c:pt>
                <c:pt idx="662">
                  <c:v>1.2723</c:v>
                </c:pt>
                <c:pt idx="663">
                  <c:v>1.2659</c:v>
                </c:pt>
                <c:pt idx="664">
                  <c:v>1.2702</c:v>
                </c:pt>
                <c:pt idx="665">
                  <c:v>1.2670999999999999</c:v>
                </c:pt>
                <c:pt idx="666">
                  <c:v>1.2687999999999999</c:v>
                </c:pt>
                <c:pt idx="667">
                  <c:v>1.278</c:v>
                </c:pt>
                <c:pt idx="668">
                  <c:v>1.2783</c:v>
                </c:pt>
                <c:pt idx="669">
                  <c:v>1.2745</c:v>
                </c:pt>
                <c:pt idx="670">
                  <c:v>1.2682</c:v>
                </c:pt>
                <c:pt idx="671">
                  <c:v>1.2701</c:v>
                </c:pt>
                <c:pt idx="672">
                  <c:v>1.2694000000000001</c:v>
                </c:pt>
                <c:pt idx="673">
                  <c:v>1.2673000000000001</c:v>
                </c:pt>
                <c:pt idx="674">
                  <c:v>1.2736000000000001</c:v>
                </c:pt>
                <c:pt idx="675">
                  <c:v>1.2728999999999999</c:v>
                </c:pt>
                <c:pt idx="676">
                  <c:v>1.2710999999999999</c:v>
                </c:pt>
                <c:pt idx="677">
                  <c:v>1.2692000000000001</c:v>
                </c:pt>
                <c:pt idx="678">
                  <c:v>1.2599</c:v>
                </c:pt>
                <c:pt idx="679">
                  <c:v>1.2593000000000001</c:v>
                </c:pt>
                <c:pt idx="680">
                  <c:v>1.2533000000000001</c:v>
                </c:pt>
                <c:pt idx="681">
                  <c:v>1.2523</c:v>
                </c:pt>
                <c:pt idx="682">
                  <c:v>1.2558</c:v>
                </c:pt>
                <c:pt idx="683">
                  <c:v>1.2512000000000001</c:v>
                </c:pt>
                <c:pt idx="684">
                  <c:v>1.2532000000000001</c:v>
                </c:pt>
                <c:pt idx="685">
                  <c:v>1.2536</c:v>
                </c:pt>
                <c:pt idx="686">
                  <c:v>1.2533000000000001</c:v>
                </c:pt>
                <c:pt idx="687">
                  <c:v>1.2621</c:v>
                </c:pt>
                <c:pt idx="688">
                  <c:v>1.2616000000000001</c:v>
                </c:pt>
                <c:pt idx="689">
                  <c:v>1.2548999999999999</c:v>
                </c:pt>
                <c:pt idx="690">
                  <c:v>1.2553000000000001</c:v>
                </c:pt>
                <c:pt idx="691">
                  <c:v>1.2607999999999999</c:v>
                </c:pt>
                <c:pt idx="692">
                  <c:v>1.2686999999999999</c:v>
                </c:pt>
                <c:pt idx="693">
                  <c:v>1.274</c:v>
                </c:pt>
                <c:pt idx="694">
                  <c:v>1.2715000000000001</c:v>
                </c:pt>
                <c:pt idx="695">
                  <c:v>1.2765</c:v>
                </c:pt>
                <c:pt idx="696">
                  <c:v>1.2754000000000001</c:v>
                </c:pt>
                <c:pt idx="697">
                  <c:v>1.2778</c:v>
                </c:pt>
                <c:pt idx="698">
                  <c:v>1.2716000000000001</c:v>
                </c:pt>
                <c:pt idx="699">
                  <c:v>1.2732000000000001</c:v>
                </c:pt>
                <c:pt idx="700">
                  <c:v>1.2783</c:v>
                </c:pt>
                <c:pt idx="701">
                  <c:v>1.2757000000000001</c:v>
                </c:pt>
                <c:pt idx="702">
                  <c:v>1.2837000000000001</c:v>
                </c:pt>
                <c:pt idx="703">
                  <c:v>1.284</c:v>
                </c:pt>
                <c:pt idx="704">
                  <c:v>1.2806</c:v>
                </c:pt>
                <c:pt idx="705">
                  <c:v>1.2809999999999999</c:v>
                </c:pt>
                <c:pt idx="706">
                  <c:v>1.2829999999999999</c:v>
                </c:pt>
                <c:pt idx="707">
                  <c:v>1.2797000000000001</c:v>
                </c:pt>
                <c:pt idx="708">
                  <c:v>1.2827999999999999</c:v>
                </c:pt>
                <c:pt idx="709">
                  <c:v>1.2819</c:v>
                </c:pt>
                <c:pt idx="710">
                  <c:v>1.2847</c:v>
                </c:pt>
                <c:pt idx="711">
                  <c:v>1.2942</c:v>
                </c:pt>
                <c:pt idx="712">
                  <c:v>1.2948</c:v>
                </c:pt>
                <c:pt idx="713">
                  <c:v>1.3092999999999999</c:v>
                </c:pt>
                <c:pt idx="714">
                  <c:v>1.3131999999999999</c:v>
                </c:pt>
                <c:pt idx="715">
                  <c:v>1.3191999999999999</c:v>
                </c:pt>
                <c:pt idx="716">
                  <c:v>1.3151999999999999</c:v>
                </c:pt>
                <c:pt idx="717">
                  <c:v>1.3238000000000001</c:v>
                </c:pt>
                <c:pt idx="718">
                  <c:v>1.3335999999999999</c:v>
                </c:pt>
                <c:pt idx="719">
                  <c:v>1.3340000000000001</c:v>
                </c:pt>
                <c:pt idx="720">
                  <c:v>1.3314999999999999</c:v>
                </c:pt>
                <c:pt idx="721">
                  <c:v>1.3279000000000001</c:v>
                </c:pt>
                <c:pt idx="722">
                  <c:v>1.3283</c:v>
                </c:pt>
                <c:pt idx="723">
                  <c:v>1.3202</c:v>
                </c:pt>
                <c:pt idx="724">
                  <c:v>1.325</c:v>
                </c:pt>
                <c:pt idx="725">
                  <c:v>1.3282</c:v>
                </c:pt>
                <c:pt idx="726">
                  <c:v>1.3207</c:v>
                </c:pt>
                <c:pt idx="727">
                  <c:v>1.3151999999999999</c:v>
                </c:pt>
                <c:pt idx="728">
                  <c:v>1.3079000000000001</c:v>
                </c:pt>
                <c:pt idx="729">
                  <c:v>1.3096000000000001</c:v>
                </c:pt>
                <c:pt idx="730">
                  <c:v>1.3196000000000001</c:v>
                </c:pt>
                <c:pt idx="731">
                  <c:v>1.3174999999999999</c:v>
                </c:pt>
                <c:pt idx="732">
                  <c:v>1.3180000000000001</c:v>
                </c:pt>
                <c:pt idx="733">
                  <c:v>1.3128</c:v>
                </c:pt>
                <c:pt idx="734">
                  <c:v>1.3101</c:v>
                </c:pt>
                <c:pt idx="735">
                  <c:v>1.3125</c:v>
                </c:pt>
                <c:pt idx="736">
                  <c:v>1.3145</c:v>
                </c:pt>
                <c:pt idx="737">
                  <c:v>1.3204</c:v>
                </c:pt>
                <c:pt idx="738">
                  <c:v>1.3189</c:v>
                </c:pt>
                <c:pt idx="739">
                  <c:v>1.3277000000000001</c:v>
                </c:pt>
                <c:pt idx="740">
                  <c:v>1.3163</c:v>
                </c:pt>
                <c:pt idx="741">
                  <c:v>1.3089999999999999</c:v>
                </c:pt>
                <c:pt idx="742">
                  <c:v>1.3001</c:v>
                </c:pt>
                <c:pt idx="743">
                  <c:v>1.3028999999999999</c:v>
                </c:pt>
                <c:pt idx="744">
                  <c:v>1.2991999999999999</c:v>
                </c:pt>
                <c:pt idx="745">
                  <c:v>1.2939000000000001</c:v>
                </c:pt>
                <c:pt idx="746">
                  <c:v>1.2892999999999999</c:v>
                </c:pt>
                <c:pt idx="747">
                  <c:v>1.2922</c:v>
                </c:pt>
                <c:pt idx="748">
                  <c:v>1.2934000000000001</c:v>
                </c:pt>
                <c:pt idx="749">
                  <c:v>1.2916000000000001</c:v>
                </c:pt>
                <c:pt idx="750">
                  <c:v>1.2938000000000001</c:v>
                </c:pt>
                <c:pt idx="751">
                  <c:v>1.2958000000000001</c:v>
                </c:pt>
                <c:pt idx="752">
                  <c:v>1.296</c:v>
                </c:pt>
                <c:pt idx="753">
                  <c:v>1.2941</c:v>
                </c:pt>
                <c:pt idx="754">
                  <c:v>1.3019000000000001</c:v>
                </c:pt>
                <c:pt idx="755">
                  <c:v>1.2962</c:v>
                </c:pt>
                <c:pt idx="756">
                  <c:v>1.2925</c:v>
                </c:pt>
                <c:pt idx="757">
                  <c:v>1.2914000000000001</c:v>
                </c:pt>
                <c:pt idx="758">
                  <c:v>1.2957000000000001</c:v>
                </c:pt>
                <c:pt idx="759">
                  <c:v>1.2964</c:v>
                </c:pt>
                <c:pt idx="760">
                  <c:v>1.3021</c:v>
                </c:pt>
                <c:pt idx="761">
                  <c:v>1.3021</c:v>
                </c:pt>
                <c:pt idx="762">
                  <c:v>1.2959000000000001</c:v>
                </c:pt>
                <c:pt idx="763">
                  <c:v>1.2927999999999999</c:v>
                </c:pt>
                <c:pt idx="764">
                  <c:v>1.2983</c:v>
                </c:pt>
                <c:pt idx="765">
                  <c:v>1.3013999999999999</c:v>
                </c:pt>
                <c:pt idx="766">
                  <c:v>1.3036000000000001</c:v>
                </c:pt>
                <c:pt idx="767">
                  <c:v>1.3006</c:v>
                </c:pt>
                <c:pt idx="768">
                  <c:v>1.296</c:v>
                </c:pt>
                <c:pt idx="769">
                  <c:v>1.3033999999999999</c:v>
                </c:pt>
                <c:pt idx="770">
                  <c:v>1.3130999999999999</c:v>
                </c:pt>
                <c:pt idx="771">
                  <c:v>1.3134999999999999</c:v>
                </c:pt>
                <c:pt idx="772">
                  <c:v>1.3136000000000001</c:v>
                </c:pt>
                <c:pt idx="773">
                  <c:v>1.3149</c:v>
                </c:pt>
                <c:pt idx="774">
                  <c:v>1.3134999999999999</c:v>
                </c:pt>
                <c:pt idx="775">
                  <c:v>1.3141</c:v>
                </c:pt>
                <c:pt idx="776">
                  <c:v>1.3125</c:v>
                </c:pt>
                <c:pt idx="777">
                  <c:v>1.3167</c:v>
                </c:pt>
                <c:pt idx="778">
                  <c:v>1.3188</c:v>
                </c:pt>
                <c:pt idx="779">
                  <c:v>1.3238000000000001</c:v>
                </c:pt>
                <c:pt idx="780">
                  <c:v>1.3223</c:v>
                </c:pt>
                <c:pt idx="781">
                  <c:v>1.3172999999999999</c:v>
                </c:pt>
                <c:pt idx="782">
                  <c:v>1.319</c:v>
                </c:pt>
                <c:pt idx="783">
                  <c:v>1.3080000000000001</c:v>
                </c:pt>
                <c:pt idx="784">
                  <c:v>1.3127</c:v>
                </c:pt>
                <c:pt idx="785">
                  <c:v>1.3179000000000001</c:v>
                </c:pt>
                <c:pt idx="786">
                  <c:v>1.3133999999999999</c:v>
                </c:pt>
                <c:pt idx="787">
                  <c:v>1.3116000000000001</c:v>
                </c:pt>
                <c:pt idx="788">
                  <c:v>1.3189</c:v>
                </c:pt>
                <c:pt idx="789">
                  <c:v>1.3190999999999999</c:v>
                </c:pt>
                <c:pt idx="790">
                  <c:v>1.3214999999999999</c:v>
                </c:pt>
                <c:pt idx="791">
                  <c:v>1.3239000000000001</c:v>
                </c:pt>
                <c:pt idx="792">
                  <c:v>1.3315999999999999</c:v>
                </c:pt>
                <c:pt idx="793">
                  <c:v>1.3306</c:v>
                </c:pt>
                <c:pt idx="794">
                  <c:v>1.3317000000000001</c:v>
                </c:pt>
                <c:pt idx="795">
                  <c:v>1.3388</c:v>
                </c:pt>
                <c:pt idx="796">
                  <c:v>1.3325</c:v>
                </c:pt>
                <c:pt idx="797">
                  <c:v>1.3282</c:v>
                </c:pt>
                <c:pt idx="798">
                  <c:v>1.333</c:v>
                </c:pt>
                <c:pt idx="799">
                  <c:v>1.3358000000000001</c:v>
                </c:pt>
                <c:pt idx="800">
                  <c:v>1.3312999999999999</c:v>
                </c:pt>
                <c:pt idx="801">
                  <c:v>1.3331</c:v>
                </c:pt>
                <c:pt idx="802">
                  <c:v>1.3353999999999999</c:v>
                </c:pt>
                <c:pt idx="803">
                  <c:v>1.3366</c:v>
                </c:pt>
                <c:pt idx="804">
                  <c:v>1.3328</c:v>
                </c:pt>
                <c:pt idx="805">
                  <c:v>1.3369</c:v>
                </c:pt>
                <c:pt idx="806">
                  <c:v>1.3429</c:v>
                </c:pt>
                <c:pt idx="807">
                  <c:v>1.3378000000000001</c:v>
                </c:pt>
                <c:pt idx="808">
                  <c:v>1.3355999999999999</c:v>
                </c:pt>
                <c:pt idx="809">
                  <c:v>1.3431999999999999</c:v>
                </c:pt>
                <c:pt idx="810">
                  <c:v>1.3433999999999999</c:v>
                </c:pt>
                <c:pt idx="811">
                  <c:v>1.3486</c:v>
                </c:pt>
                <c:pt idx="812">
                  <c:v>1.3527</c:v>
                </c:pt>
                <c:pt idx="813">
                  <c:v>1.3529</c:v>
                </c:pt>
                <c:pt idx="814">
                  <c:v>1.3573999999999999</c:v>
                </c:pt>
                <c:pt idx="815">
                  <c:v>1.3611</c:v>
                </c:pt>
                <c:pt idx="816">
                  <c:v>1.3617999999999999</c:v>
                </c:pt>
                <c:pt idx="817">
                  <c:v>1.359</c:v>
                </c:pt>
                <c:pt idx="818">
                  <c:v>1.3576999999999999</c:v>
                </c:pt>
                <c:pt idx="819">
                  <c:v>1.3636999999999999</c:v>
                </c:pt>
                <c:pt idx="820">
                  <c:v>1.3643000000000001</c:v>
                </c:pt>
                <c:pt idx="821">
                  <c:v>1.3591</c:v>
                </c:pt>
                <c:pt idx="822">
                  <c:v>1.3651</c:v>
                </c:pt>
                <c:pt idx="823">
                  <c:v>1.3642000000000001</c:v>
                </c:pt>
                <c:pt idx="824">
                  <c:v>1.3605</c:v>
                </c:pt>
                <c:pt idx="825">
                  <c:v>1.3582000000000001</c:v>
                </c:pt>
                <c:pt idx="826">
                  <c:v>1.3551</c:v>
                </c:pt>
                <c:pt idx="827">
                  <c:v>1.3591</c:v>
                </c:pt>
                <c:pt idx="828">
                  <c:v>1.3596999999999999</c:v>
                </c:pt>
                <c:pt idx="829">
                  <c:v>1.3543000000000001</c:v>
                </c:pt>
                <c:pt idx="830">
                  <c:v>1.3526</c:v>
                </c:pt>
                <c:pt idx="831">
                  <c:v>1.3475999999999999</c:v>
                </c:pt>
                <c:pt idx="832">
                  <c:v>1.3524</c:v>
                </c:pt>
                <c:pt idx="833">
                  <c:v>1.3541000000000001</c:v>
                </c:pt>
                <c:pt idx="834">
                  <c:v>1.3593</c:v>
                </c:pt>
                <c:pt idx="835">
                  <c:v>1.3513999999999999</c:v>
                </c:pt>
                <c:pt idx="836">
                  <c:v>1.3498000000000001</c:v>
                </c:pt>
                <c:pt idx="837">
                  <c:v>1.3507</c:v>
                </c:pt>
                <c:pt idx="838">
                  <c:v>1.3463000000000001</c:v>
                </c:pt>
                <c:pt idx="839">
                  <c:v>1.3451</c:v>
                </c:pt>
                <c:pt idx="840">
                  <c:v>1.3454999999999999</c:v>
                </c:pt>
                <c:pt idx="841">
                  <c:v>1.3431</c:v>
                </c:pt>
                <c:pt idx="842">
                  <c:v>1.3442000000000001</c:v>
                </c:pt>
                <c:pt idx="843">
                  <c:v>1.3447</c:v>
                </c:pt>
                <c:pt idx="844">
                  <c:v>1.3446</c:v>
                </c:pt>
                <c:pt idx="845">
                  <c:v>1.3429</c:v>
                </c:pt>
                <c:pt idx="846">
                  <c:v>1.3451</c:v>
                </c:pt>
                <c:pt idx="847">
                  <c:v>1.3448</c:v>
                </c:pt>
                <c:pt idx="848">
                  <c:v>1.3492999999999999</c:v>
                </c:pt>
                <c:pt idx="849">
                  <c:v>1.3516999999999999</c:v>
                </c:pt>
                <c:pt idx="850">
                  <c:v>1.3498000000000001</c:v>
                </c:pt>
                <c:pt idx="851">
                  <c:v>1.3426</c:v>
                </c:pt>
                <c:pt idx="852">
                  <c:v>1.3371999999999999</c:v>
                </c:pt>
                <c:pt idx="853">
                  <c:v>1.3357000000000001</c:v>
                </c:pt>
                <c:pt idx="854">
                  <c:v>1.3302</c:v>
                </c:pt>
                <c:pt idx="855">
                  <c:v>1.3309</c:v>
                </c:pt>
                <c:pt idx="856">
                  <c:v>1.3308</c:v>
                </c:pt>
                <c:pt idx="857">
                  <c:v>1.3388</c:v>
                </c:pt>
                <c:pt idx="858">
                  <c:v>1.3413999999999999</c:v>
                </c:pt>
                <c:pt idx="859">
                  <c:v>1.3423</c:v>
                </c:pt>
                <c:pt idx="860">
                  <c:v>1.34</c:v>
                </c:pt>
                <c:pt idx="861">
                  <c:v>1.3386</c:v>
                </c:pt>
                <c:pt idx="862">
                  <c:v>1.3469</c:v>
                </c:pt>
                <c:pt idx="863">
                  <c:v>1.3462000000000001</c:v>
                </c:pt>
                <c:pt idx="864">
                  <c:v>1.3458000000000001</c:v>
                </c:pt>
                <c:pt idx="865">
                  <c:v>1.3452</c:v>
                </c:pt>
                <c:pt idx="866">
                  <c:v>1.3446</c:v>
                </c:pt>
                <c:pt idx="867">
                  <c:v>1.3540000000000001</c:v>
                </c:pt>
                <c:pt idx="868">
                  <c:v>1.3631</c:v>
                </c:pt>
                <c:pt idx="869">
                  <c:v>1.3608</c:v>
                </c:pt>
                <c:pt idx="870">
                  <c:v>1.3613999999999999</c:v>
                </c:pt>
                <c:pt idx="871">
                  <c:v>1.3593</c:v>
                </c:pt>
                <c:pt idx="872">
                  <c:v>1.3625</c:v>
                </c:pt>
                <c:pt idx="873">
                  <c:v>1.3628</c:v>
                </c:pt>
                <c:pt idx="874">
                  <c:v>1.3768</c:v>
                </c:pt>
                <c:pt idx="875">
                  <c:v>1.3744000000000001</c:v>
                </c:pt>
                <c:pt idx="876">
                  <c:v>1.3787</c:v>
                </c:pt>
                <c:pt idx="877">
                  <c:v>1.3782000000000001</c:v>
                </c:pt>
                <c:pt idx="878">
                  <c:v>1.3772</c:v>
                </c:pt>
                <c:pt idx="879">
                  <c:v>1.3782000000000001</c:v>
                </c:pt>
                <c:pt idx="880">
                  <c:v>1.3805000000000001</c:v>
                </c:pt>
                <c:pt idx="881">
                  <c:v>1.3796999999999999</c:v>
                </c:pt>
                <c:pt idx="882">
                  <c:v>1.3826000000000001</c:v>
                </c:pt>
                <c:pt idx="883">
                  <c:v>1.3806</c:v>
                </c:pt>
                <c:pt idx="884">
                  <c:v>1.3827</c:v>
                </c:pt>
                <c:pt idx="885">
                  <c:v>1.3724000000000001</c:v>
                </c:pt>
                <c:pt idx="886">
                  <c:v>1.3740000000000001</c:v>
                </c:pt>
                <c:pt idx="887">
                  <c:v>1.3634999999999999</c:v>
                </c:pt>
                <c:pt idx="888">
                  <c:v>1.3696999999999999</c:v>
                </c:pt>
                <c:pt idx="889">
                  <c:v>1.3676999999999999</c:v>
                </c:pt>
                <c:pt idx="890">
                  <c:v>1.3675999999999999</c:v>
                </c:pt>
                <c:pt idx="891">
                  <c:v>1.37</c:v>
                </c:pt>
                <c:pt idx="892">
                  <c:v>1.3773</c:v>
                </c:pt>
                <c:pt idx="893">
                  <c:v>1.3794</c:v>
                </c:pt>
                <c:pt idx="894">
                  <c:v>1.3743000000000001</c:v>
                </c:pt>
                <c:pt idx="895">
                  <c:v>1.3794</c:v>
                </c:pt>
                <c:pt idx="896">
                  <c:v>1.3676999999999999</c:v>
                </c:pt>
                <c:pt idx="897">
                  <c:v>1.3693</c:v>
                </c:pt>
                <c:pt idx="898">
                  <c:v>1.3607</c:v>
                </c:pt>
                <c:pt idx="899">
                  <c:v>1.3534999999999999</c:v>
                </c:pt>
                <c:pt idx="900">
                  <c:v>1.3423</c:v>
                </c:pt>
                <c:pt idx="901">
                  <c:v>1.3427</c:v>
                </c:pt>
                <c:pt idx="902">
                  <c:v>1.3473999999999999</c:v>
                </c:pt>
                <c:pt idx="903">
                  <c:v>1.3474999999999999</c:v>
                </c:pt>
                <c:pt idx="904">
                  <c:v>1.3462000000000001</c:v>
                </c:pt>
                <c:pt idx="905">
                  <c:v>1.3549</c:v>
                </c:pt>
                <c:pt idx="906">
                  <c:v>1.3567</c:v>
                </c:pt>
                <c:pt idx="907">
                  <c:v>1.3674999999999999</c:v>
                </c:pt>
                <c:pt idx="908">
                  <c:v>1.3638999999999999</c:v>
                </c:pt>
                <c:pt idx="909">
                  <c:v>1.36</c:v>
                </c:pt>
                <c:pt idx="910">
                  <c:v>1.3673999999999999</c:v>
                </c:pt>
                <c:pt idx="911">
                  <c:v>1.3631</c:v>
                </c:pt>
                <c:pt idx="912">
                  <c:v>1.3628</c:v>
                </c:pt>
                <c:pt idx="913">
                  <c:v>1.3622000000000001</c:v>
                </c:pt>
                <c:pt idx="914">
                  <c:v>1.3608</c:v>
                </c:pt>
                <c:pt idx="915">
                  <c:v>1.3649</c:v>
                </c:pt>
                <c:pt idx="916">
                  <c:v>1.3689</c:v>
                </c:pt>
                <c:pt idx="917">
                  <c:v>1.3767</c:v>
                </c:pt>
                <c:pt idx="918">
                  <c:v>1.3805000000000001</c:v>
                </c:pt>
                <c:pt idx="919">
                  <c:v>1.3837999999999999</c:v>
                </c:pt>
                <c:pt idx="920">
                  <c:v>1.3905000000000001</c:v>
                </c:pt>
                <c:pt idx="921">
                  <c:v>1.3865000000000001</c:v>
                </c:pt>
                <c:pt idx="922">
                  <c:v>1.3874</c:v>
                </c:pt>
                <c:pt idx="923">
                  <c:v>1.3857999999999999</c:v>
                </c:pt>
                <c:pt idx="924">
                  <c:v>1.3982000000000001</c:v>
                </c:pt>
                <c:pt idx="925">
                  <c:v>1.3966000000000001</c:v>
                </c:pt>
                <c:pt idx="926">
                  <c:v>1.4068000000000001</c:v>
                </c:pt>
                <c:pt idx="927">
                  <c:v>1.409</c:v>
                </c:pt>
                <c:pt idx="928">
                  <c:v>1.4077999999999999</c:v>
                </c:pt>
                <c:pt idx="929">
                  <c:v>1.4147000000000001</c:v>
                </c:pt>
                <c:pt idx="930">
                  <c:v>1.4131</c:v>
                </c:pt>
                <c:pt idx="931">
                  <c:v>1.4146000000000001</c:v>
                </c:pt>
                <c:pt idx="932">
                  <c:v>1.4266000000000001</c:v>
                </c:pt>
                <c:pt idx="933">
                  <c:v>1.4232</c:v>
                </c:pt>
                <c:pt idx="934">
                  <c:v>1.4148000000000001</c:v>
                </c:pt>
                <c:pt idx="935">
                  <c:v>1.409</c:v>
                </c:pt>
                <c:pt idx="936">
                  <c:v>1.4135</c:v>
                </c:pt>
                <c:pt idx="937">
                  <c:v>1.4134</c:v>
                </c:pt>
                <c:pt idx="938">
                  <c:v>1.4054</c:v>
                </c:pt>
                <c:pt idx="939">
                  <c:v>1.4104000000000001</c:v>
                </c:pt>
                <c:pt idx="940">
                  <c:v>1.4139999999999999</c:v>
                </c:pt>
                <c:pt idx="941">
                  <c:v>1.4198999999999999</c:v>
                </c:pt>
                <c:pt idx="942">
                  <c:v>1.4177</c:v>
                </c:pt>
                <c:pt idx="943">
                  <c:v>1.4212</c:v>
                </c:pt>
                <c:pt idx="944">
                  <c:v>1.4172</c:v>
                </c:pt>
                <c:pt idx="945">
                  <c:v>1.4215</c:v>
                </c:pt>
                <c:pt idx="946">
                  <c:v>1.4285000000000001</c:v>
                </c:pt>
                <c:pt idx="947">
                  <c:v>1.43</c:v>
                </c:pt>
                <c:pt idx="948">
                  <c:v>1.4174</c:v>
                </c:pt>
                <c:pt idx="949">
                  <c:v>1.4263999999999999</c:v>
                </c:pt>
                <c:pt idx="950">
                  <c:v>1.4260999999999999</c:v>
                </c:pt>
                <c:pt idx="951">
                  <c:v>1.4330000000000001</c:v>
                </c:pt>
                <c:pt idx="952">
                  <c:v>1.4392</c:v>
                </c:pt>
                <c:pt idx="953">
                  <c:v>1.4419</c:v>
                </c:pt>
                <c:pt idx="954">
                  <c:v>1.4437</c:v>
                </c:pt>
                <c:pt idx="955">
                  <c:v>1.4471000000000001</c:v>
                </c:pt>
                <c:pt idx="956">
                  <c:v>1.4424999999999999</c:v>
                </c:pt>
                <c:pt idx="957">
                  <c:v>1.4503999999999999</c:v>
                </c:pt>
                <c:pt idx="958">
                  <c:v>1.4474</c:v>
                </c:pt>
                <c:pt idx="959">
                  <c:v>1.4563999999999999</c:v>
                </c:pt>
                <c:pt idx="960">
                  <c:v>1.4628000000000001</c:v>
                </c:pt>
                <c:pt idx="961">
                  <c:v>1.4673</c:v>
                </c:pt>
                <c:pt idx="962">
                  <c:v>1.4679</c:v>
                </c:pt>
                <c:pt idx="963">
                  <c:v>1.4530000000000001</c:v>
                </c:pt>
                <c:pt idx="964">
                  <c:v>1.4616</c:v>
                </c:pt>
                <c:pt idx="965">
                  <c:v>1.4649000000000001</c:v>
                </c:pt>
                <c:pt idx="966">
                  <c:v>1.4614</c:v>
                </c:pt>
                <c:pt idx="967">
                  <c:v>1.4661</c:v>
                </c:pt>
                <c:pt idx="968">
                  <c:v>1.4666999999999999</c:v>
                </c:pt>
                <c:pt idx="969">
                  <c:v>1.4837</c:v>
                </c:pt>
                <c:pt idx="970">
                  <c:v>1.4846999999999999</c:v>
                </c:pt>
                <c:pt idx="971">
                  <c:v>1.4845999999999999</c:v>
                </c:pt>
                <c:pt idx="972">
                  <c:v>1.4836</c:v>
                </c:pt>
                <c:pt idx="973">
                  <c:v>1.4863999999999999</c:v>
                </c:pt>
                <c:pt idx="974">
                  <c:v>1.4827999999999999</c:v>
                </c:pt>
                <c:pt idx="975">
                  <c:v>1.4831000000000001</c:v>
                </c:pt>
                <c:pt idx="976">
                  <c:v>1.4746999999999999</c:v>
                </c:pt>
                <c:pt idx="977">
                  <c:v>1.4638</c:v>
                </c:pt>
                <c:pt idx="978">
                  <c:v>1.4666999999999999</c:v>
                </c:pt>
                <c:pt idx="979">
                  <c:v>1.4764999999999999</c:v>
                </c:pt>
                <c:pt idx="980">
                  <c:v>1.4616</c:v>
                </c:pt>
                <c:pt idx="981">
                  <c:v>1.4639</c:v>
                </c:pt>
                <c:pt idx="982">
                  <c:v>1.4657</c:v>
                </c:pt>
                <c:pt idx="983">
                  <c:v>1.4721</c:v>
                </c:pt>
                <c:pt idx="984">
                  <c:v>1.4656</c:v>
                </c:pt>
                <c:pt idx="985">
                  <c:v>1.4711000000000001</c:v>
                </c:pt>
                <c:pt idx="986">
                  <c:v>1.4617</c:v>
                </c:pt>
                <c:pt idx="987">
                  <c:v>1.4429000000000001</c:v>
                </c:pt>
                <c:pt idx="988">
                  <c:v>1.4412</c:v>
                </c:pt>
                <c:pt idx="989">
                  <c:v>1.4408000000000001</c:v>
                </c:pt>
                <c:pt idx="990">
                  <c:v>1.4371</c:v>
                </c:pt>
                <c:pt idx="991">
                  <c:v>1.4319999999999999</c:v>
                </c:pt>
                <c:pt idx="992">
                  <c:v>1.4380999999999999</c:v>
                </c:pt>
                <c:pt idx="993">
                  <c:v>1.4406000000000001</c:v>
                </c:pt>
                <c:pt idx="994">
                  <c:v>1.4481999999999999</c:v>
                </c:pt>
                <c:pt idx="995">
                  <c:v>1.4609000000000001</c:v>
                </c:pt>
                <c:pt idx="996">
                  <c:v>1.4721</c:v>
                </c:pt>
                <c:pt idx="997">
                  <c:v>1.4595</c:v>
                </c:pt>
                <c:pt idx="998">
                  <c:v>1.4721</c:v>
                </c:pt>
                <c:pt idx="999">
                  <c:v>1.4742</c:v>
                </c:pt>
                <c:pt idx="1000">
                  <c:v>1.474</c:v>
                </c:pt>
                <c:pt idx="1001">
                  <c:v>1.4684999999999999</c:v>
                </c:pt>
                <c:pt idx="1002">
                  <c:v>1.4709000000000001</c:v>
                </c:pt>
                <c:pt idx="1003">
                  <c:v>1.4658</c:v>
                </c:pt>
                <c:pt idx="1004">
                  <c:v>1.4805999999999999</c:v>
                </c:pt>
                <c:pt idx="1005">
                  <c:v>1.4776</c:v>
                </c:pt>
                <c:pt idx="1006">
                  <c:v>1.4863999999999999</c:v>
                </c:pt>
                <c:pt idx="1007">
                  <c:v>1.4776</c:v>
                </c:pt>
                <c:pt idx="1008">
                  <c:v>1.4652000000000001</c:v>
                </c:pt>
                <c:pt idx="1009">
                  <c:v>1.4641999999999999</c:v>
                </c:pt>
                <c:pt idx="1010">
                  <c:v>1.462</c:v>
                </c:pt>
                <c:pt idx="1011">
                  <c:v>1.4429000000000001</c:v>
                </c:pt>
                <c:pt idx="1012">
                  <c:v>1.4669000000000001</c:v>
                </c:pt>
                <c:pt idx="1013">
                  <c:v>1.4631000000000001</c:v>
                </c:pt>
                <c:pt idx="1014">
                  <c:v>1.4756</c:v>
                </c:pt>
                <c:pt idx="1015">
                  <c:v>1.4681</c:v>
                </c:pt>
                <c:pt idx="1016">
                  <c:v>1.4787999999999999</c:v>
                </c:pt>
                <c:pt idx="1017">
                  <c:v>1.4766999999999999</c:v>
                </c:pt>
                <c:pt idx="1018">
                  <c:v>1.4853000000000001</c:v>
                </c:pt>
                <c:pt idx="1019">
                  <c:v>1.4846999999999999</c:v>
                </c:pt>
                <c:pt idx="1020">
                  <c:v>1.4801</c:v>
                </c:pt>
                <c:pt idx="1021">
                  <c:v>1.4827999999999999</c:v>
                </c:pt>
                <c:pt idx="1022">
                  <c:v>1.4646999999999999</c:v>
                </c:pt>
                <c:pt idx="1023">
                  <c:v>1.4621</c:v>
                </c:pt>
                <c:pt idx="1024">
                  <c:v>1.4492</c:v>
                </c:pt>
                <c:pt idx="1025">
                  <c:v>1.4503999999999999</c:v>
                </c:pt>
                <c:pt idx="1026">
                  <c:v>1.4517</c:v>
                </c:pt>
                <c:pt idx="1027">
                  <c:v>1.4574</c:v>
                </c:pt>
                <c:pt idx="1028">
                  <c:v>1.4571000000000001</c:v>
                </c:pt>
                <c:pt idx="1029">
                  <c:v>1.4639</c:v>
                </c:pt>
                <c:pt idx="1030">
                  <c:v>1.4681</c:v>
                </c:pt>
                <c:pt idx="1031">
                  <c:v>1.4652000000000001</c:v>
                </c:pt>
                <c:pt idx="1032">
                  <c:v>1.4726999999999999</c:v>
                </c:pt>
                <c:pt idx="1033">
                  <c:v>1.4712000000000001</c:v>
                </c:pt>
                <c:pt idx="1034">
                  <c:v>1.482</c:v>
                </c:pt>
                <c:pt idx="1035">
                  <c:v>1.4827999999999999</c:v>
                </c:pt>
                <c:pt idx="1036">
                  <c:v>1.4827999999999999</c:v>
                </c:pt>
                <c:pt idx="1037">
                  <c:v>1.5009999999999999</c:v>
                </c:pt>
                <c:pt idx="1038">
                  <c:v>1.5117</c:v>
                </c:pt>
                <c:pt idx="1039">
                  <c:v>1.5188999999999999</c:v>
                </c:pt>
                <c:pt idx="1040">
                  <c:v>1.5178</c:v>
                </c:pt>
                <c:pt idx="1041">
                  <c:v>1.5196000000000001</c:v>
                </c:pt>
                <c:pt idx="1042">
                  <c:v>1.5201</c:v>
                </c:pt>
                <c:pt idx="1043">
                  <c:v>1.5274000000000001</c:v>
                </c:pt>
                <c:pt idx="1044">
                  <c:v>1.5388999999999999</c:v>
                </c:pt>
                <c:pt idx="1045">
                  <c:v>1.5354000000000001</c:v>
                </c:pt>
                <c:pt idx="1046">
                  <c:v>1.5366</c:v>
                </c:pt>
                <c:pt idx="1047">
                  <c:v>1.5342</c:v>
                </c:pt>
                <c:pt idx="1048">
                  <c:v>1.5528999999999999</c:v>
                </c:pt>
                <c:pt idx="1049">
                  <c:v>1.5612999999999999</c:v>
                </c:pt>
                <c:pt idx="1050">
                  <c:v>1.5672999999999999</c:v>
                </c:pt>
                <c:pt idx="1051">
                  <c:v>1.5716000000000001</c:v>
                </c:pt>
                <c:pt idx="1052">
                  <c:v>1.5638000000000001</c:v>
                </c:pt>
                <c:pt idx="1053">
                  <c:v>1.5641</c:v>
                </c:pt>
                <c:pt idx="1054">
                  <c:v>1.5445</c:v>
                </c:pt>
                <c:pt idx="1055">
                  <c:v>1.5431999999999999</c:v>
                </c:pt>
                <c:pt idx="1056">
                  <c:v>1.5409999999999999</c:v>
                </c:pt>
                <c:pt idx="1057">
                  <c:v>1.5629999999999999</c:v>
                </c:pt>
                <c:pt idx="1058">
                  <c:v>1.5831999999999999</c:v>
                </c:pt>
                <c:pt idx="1059">
                  <c:v>1.5811999999999999</c:v>
                </c:pt>
                <c:pt idx="1060">
                  <c:v>1.5793999999999999</c:v>
                </c:pt>
                <c:pt idx="1061">
                  <c:v>1.5761000000000001</c:v>
                </c:pt>
                <c:pt idx="1062">
                  <c:v>1.5622</c:v>
                </c:pt>
                <c:pt idx="1063">
                  <c:v>1.5688</c:v>
                </c:pt>
                <c:pt idx="1064">
                  <c:v>1.5682</c:v>
                </c:pt>
                <c:pt idx="1065">
                  <c:v>1.5737000000000001</c:v>
                </c:pt>
                <c:pt idx="1066">
                  <c:v>1.5704</c:v>
                </c:pt>
                <c:pt idx="1067">
                  <c:v>1.5703</c:v>
                </c:pt>
                <c:pt idx="1068">
                  <c:v>1.5835999999999999</c:v>
                </c:pt>
                <c:pt idx="1069">
                  <c:v>1.5743</c:v>
                </c:pt>
                <c:pt idx="1070">
                  <c:v>1.5807</c:v>
                </c:pt>
                <c:pt idx="1071">
                  <c:v>1.5834999999999999</c:v>
                </c:pt>
                <c:pt idx="1072">
                  <c:v>1.5786</c:v>
                </c:pt>
                <c:pt idx="1073">
                  <c:v>1.5942000000000001</c:v>
                </c:pt>
                <c:pt idx="1074">
                  <c:v>1.5891999999999999</c:v>
                </c:pt>
                <c:pt idx="1075">
                  <c:v>1.5815999999999999</c:v>
                </c:pt>
                <c:pt idx="1076">
                  <c:v>1.5907</c:v>
                </c:pt>
                <c:pt idx="1077">
                  <c:v>1.5996999999999999</c:v>
                </c:pt>
                <c:pt idx="1078">
                  <c:v>1.5883</c:v>
                </c:pt>
                <c:pt idx="1079">
                  <c:v>1.5680000000000001</c:v>
                </c:pt>
                <c:pt idx="1080">
                  <c:v>1.5629</c:v>
                </c:pt>
                <c:pt idx="1081">
                  <c:v>1.5652999999999999</c:v>
                </c:pt>
                <c:pt idx="1082">
                  <c:v>1.5565</c:v>
                </c:pt>
                <c:pt idx="1083">
                  <c:v>1.5619000000000001</c:v>
                </c:pt>
                <c:pt idx="1084">
                  <c:v>1.5467</c:v>
                </c:pt>
                <c:pt idx="1085">
                  <c:v>1.5423</c:v>
                </c:pt>
                <c:pt idx="1086">
                  <c:v>1.5498000000000001</c:v>
                </c:pt>
                <c:pt idx="1087">
                  <c:v>1.5530999999999999</c:v>
                </c:pt>
                <c:pt idx="1088">
                  <c:v>1.5396000000000001</c:v>
                </c:pt>
                <c:pt idx="1089">
                  <c:v>1.5403</c:v>
                </c:pt>
                <c:pt idx="1090">
                  <c:v>1.548</c:v>
                </c:pt>
                <c:pt idx="1091">
                  <c:v>1.5539000000000001</c:v>
                </c:pt>
                <c:pt idx="1092">
                  <c:v>1.5468</c:v>
                </c:pt>
                <c:pt idx="1093">
                  <c:v>1.5477000000000001</c:v>
                </c:pt>
                <c:pt idx="1094">
                  <c:v>1.5442</c:v>
                </c:pt>
                <c:pt idx="1095">
                  <c:v>1.5576000000000001</c:v>
                </c:pt>
                <c:pt idx="1096">
                  <c:v>1.5518000000000001</c:v>
                </c:pt>
                <c:pt idx="1097">
                  <c:v>1.5652999999999999</c:v>
                </c:pt>
                <c:pt idx="1098">
                  <c:v>1.5793999999999999</c:v>
                </c:pt>
                <c:pt idx="1099">
                  <c:v>1.5723</c:v>
                </c:pt>
                <c:pt idx="1100">
                  <c:v>1.5761000000000001</c:v>
                </c:pt>
                <c:pt idx="1101">
                  <c:v>1.5772999999999999</c:v>
                </c:pt>
                <c:pt idx="1102">
                  <c:v>1.5678000000000001</c:v>
                </c:pt>
                <c:pt idx="1103">
                  <c:v>1.5646</c:v>
                </c:pt>
                <c:pt idx="1104">
                  <c:v>1.5510999999999999</c:v>
                </c:pt>
                <c:pt idx="1105">
                  <c:v>1.5553999999999999</c:v>
                </c:pt>
                <c:pt idx="1106">
                  <c:v>1.5539000000000001</c:v>
                </c:pt>
                <c:pt idx="1107">
                  <c:v>1.5431999999999999</c:v>
                </c:pt>
                <c:pt idx="1108">
                  <c:v>1.5425</c:v>
                </c:pt>
                <c:pt idx="1109">
                  <c:v>1.5581</c:v>
                </c:pt>
                <c:pt idx="1110">
                  <c:v>1.5777000000000001</c:v>
                </c:pt>
                <c:pt idx="1111">
                  <c:v>1.5641</c:v>
                </c:pt>
                <c:pt idx="1112">
                  <c:v>1.5455000000000001</c:v>
                </c:pt>
                <c:pt idx="1113">
                  <c:v>1.5556000000000001</c:v>
                </c:pt>
                <c:pt idx="1114">
                  <c:v>1.5449999999999999</c:v>
                </c:pt>
                <c:pt idx="1115">
                  <c:v>1.5379</c:v>
                </c:pt>
                <c:pt idx="1116">
                  <c:v>1.5467</c:v>
                </c:pt>
                <c:pt idx="1117">
                  <c:v>1.5505</c:v>
                </c:pt>
                <c:pt idx="1118">
                  <c:v>1.5527</c:v>
                </c:pt>
                <c:pt idx="1119">
                  <c:v>1.5501</c:v>
                </c:pt>
                <c:pt idx="1120">
                  <c:v>1.5606</c:v>
                </c:pt>
                <c:pt idx="1121">
                  <c:v>1.5515000000000001</c:v>
                </c:pt>
                <c:pt idx="1122">
                  <c:v>1.5569</c:v>
                </c:pt>
                <c:pt idx="1123">
                  <c:v>1.5665</c:v>
                </c:pt>
                <c:pt idx="1124">
                  <c:v>1.5749</c:v>
                </c:pt>
                <c:pt idx="1125">
                  <c:v>1.5790999999999999</c:v>
                </c:pt>
                <c:pt idx="1126">
                  <c:v>1.5752999999999999</c:v>
                </c:pt>
                <c:pt idx="1127">
                  <c:v>1.5793999999999999</c:v>
                </c:pt>
                <c:pt idx="1128">
                  <c:v>1.5889</c:v>
                </c:pt>
                <c:pt idx="1129">
                  <c:v>1.5696000000000001</c:v>
                </c:pt>
                <c:pt idx="1130">
                  <c:v>1.5706</c:v>
                </c:pt>
                <c:pt idx="1131">
                  <c:v>1.5722</c:v>
                </c:pt>
                <c:pt idx="1132">
                  <c:v>1.5665</c:v>
                </c:pt>
                <c:pt idx="1133">
                  <c:v>1.5738000000000001</c:v>
                </c:pt>
                <c:pt idx="1134">
                  <c:v>1.5784</c:v>
                </c:pt>
                <c:pt idx="1135">
                  <c:v>1.5938000000000001</c:v>
                </c:pt>
                <c:pt idx="1136">
                  <c:v>1.5903</c:v>
                </c:pt>
                <c:pt idx="1137">
                  <c:v>1.5911999999999999</c:v>
                </c:pt>
                <c:pt idx="1138">
                  <c:v>1.5819000000000001</c:v>
                </c:pt>
                <c:pt idx="1139">
                  <c:v>1.5858000000000001</c:v>
                </c:pt>
                <c:pt idx="1140">
                  <c:v>1.5847</c:v>
                </c:pt>
                <c:pt idx="1141">
                  <c:v>1.5925</c:v>
                </c:pt>
                <c:pt idx="1142">
                  <c:v>1.5787</c:v>
                </c:pt>
                <c:pt idx="1143">
                  <c:v>1.5684</c:v>
                </c:pt>
                <c:pt idx="1144">
                  <c:v>1.5679000000000001</c:v>
                </c:pt>
                <c:pt idx="1145">
                  <c:v>1.5709</c:v>
                </c:pt>
                <c:pt idx="1146">
                  <c:v>1.5737000000000001</c:v>
                </c:pt>
                <c:pt idx="1147">
                  <c:v>1.5583</c:v>
                </c:pt>
                <c:pt idx="1148">
                  <c:v>1.5577000000000001</c:v>
                </c:pt>
                <c:pt idx="1149">
                  <c:v>1.5597000000000001</c:v>
                </c:pt>
                <c:pt idx="1150">
                  <c:v>1.5564</c:v>
                </c:pt>
                <c:pt idx="1151">
                  <c:v>1.5570999999999999</c:v>
                </c:pt>
                <c:pt idx="1152">
                  <c:v>1.5448999999999999</c:v>
                </c:pt>
                <c:pt idx="1153">
                  <c:v>1.5414000000000001</c:v>
                </c:pt>
                <c:pt idx="1154">
                  <c:v>1.5323</c:v>
                </c:pt>
                <c:pt idx="1155">
                  <c:v>1.5004999999999999</c:v>
                </c:pt>
                <c:pt idx="1156">
                  <c:v>1.4892000000000001</c:v>
                </c:pt>
                <c:pt idx="1157">
                  <c:v>1.4912000000000001</c:v>
                </c:pt>
                <c:pt idx="1158">
                  <c:v>1.4921</c:v>
                </c:pt>
                <c:pt idx="1159">
                  <c:v>1.4802</c:v>
                </c:pt>
                <c:pt idx="1160">
                  <c:v>1.4689000000000001</c:v>
                </c:pt>
                <c:pt idx="1161">
                  <c:v>1.4678</c:v>
                </c:pt>
                <c:pt idx="1162">
                  <c:v>1.4781</c:v>
                </c:pt>
                <c:pt idx="1163">
                  <c:v>1.4742999999999999</c:v>
                </c:pt>
                <c:pt idx="1164">
                  <c:v>1.4896</c:v>
                </c:pt>
                <c:pt idx="1165">
                  <c:v>1.4793000000000001</c:v>
                </c:pt>
                <c:pt idx="1166">
                  <c:v>1.4753000000000001</c:v>
                </c:pt>
                <c:pt idx="1167">
                  <c:v>1.4642999999999999</c:v>
                </c:pt>
                <c:pt idx="1168">
                  <c:v>1.4715</c:v>
                </c:pt>
                <c:pt idx="1169">
                  <c:v>1.4693000000000001</c:v>
                </c:pt>
                <c:pt idx="1170">
                  <c:v>1.4678</c:v>
                </c:pt>
                <c:pt idx="1171">
                  <c:v>1.4585999999999999</c:v>
                </c:pt>
                <c:pt idx="1172">
                  <c:v>1.4513</c:v>
                </c:pt>
                <c:pt idx="1173">
                  <c:v>1.4490000000000001</c:v>
                </c:pt>
                <c:pt idx="1174">
                  <c:v>1.4239999999999999</c:v>
                </c:pt>
                <c:pt idx="1175">
                  <c:v>1.4267000000000001</c:v>
                </c:pt>
                <c:pt idx="1176">
                  <c:v>1.4117</c:v>
                </c:pt>
                <c:pt idx="1177">
                  <c:v>1.4106000000000001</c:v>
                </c:pt>
                <c:pt idx="1178">
                  <c:v>1.3964000000000001</c:v>
                </c:pt>
                <c:pt idx="1179">
                  <c:v>1.4017999999999999</c:v>
                </c:pt>
                <c:pt idx="1180">
                  <c:v>1.4222999999999999</c:v>
                </c:pt>
                <c:pt idx="1181">
                  <c:v>1.4274</c:v>
                </c:pt>
                <c:pt idx="1182">
                  <c:v>1.4097999999999999</c:v>
                </c:pt>
                <c:pt idx="1183">
                  <c:v>1.4306000000000001</c:v>
                </c:pt>
                <c:pt idx="1184">
                  <c:v>1.4322999999999999</c:v>
                </c:pt>
                <c:pt idx="1185">
                  <c:v>1.4467000000000001</c:v>
                </c:pt>
                <c:pt idx="1186">
                  <c:v>1.4794</c:v>
                </c:pt>
                <c:pt idx="1187">
                  <c:v>1.4671000000000001</c:v>
                </c:pt>
                <c:pt idx="1188">
                  <c:v>1.4612000000000001</c:v>
                </c:pt>
                <c:pt idx="1189">
                  <c:v>1.4617</c:v>
                </c:pt>
                <c:pt idx="1190">
                  <c:v>1.4613</c:v>
                </c:pt>
                <c:pt idx="1191">
                  <c:v>1.4416</c:v>
                </c:pt>
                <c:pt idx="1192">
                  <c:v>1.4115</c:v>
                </c:pt>
                <c:pt idx="1193">
                  <c:v>1.4008</c:v>
                </c:pt>
                <c:pt idx="1194">
                  <c:v>1.38</c:v>
                </c:pt>
                <c:pt idx="1195">
                  <c:v>1.377</c:v>
                </c:pt>
                <c:pt idx="1196">
                  <c:v>1.3483000000000001</c:v>
                </c:pt>
                <c:pt idx="1197">
                  <c:v>1.3623000000000001</c:v>
                </c:pt>
                <c:pt idx="1198">
                  <c:v>1.3632</c:v>
                </c:pt>
                <c:pt idx="1199">
                  <c:v>1.3596999999999999</c:v>
                </c:pt>
                <c:pt idx="1200">
                  <c:v>1.3408</c:v>
                </c:pt>
                <c:pt idx="1201">
                  <c:v>1.3596999999999999</c:v>
                </c:pt>
                <c:pt idx="1202">
                  <c:v>1.3617999999999999</c:v>
                </c:pt>
                <c:pt idx="1203">
                  <c:v>1.3460000000000001</c:v>
                </c:pt>
                <c:pt idx="1204">
                  <c:v>1.3480000000000001</c:v>
                </c:pt>
                <c:pt idx="1205">
                  <c:v>1.3408</c:v>
                </c:pt>
                <c:pt idx="1206">
                  <c:v>1.333</c:v>
                </c:pt>
                <c:pt idx="1207">
                  <c:v>1.3053999999999999</c:v>
                </c:pt>
                <c:pt idx="1208">
                  <c:v>1.2824</c:v>
                </c:pt>
                <c:pt idx="1209">
                  <c:v>1.2968</c:v>
                </c:pt>
                <c:pt idx="1210">
                  <c:v>1.2623</c:v>
                </c:pt>
                <c:pt idx="1211">
                  <c:v>1.2461</c:v>
                </c:pt>
                <c:pt idx="1212">
                  <c:v>1.2813000000000001</c:v>
                </c:pt>
                <c:pt idx="1213">
                  <c:v>1.2950999999999999</c:v>
                </c:pt>
                <c:pt idx="1214">
                  <c:v>1.2875000000000001</c:v>
                </c:pt>
                <c:pt idx="1215">
                  <c:v>1.2726999999999999</c:v>
                </c:pt>
                <c:pt idx="1216">
                  <c:v>1.2584</c:v>
                </c:pt>
                <c:pt idx="1217">
                  <c:v>1.2994000000000001</c:v>
                </c:pt>
                <c:pt idx="1218">
                  <c:v>1.2926</c:v>
                </c:pt>
                <c:pt idx="1219">
                  <c:v>1.2678</c:v>
                </c:pt>
                <c:pt idx="1220">
                  <c:v>1.2717000000000001</c:v>
                </c:pt>
                <c:pt idx="1221">
                  <c:v>1.2749999999999999</c:v>
                </c:pt>
                <c:pt idx="1222">
                  <c:v>1.2511000000000001</c:v>
                </c:pt>
                <c:pt idx="1223">
                  <c:v>1.2455000000000001</c:v>
                </c:pt>
                <c:pt idx="1224">
                  <c:v>1.2785</c:v>
                </c:pt>
                <c:pt idx="1225">
                  <c:v>1.2604</c:v>
                </c:pt>
                <c:pt idx="1226">
                  <c:v>1.2633000000000001</c:v>
                </c:pt>
                <c:pt idx="1227">
                  <c:v>1.2637</c:v>
                </c:pt>
                <c:pt idx="1228">
                  <c:v>1.2497</c:v>
                </c:pt>
                <c:pt idx="1229">
                  <c:v>1.2454000000000001</c:v>
                </c:pt>
                <c:pt idx="1230">
                  <c:v>1.2586999999999999</c:v>
                </c:pt>
                <c:pt idx="1231">
                  <c:v>1.2947</c:v>
                </c:pt>
                <c:pt idx="1232">
                  <c:v>1.3056000000000001</c:v>
                </c:pt>
                <c:pt idx="1233">
                  <c:v>1.2878000000000001</c:v>
                </c:pt>
                <c:pt idx="1234">
                  <c:v>1.2896000000000001</c:v>
                </c:pt>
                <c:pt idx="1235">
                  <c:v>1.2689999999999999</c:v>
                </c:pt>
                <c:pt idx="1236">
                  <c:v>1.2616000000000001</c:v>
                </c:pt>
                <c:pt idx="1237">
                  <c:v>1.272</c:v>
                </c:pt>
                <c:pt idx="1238">
                  <c:v>1.2713000000000001</c:v>
                </c:pt>
                <c:pt idx="1239">
                  <c:v>1.2770999999999999</c:v>
                </c:pt>
                <c:pt idx="1240">
                  <c:v>1.2718</c:v>
                </c:pt>
                <c:pt idx="1241">
                  <c:v>1.2937000000000001</c:v>
                </c:pt>
                <c:pt idx="1242">
                  <c:v>1.2924</c:v>
                </c:pt>
                <c:pt idx="1243">
                  <c:v>1.3021</c:v>
                </c:pt>
                <c:pt idx="1244">
                  <c:v>1.3346</c:v>
                </c:pt>
                <c:pt idx="1245">
                  <c:v>1.3369</c:v>
                </c:pt>
                <c:pt idx="1246">
                  <c:v>1.3702000000000001</c:v>
                </c:pt>
                <c:pt idx="1247">
                  <c:v>1.4048</c:v>
                </c:pt>
                <c:pt idx="1248">
                  <c:v>1.4401999999999999</c:v>
                </c:pt>
                <c:pt idx="1249">
                  <c:v>1.4266000000000001</c:v>
                </c:pt>
                <c:pt idx="1250">
                  <c:v>1.3907</c:v>
                </c:pt>
                <c:pt idx="1251">
                  <c:v>1.3939999999999999</c:v>
                </c:pt>
                <c:pt idx="1252">
                  <c:v>1.3926000000000001</c:v>
                </c:pt>
                <c:pt idx="1253">
                  <c:v>1.3993</c:v>
                </c:pt>
                <c:pt idx="1254">
                  <c:v>1.4027000000000001</c:v>
                </c:pt>
                <c:pt idx="1255">
                  <c:v>1.3958999999999999</c:v>
                </c:pt>
                <c:pt idx="1256">
                  <c:v>1.411</c:v>
                </c:pt>
                <c:pt idx="1257">
                  <c:v>1.3956</c:v>
                </c:pt>
                <c:pt idx="1258">
                  <c:v>1.3923000000000001</c:v>
                </c:pt>
                <c:pt idx="1259">
                  <c:v>1.3629</c:v>
                </c:pt>
                <c:pt idx="1260">
                  <c:v>1.3498000000000001</c:v>
                </c:pt>
                <c:pt idx="1261">
                  <c:v>1.3654999999999999</c:v>
                </c:pt>
                <c:pt idx="1262">
                  <c:v>1.3703000000000001</c:v>
                </c:pt>
                <c:pt idx="1263">
                  <c:v>1.3472</c:v>
                </c:pt>
                <c:pt idx="1264">
                  <c:v>1.3362000000000001</c:v>
                </c:pt>
                <c:pt idx="1265">
                  <c:v>1.3180000000000001</c:v>
                </c:pt>
                <c:pt idx="1266">
                  <c:v>1.3160000000000001</c:v>
                </c:pt>
                <c:pt idx="1267">
                  <c:v>1.3137000000000001</c:v>
                </c:pt>
                <c:pt idx="1268">
                  <c:v>1.3266</c:v>
                </c:pt>
                <c:pt idx="1269">
                  <c:v>1.3061</c:v>
                </c:pt>
                <c:pt idx="1270">
                  <c:v>1.2859</c:v>
                </c:pt>
                <c:pt idx="1271">
                  <c:v>1.3066</c:v>
                </c:pt>
                <c:pt idx="1272">
                  <c:v>1.3017000000000001</c:v>
                </c:pt>
                <c:pt idx="1273">
                  <c:v>1.2972999999999999</c:v>
                </c:pt>
                <c:pt idx="1274">
                  <c:v>1.3206</c:v>
                </c:pt>
                <c:pt idx="1275">
                  <c:v>1.3183</c:v>
                </c:pt>
                <c:pt idx="1276">
                  <c:v>1.3150999999999999</c:v>
                </c:pt>
                <c:pt idx="1277">
                  <c:v>1.2936000000000001</c:v>
                </c:pt>
                <c:pt idx="1278">
                  <c:v>1.2811999999999999</c:v>
                </c:pt>
                <c:pt idx="1279">
                  <c:v>1.2814000000000001</c:v>
                </c:pt>
                <c:pt idx="1280">
                  <c:v>1.3015000000000001</c:v>
                </c:pt>
                <c:pt idx="1281">
                  <c:v>1.2833000000000001</c:v>
                </c:pt>
                <c:pt idx="1282">
                  <c:v>1.2785</c:v>
                </c:pt>
                <c:pt idx="1283">
                  <c:v>1.2939000000000001</c:v>
                </c:pt>
                <c:pt idx="1284">
                  <c:v>1.2999000000000001</c:v>
                </c:pt>
                <c:pt idx="1285">
                  <c:v>1.2907</c:v>
                </c:pt>
                <c:pt idx="1286">
                  <c:v>1.2885</c:v>
                </c:pt>
                <c:pt idx="1287">
                  <c:v>1.2895000000000001</c:v>
                </c:pt>
                <c:pt idx="1288">
                  <c:v>1.2862</c:v>
                </c:pt>
                <c:pt idx="1289">
                  <c:v>1.2796000000000001</c:v>
                </c:pt>
                <c:pt idx="1290">
                  <c:v>1.2578</c:v>
                </c:pt>
                <c:pt idx="1291">
                  <c:v>1.2554000000000001</c:v>
                </c:pt>
                <c:pt idx="1292">
                  <c:v>1.2687999999999999</c:v>
                </c:pt>
                <c:pt idx="1293">
                  <c:v>1.2826</c:v>
                </c:pt>
                <c:pt idx="1294">
                  <c:v>1.2708999999999999</c:v>
                </c:pt>
                <c:pt idx="1295">
                  <c:v>1.2868999999999999</c:v>
                </c:pt>
                <c:pt idx="1296">
                  <c:v>1.272</c:v>
                </c:pt>
                <c:pt idx="1297">
                  <c:v>1.2733000000000001</c:v>
                </c:pt>
                <c:pt idx="1298">
                  <c:v>1.2665999999999999</c:v>
                </c:pt>
                <c:pt idx="1299">
                  <c:v>1.2556</c:v>
                </c:pt>
                <c:pt idx="1300">
                  <c:v>1.2542</c:v>
                </c:pt>
                <c:pt idx="1301">
                  <c:v>1.2647999999999999</c:v>
                </c:pt>
                <c:pt idx="1302">
                  <c:v>1.2541</c:v>
                </c:pt>
                <c:pt idx="1303">
                  <c:v>1.2653000000000001</c:v>
                </c:pt>
                <c:pt idx="1304">
                  <c:v>1.2591000000000001</c:v>
                </c:pt>
                <c:pt idx="1305">
                  <c:v>1.2704</c:v>
                </c:pt>
                <c:pt idx="1306">
                  <c:v>1.2822</c:v>
                </c:pt>
                <c:pt idx="1307">
                  <c:v>1.2887</c:v>
                </c:pt>
                <c:pt idx="1308">
                  <c:v>1.2928999999999999</c:v>
                </c:pt>
                <c:pt idx="1309">
                  <c:v>1.2970999999999999</c:v>
                </c:pt>
                <c:pt idx="1310">
                  <c:v>1.3036000000000001</c:v>
                </c:pt>
                <c:pt idx="1311">
                  <c:v>1.3491</c:v>
                </c:pt>
                <c:pt idx="1312">
                  <c:v>1.3654999999999999</c:v>
                </c:pt>
                <c:pt idx="1313">
                  <c:v>1.3581099999999999</c:v>
                </c:pt>
                <c:pt idx="1314">
                  <c:v>1.36216</c:v>
                </c:pt>
                <c:pt idx="1315">
                  <c:v>1.3492</c:v>
                </c:pt>
                <c:pt idx="1316">
                  <c:v>1.35792</c:v>
                </c:pt>
                <c:pt idx="1317">
                  <c:v>1.3532599999999999</c:v>
                </c:pt>
                <c:pt idx="1318">
                  <c:v>1.32866</c:v>
                </c:pt>
                <c:pt idx="1319">
                  <c:v>1.32016</c:v>
                </c:pt>
                <c:pt idx="1320">
                  <c:v>1.32426</c:v>
                </c:pt>
                <c:pt idx="1321">
                  <c:v>1.32331</c:v>
                </c:pt>
                <c:pt idx="1322">
                  <c:v>1.3464400000000001</c:v>
                </c:pt>
                <c:pt idx="1323">
                  <c:v>1.34849</c:v>
                </c:pt>
                <c:pt idx="1324">
                  <c:v>1.33996</c:v>
                </c:pt>
                <c:pt idx="1325">
                  <c:v>1.3267100000000001</c:v>
                </c:pt>
                <c:pt idx="1326">
                  <c:v>1.3265800000000001</c:v>
                </c:pt>
                <c:pt idx="1327">
                  <c:v>1.3157099999999999</c:v>
                </c:pt>
                <c:pt idx="1328">
                  <c:v>1.3186599999999999</c:v>
                </c:pt>
                <c:pt idx="1329">
                  <c:v>1.33677</c:v>
                </c:pt>
                <c:pt idx="1330">
                  <c:v>1.3262100000000001</c:v>
                </c:pt>
                <c:pt idx="1331">
                  <c:v>1.3212299999999999</c:v>
                </c:pt>
                <c:pt idx="1332">
                  <c:v>1.31793</c:v>
                </c:pt>
                <c:pt idx="1333">
                  <c:v>1.30426</c:v>
                </c:pt>
                <c:pt idx="1334">
                  <c:v>1.2924100000000001</c:v>
                </c:pt>
                <c:pt idx="1335">
                  <c:v>1.29454</c:v>
                </c:pt>
                <c:pt idx="1336">
                  <c:v>1.3002199999999999</c:v>
                </c:pt>
                <c:pt idx="1337">
                  <c:v>1.3133600000000001</c:v>
                </c:pt>
                <c:pt idx="1338">
                  <c:v>1.32413</c:v>
                </c:pt>
                <c:pt idx="1339">
                  <c:v>1.3017300000000001</c:v>
                </c:pt>
                <c:pt idx="1340">
                  <c:v>1.31351</c:v>
                </c:pt>
                <c:pt idx="1341">
                  <c:v>1.32521</c:v>
                </c:pt>
                <c:pt idx="1342">
                  <c:v>1.32236</c:v>
                </c:pt>
                <c:pt idx="1343">
                  <c:v>1.32636</c:v>
                </c:pt>
                <c:pt idx="1344">
                  <c:v>1.3416300000000001</c:v>
                </c:pt>
                <c:pt idx="1345">
                  <c:v>1.3310599999999999</c:v>
                </c:pt>
                <c:pt idx="1346">
                  <c:v>1.3311599999999999</c:v>
                </c:pt>
                <c:pt idx="1347">
                  <c:v>1.3386199999999999</c:v>
                </c:pt>
                <c:pt idx="1348">
                  <c:v>1.36347</c:v>
                </c:pt>
                <c:pt idx="1349">
                  <c:v>1.3576699999999999</c:v>
                </c:pt>
                <c:pt idx="1350">
                  <c:v>1.3644700000000001</c:v>
                </c:pt>
                <c:pt idx="1351">
                  <c:v>1.359</c:v>
                </c:pt>
                <c:pt idx="1352">
                  <c:v>1.3634200000000001</c:v>
                </c:pt>
                <c:pt idx="1353">
                  <c:v>1.3494699999999999</c:v>
                </c:pt>
                <c:pt idx="1354">
                  <c:v>1.35555</c:v>
                </c:pt>
                <c:pt idx="1355">
                  <c:v>1.36273</c:v>
                </c:pt>
                <c:pt idx="1356">
                  <c:v>1.3764000000000001</c:v>
                </c:pt>
                <c:pt idx="1357">
                  <c:v>1.3903000000000001</c:v>
                </c:pt>
                <c:pt idx="1358">
                  <c:v>1.39974</c:v>
                </c:pt>
                <c:pt idx="1359">
                  <c:v>1.40144</c:v>
                </c:pt>
                <c:pt idx="1360">
                  <c:v>1.3989100000000001</c:v>
                </c:pt>
                <c:pt idx="1361">
                  <c:v>1.3835200000000001</c:v>
                </c:pt>
                <c:pt idx="1362">
                  <c:v>1.3932</c:v>
                </c:pt>
                <c:pt idx="1363">
                  <c:v>1.41597</c:v>
                </c:pt>
                <c:pt idx="1364">
                  <c:v>1.4151199999999999</c:v>
                </c:pt>
                <c:pt idx="1365">
                  <c:v>1.43068</c:v>
                </c:pt>
                <c:pt idx="1366">
                  <c:v>1.4144699999999999</c:v>
                </c:pt>
                <c:pt idx="1367">
                  <c:v>1.4175500000000001</c:v>
                </c:pt>
                <c:pt idx="1368">
                  <c:v>1.39673</c:v>
                </c:pt>
                <c:pt idx="1369">
                  <c:v>1.39019</c:v>
                </c:pt>
                <c:pt idx="1370">
                  <c:v>1.4074899999999999</c:v>
                </c:pt>
                <c:pt idx="1371">
                  <c:v>1.39656</c:v>
                </c:pt>
                <c:pt idx="1372">
                  <c:v>1.4096200000000001</c:v>
                </c:pt>
                <c:pt idx="1373">
                  <c:v>1.4015299999999999</c:v>
                </c:pt>
                <c:pt idx="1374">
                  <c:v>1.3786</c:v>
                </c:pt>
                <c:pt idx="1375">
                  <c:v>1.3834500000000001</c:v>
                </c:pt>
                <c:pt idx="1376">
                  <c:v>1.3942399999999999</c:v>
                </c:pt>
                <c:pt idx="1377">
                  <c:v>1.39052</c:v>
                </c:pt>
                <c:pt idx="1378">
                  <c:v>1.3937200000000001</c:v>
                </c:pt>
                <c:pt idx="1379">
                  <c:v>1.3856200000000001</c:v>
                </c:pt>
                <c:pt idx="1380">
                  <c:v>1.4074500000000001</c:v>
                </c:pt>
                <c:pt idx="1381">
                  <c:v>1.39293</c:v>
                </c:pt>
                <c:pt idx="1382">
                  <c:v>1.3995200000000001</c:v>
                </c:pt>
                <c:pt idx="1383">
                  <c:v>1.40551</c:v>
                </c:pt>
                <c:pt idx="1384">
                  <c:v>1.4072199999999999</c:v>
                </c:pt>
                <c:pt idx="1385">
                  <c:v>1.4035200000000001</c:v>
                </c:pt>
                <c:pt idx="1386">
                  <c:v>1.4152899999999999</c:v>
                </c:pt>
                <c:pt idx="1387">
                  <c:v>1.3949499999999999</c:v>
                </c:pt>
                <c:pt idx="1388">
                  <c:v>1.3979699999999999</c:v>
                </c:pt>
                <c:pt idx="1389">
                  <c:v>1.3973199999999999</c:v>
                </c:pt>
                <c:pt idx="1390">
                  <c:v>1.3919699999999999</c:v>
                </c:pt>
                <c:pt idx="1391">
                  <c:v>1.38741</c:v>
                </c:pt>
                <c:pt idx="1392">
                  <c:v>1.4023600000000001</c:v>
                </c:pt>
                <c:pt idx="1393">
                  <c:v>1.3935299999999999</c:v>
                </c:pt>
                <c:pt idx="1394">
                  <c:v>1.3987099999999999</c:v>
                </c:pt>
                <c:pt idx="1395">
                  <c:v>1.39716</c:v>
                </c:pt>
                <c:pt idx="1396">
                  <c:v>1.41011</c:v>
                </c:pt>
                <c:pt idx="1397">
                  <c:v>1.4139200000000001</c:v>
                </c:pt>
                <c:pt idx="1398">
                  <c:v>1.41008</c:v>
                </c:pt>
                <c:pt idx="1399">
                  <c:v>1.4227000000000001</c:v>
                </c:pt>
                <c:pt idx="1400">
                  <c:v>1.42133</c:v>
                </c:pt>
                <c:pt idx="1401">
                  <c:v>1.42055</c:v>
                </c:pt>
                <c:pt idx="1402">
                  <c:v>1.4151499999999999</c:v>
                </c:pt>
                <c:pt idx="1403">
                  <c:v>1.4201600000000001</c:v>
                </c:pt>
                <c:pt idx="1404">
                  <c:v>1.42421</c:v>
                </c:pt>
                <c:pt idx="1405">
                  <c:v>1.4171400000000001</c:v>
                </c:pt>
                <c:pt idx="1406">
                  <c:v>1.40334</c:v>
                </c:pt>
                <c:pt idx="1407">
                  <c:v>1.40652</c:v>
                </c:pt>
                <c:pt idx="1408">
                  <c:v>1.42561</c:v>
                </c:pt>
                <c:pt idx="1409">
                  <c:v>1.4419200000000001</c:v>
                </c:pt>
                <c:pt idx="1410">
                  <c:v>1.43973</c:v>
                </c:pt>
                <c:pt idx="1411">
                  <c:v>1.4413100000000001</c:v>
                </c:pt>
                <c:pt idx="1412">
                  <c:v>1.4353899999999999</c:v>
                </c:pt>
                <c:pt idx="1413">
                  <c:v>1.41825</c:v>
                </c:pt>
                <c:pt idx="1414">
                  <c:v>1.41455</c:v>
                </c:pt>
                <c:pt idx="1415">
                  <c:v>1.41482</c:v>
                </c:pt>
                <c:pt idx="1416">
                  <c:v>1.42022</c:v>
                </c:pt>
                <c:pt idx="1417">
                  <c:v>1.4278</c:v>
                </c:pt>
                <c:pt idx="1418">
                  <c:v>1.42022</c:v>
                </c:pt>
                <c:pt idx="1419">
                  <c:v>1.40703</c:v>
                </c:pt>
                <c:pt idx="1420">
                  <c:v>1.41309</c:v>
                </c:pt>
                <c:pt idx="1421">
                  <c:v>1.42343</c:v>
                </c:pt>
                <c:pt idx="1422">
                  <c:v>1.42452</c:v>
                </c:pt>
                <c:pt idx="1423">
                  <c:v>1.43249</c:v>
                </c:pt>
                <c:pt idx="1424">
                  <c:v>1.4297500000000001</c:v>
                </c:pt>
                <c:pt idx="1425">
                  <c:v>1.4298599999999999</c:v>
                </c:pt>
                <c:pt idx="1426">
                  <c:v>1.42411</c:v>
                </c:pt>
                <c:pt idx="1427">
                  <c:v>1.4347799999999999</c:v>
                </c:pt>
                <c:pt idx="1428">
                  <c:v>1.43022</c:v>
                </c:pt>
                <c:pt idx="1429">
                  <c:v>1.4331100000000001</c:v>
                </c:pt>
                <c:pt idx="1430">
                  <c:v>1.4218</c:v>
                </c:pt>
                <c:pt idx="1431">
                  <c:v>1.4259999999999999</c:v>
                </c:pt>
                <c:pt idx="1432">
                  <c:v>1.4257</c:v>
                </c:pt>
                <c:pt idx="1433">
                  <c:v>1.4295</c:v>
                </c:pt>
                <c:pt idx="1434">
                  <c:v>1.4338</c:v>
                </c:pt>
                <c:pt idx="1435">
                  <c:v>1.4493</c:v>
                </c:pt>
                <c:pt idx="1436">
                  <c:v>1.4563999999999999</c:v>
                </c:pt>
                <c:pt idx="1437">
                  <c:v>1.4579</c:v>
                </c:pt>
                <c:pt idx="1438">
                  <c:v>1.4570000000000001</c:v>
                </c:pt>
                <c:pt idx="1439">
                  <c:v>1.4627600000000001</c:v>
                </c:pt>
                <c:pt idx="1440">
                  <c:v>1.4661</c:v>
                </c:pt>
                <c:pt idx="1441">
                  <c:v>1.47078</c:v>
                </c:pt>
                <c:pt idx="1442">
                  <c:v>1.47437</c:v>
                </c:pt>
                <c:pt idx="1443">
                  <c:v>1.47106</c:v>
                </c:pt>
                <c:pt idx="1444">
                  <c:v>1.46763</c:v>
                </c:pt>
                <c:pt idx="1445">
                  <c:v>1.4789300000000001</c:v>
                </c:pt>
                <c:pt idx="1446">
                  <c:v>1.46899</c:v>
                </c:pt>
                <c:pt idx="1447">
                  <c:v>1.4660599999999999</c:v>
                </c:pt>
                <c:pt idx="1448">
                  <c:v>1.4688099999999999</c:v>
                </c:pt>
                <c:pt idx="1449">
                  <c:v>1.4612799999999999</c:v>
                </c:pt>
                <c:pt idx="1450">
                  <c:v>1.4583200000000001</c:v>
                </c:pt>
                <c:pt idx="1451">
                  <c:v>1.4636800000000001</c:v>
                </c:pt>
                <c:pt idx="1452">
                  <c:v>1.4542299999999999</c:v>
                </c:pt>
                <c:pt idx="1453">
                  <c:v>1.4574</c:v>
                </c:pt>
                <c:pt idx="1454">
                  <c:v>1.4647399999999999</c:v>
                </c:pt>
                <c:pt idx="1455">
                  <c:v>1.47207</c:v>
                </c:pt>
                <c:pt idx="1456">
                  <c:v>1.46862</c:v>
                </c:pt>
                <c:pt idx="1457">
                  <c:v>1.47905</c:v>
                </c:pt>
                <c:pt idx="1458">
                  <c:v>1.4730000000000001</c:v>
                </c:pt>
                <c:pt idx="1459">
                  <c:v>1.4775400000000001</c:v>
                </c:pt>
                <c:pt idx="1460">
                  <c:v>1.4851000000000001</c:v>
                </c:pt>
                <c:pt idx="1461">
                  <c:v>1.4932300000000001</c:v>
                </c:pt>
                <c:pt idx="1462">
                  <c:v>1.49352</c:v>
                </c:pt>
                <c:pt idx="1463">
                  <c:v>1.4903500000000001</c:v>
                </c:pt>
                <c:pt idx="1464">
                  <c:v>1.49647</c:v>
                </c:pt>
                <c:pt idx="1465">
                  <c:v>1.49396</c:v>
                </c:pt>
                <c:pt idx="1466">
                  <c:v>1.5007200000000001</c:v>
                </c:pt>
                <c:pt idx="1467">
                  <c:v>1.50261</c:v>
                </c:pt>
                <c:pt idx="1468">
                  <c:v>1.5007200000000001</c:v>
                </c:pt>
                <c:pt idx="1469">
                  <c:v>1.4865200000000001</c:v>
                </c:pt>
                <c:pt idx="1470">
                  <c:v>1.48062</c:v>
                </c:pt>
                <c:pt idx="1471">
                  <c:v>1.47153</c:v>
                </c:pt>
                <c:pt idx="1472">
                  <c:v>1.4839599999999999</c:v>
                </c:pt>
                <c:pt idx="1473">
                  <c:v>1.4718500000000001</c:v>
                </c:pt>
                <c:pt idx="1474">
                  <c:v>1.47722</c:v>
                </c:pt>
                <c:pt idx="1475">
                  <c:v>1.47156</c:v>
                </c:pt>
                <c:pt idx="1476">
                  <c:v>1.4877199999999999</c:v>
                </c:pt>
                <c:pt idx="1477">
                  <c:v>1.48712</c:v>
                </c:pt>
                <c:pt idx="1478">
                  <c:v>1.4846200000000001</c:v>
                </c:pt>
                <c:pt idx="1479">
                  <c:v>1.49959</c:v>
                </c:pt>
                <c:pt idx="1480">
                  <c:v>1.4984</c:v>
                </c:pt>
                <c:pt idx="1481">
                  <c:v>1.4984500000000001</c:v>
                </c:pt>
                <c:pt idx="1482">
                  <c:v>1.4843500000000001</c:v>
                </c:pt>
                <c:pt idx="1483">
                  <c:v>1.4901899999999999</c:v>
                </c:pt>
                <c:pt idx="1484">
                  <c:v>1.49701</c:v>
                </c:pt>
                <c:pt idx="1485">
                  <c:v>1.4863299999999999</c:v>
                </c:pt>
                <c:pt idx="1486">
                  <c:v>1.4960899999999999</c:v>
                </c:pt>
                <c:pt idx="1487">
                  <c:v>1.4917100000000001</c:v>
                </c:pt>
                <c:pt idx="1488">
                  <c:v>1.48614</c:v>
                </c:pt>
                <c:pt idx="1489">
                  <c:v>1.4960199999999999</c:v>
                </c:pt>
                <c:pt idx="1490">
                  <c:v>1.4963200000000001</c:v>
                </c:pt>
                <c:pt idx="1491">
                  <c:v>1.5134399999999999</c:v>
                </c:pt>
                <c:pt idx="1492">
                  <c:v>1.5005900000000001</c:v>
                </c:pt>
                <c:pt idx="1493">
                  <c:v>1.4986900000000001</c:v>
                </c:pt>
                <c:pt idx="1494">
                  <c:v>1.50075</c:v>
                </c:pt>
                <c:pt idx="1495">
                  <c:v>1.5076099999999999</c:v>
                </c:pt>
                <c:pt idx="1496">
                  <c:v>1.5046999999999999</c:v>
                </c:pt>
                <c:pt idx="1497">
                  <c:v>1.5051699999999999</c:v>
                </c:pt>
                <c:pt idx="1498">
                  <c:v>1.4856</c:v>
                </c:pt>
                <c:pt idx="1499">
                  <c:v>1.4826600000000001</c:v>
                </c:pt>
                <c:pt idx="1500">
                  <c:v>1.4703299999999999</c:v>
                </c:pt>
                <c:pt idx="1501">
                  <c:v>1.47393</c:v>
                </c:pt>
                <c:pt idx="1502">
                  <c:v>1.4732099999999999</c:v>
                </c:pt>
                <c:pt idx="1503">
                  <c:v>1.4613799999999999</c:v>
                </c:pt>
                <c:pt idx="1504">
                  <c:v>1.4650799999999999</c:v>
                </c:pt>
                <c:pt idx="1505">
                  <c:v>1.45367</c:v>
                </c:pt>
                <c:pt idx="1506">
                  <c:v>1.4530000000000001</c:v>
                </c:pt>
                <c:pt idx="1507">
                  <c:v>1.4349700000000001</c:v>
                </c:pt>
                <c:pt idx="1508">
                  <c:v>1.4335199999999999</c:v>
                </c:pt>
                <c:pt idx="1509">
                  <c:v>1.4274</c:v>
                </c:pt>
                <c:pt idx="1510">
                  <c:v>1.4253100000000001</c:v>
                </c:pt>
                <c:pt idx="1511">
                  <c:v>1.43282</c:v>
                </c:pt>
                <c:pt idx="1512">
                  <c:v>1.4353800000000001</c:v>
                </c:pt>
                <c:pt idx="1513">
                  <c:v>1.43716</c:v>
                </c:pt>
                <c:pt idx="1514">
                  <c:v>1.43486</c:v>
                </c:pt>
                <c:pt idx="1515">
                  <c:v>1.4336</c:v>
                </c:pt>
                <c:pt idx="1516">
                  <c:v>1.4327799999999999</c:v>
                </c:pt>
                <c:pt idx="1517">
                  <c:v>1.4411099999999999</c:v>
                </c:pt>
                <c:pt idx="1518">
                  <c:v>1.43624</c:v>
                </c:pt>
                <c:pt idx="1519">
                  <c:v>1.43998</c:v>
                </c:pt>
                <c:pt idx="1520">
                  <c:v>1.43041</c:v>
                </c:pt>
                <c:pt idx="1521">
                  <c:v>1.44085</c:v>
                </c:pt>
                <c:pt idx="1522">
                  <c:v>1.4512</c:v>
                </c:pt>
                <c:pt idx="1523">
                  <c:v>1.4492</c:v>
                </c:pt>
                <c:pt idx="1524">
                  <c:v>1.45052</c:v>
                </c:pt>
                <c:pt idx="1525">
                  <c:v>1.4497800000000001</c:v>
                </c:pt>
                <c:pt idx="1526">
                  <c:v>1.4385699999999999</c:v>
                </c:pt>
                <c:pt idx="1527">
                  <c:v>1.43872</c:v>
                </c:pt>
                <c:pt idx="1528">
                  <c:v>1.42869</c:v>
                </c:pt>
                <c:pt idx="1529">
                  <c:v>1.41062</c:v>
                </c:pt>
                <c:pt idx="1530">
                  <c:v>1.4083699999999999</c:v>
                </c:pt>
                <c:pt idx="1531">
                  <c:v>1.4136299999999999</c:v>
                </c:pt>
                <c:pt idx="1532">
                  <c:v>1.4148099999999999</c:v>
                </c:pt>
                <c:pt idx="1533">
                  <c:v>1.4077</c:v>
                </c:pt>
                <c:pt idx="1534">
                  <c:v>1.40327</c:v>
                </c:pt>
                <c:pt idx="1535">
                  <c:v>1.3960900000000001</c:v>
                </c:pt>
                <c:pt idx="1536">
                  <c:v>1.38611</c:v>
                </c:pt>
                <c:pt idx="1537">
                  <c:v>1.3932500000000001</c:v>
                </c:pt>
                <c:pt idx="1538">
                  <c:v>1.3967099999999999</c:v>
                </c:pt>
                <c:pt idx="1539">
                  <c:v>1.3891199999999999</c:v>
                </c:pt>
                <c:pt idx="1540">
                  <c:v>1.37273</c:v>
                </c:pt>
                <c:pt idx="1541">
                  <c:v>1.3677600000000001</c:v>
                </c:pt>
                <c:pt idx="1542">
                  <c:v>1.3655200000000001</c:v>
                </c:pt>
                <c:pt idx="1543">
                  <c:v>1.3793800000000001</c:v>
                </c:pt>
                <c:pt idx="1544">
                  <c:v>1.37337</c:v>
                </c:pt>
                <c:pt idx="1545">
                  <c:v>1.3688499999999999</c:v>
                </c:pt>
                <c:pt idx="1546">
                  <c:v>1.3630899999999999</c:v>
                </c:pt>
                <c:pt idx="1547">
                  <c:v>1.3597300000000001</c:v>
                </c:pt>
                <c:pt idx="1548">
                  <c:v>1.3758699999999999</c:v>
                </c:pt>
                <c:pt idx="1549">
                  <c:v>1.3599300000000001</c:v>
                </c:pt>
                <c:pt idx="1550">
                  <c:v>1.3492299999999999</c:v>
                </c:pt>
                <c:pt idx="1551">
                  <c:v>1.3611599999999999</c:v>
                </c:pt>
                <c:pt idx="1552">
                  <c:v>1.3599600000000001</c:v>
                </c:pt>
                <c:pt idx="1553">
                  <c:v>1.3513599999999999</c:v>
                </c:pt>
                <c:pt idx="1554">
                  <c:v>1.35372</c:v>
                </c:pt>
                <c:pt idx="1555">
                  <c:v>1.3538300000000001</c:v>
                </c:pt>
                <c:pt idx="1556">
                  <c:v>1.3631</c:v>
                </c:pt>
                <c:pt idx="1557">
                  <c:v>1.35677</c:v>
                </c:pt>
                <c:pt idx="1558">
                  <c:v>1.36087</c:v>
                </c:pt>
                <c:pt idx="1559">
                  <c:v>1.3694</c:v>
                </c:pt>
                <c:pt idx="1560">
                  <c:v>1.3579300000000001</c:v>
                </c:pt>
                <c:pt idx="1561">
                  <c:v>1.36198</c:v>
                </c:pt>
                <c:pt idx="1562">
                  <c:v>1.36267</c:v>
                </c:pt>
                <c:pt idx="1563">
                  <c:v>1.3601300000000001</c:v>
                </c:pt>
                <c:pt idx="1564">
                  <c:v>1.36548</c:v>
                </c:pt>
                <c:pt idx="1565">
                  <c:v>1.36765</c:v>
                </c:pt>
                <c:pt idx="1566">
                  <c:v>1.3767799999999999</c:v>
                </c:pt>
                <c:pt idx="1567">
                  <c:v>1.36724</c:v>
                </c:pt>
                <c:pt idx="1568">
                  <c:v>1.3762700000000001</c:v>
                </c:pt>
                <c:pt idx="1569">
                  <c:v>1.3735299999999999</c:v>
                </c:pt>
                <c:pt idx="1570">
                  <c:v>1.3607199999999999</c:v>
                </c:pt>
                <c:pt idx="1571">
                  <c:v>1.35301</c:v>
                </c:pt>
                <c:pt idx="1572">
                  <c:v>1.35578</c:v>
                </c:pt>
                <c:pt idx="1573">
                  <c:v>1.3492</c:v>
                </c:pt>
                <c:pt idx="1574">
                  <c:v>1.3328100000000001</c:v>
                </c:pt>
                <c:pt idx="1575">
                  <c:v>1.32735</c:v>
                </c:pt>
                <c:pt idx="1576">
                  <c:v>1.3407500000000001</c:v>
                </c:pt>
                <c:pt idx="1577">
                  <c:v>1.34755</c:v>
                </c:pt>
                <c:pt idx="1578">
                  <c:v>1.3419399999999999</c:v>
                </c:pt>
                <c:pt idx="1579">
                  <c:v>1.3506199999999999</c:v>
                </c:pt>
                <c:pt idx="1580">
                  <c:v>1.3583700000000001</c:v>
                </c:pt>
                <c:pt idx="1581">
                  <c:v>1.3503000000000001</c:v>
                </c:pt>
                <c:pt idx="1582">
                  <c:v>1.3481799999999999</c:v>
                </c:pt>
                <c:pt idx="1583">
                  <c:v>1.3393200000000001</c:v>
                </c:pt>
                <c:pt idx="1584">
                  <c:v>1.33388</c:v>
                </c:pt>
                <c:pt idx="1585">
                  <c:v>1.33572</c:v>
                </c:pt>
                <c:pt idx="1586">
                  <c:v>1.3498399999999999</c:v>
                </c:pt>
                <c:pt idx="1587">
                  <c:v>1.3585799999999999</c:v>
                </c:pt>
                <c:pt idx="1588">
                  <c:v>1.36147</c:v>
                </c:pt>
                <c:pt idx="1589">
                  <c:v>1.3650800000000001</c:v>
                </c:pt>
                <c:pt idx="1590">
                  <c:v>1.3579000000000001</c:v>
                </c:pt>
                <c:pt idx="1591">
                  <c:v>1.3501700000000001</c:v>
                </c:pt>
                <c:pt idx="1592">
                  <c:v>1.3488800000000001</c:v>
                </c:pt>
                <c:pt idx="1593">
                  <c:v>1.3440300000000001</c:v>
                </c:pt>
                <c:pt idx="1594">
                  <c:v>1.3388199999999999</c:v>
                </c:pt>
                <c:pt idx="1595">
                  <c:v>1.32866</c:v>
                </c:pt>
                <c:pt idx="1596">
                  <c:v>1.3381099999999999</c:v>
                </c:pt>
                <c:pt idx="1597">
                  <c:v>1.3391900000000001</c:v>
                </c:pt>
                <c:pt idx="1598">
                  <c:v>1.31619</c:v>
                </c:pt>
                <c:pt idx="1599">
                  <c:v>1.3205199999999999</c:v>
                </c:pt>
                <c:pt idx="1600">
                  <c:v>1.3242799999999999</c:v>
                </c:pt>
                <c:pt idx="1601">
                  <c:v>1.3293600000000001</c:v>
                </c:pt>
                <c:pt idx="1602">
                  <c:v>1.3188800000000001</c:v>
                </c:pt>
                <c:pt idx="1603">
                  <c:v>1.29718</c:v>
                </c:pt>
                <c:pt idx="1604">
                  <c:v>1.28182</c:v>
                </c:pt>
                <c:pt idx="1605">
                  <c:v>1.2629600000000001</c:v>
                </c:pt>
                <c:pt idx="1606">
                  <c:v>1.27518</c:v>
                </c:pt>
                <c:pt idx="1607">
                  <c:v>1.27864</c:v>
                </c:pt>
                <c:pt idx="1608">
                  <c:v>1.26328</c:v>
                </c:pt>
                <c:pt idx="1609">
                  <c:v>1.2633399999999999</c:v>
                </c:pt>
                <c:pt idx="1610">
                  <c:v>1.25223</c:v>
                </c:pt>
                <c:pt idx="1611">
                  <c:v>1.23566</c:v>
                </c:pt>
                <c:pt idx="1612">
                  <c:v>1.2396799999999999</c:v>
                </c:pt>
                <c:pt idx="1613">
                  <c:v>1.2171000000000001</c:v>
                </c:pt>
                <c:pt idx="1614">
                  <c:v>1.2422</c:v>
                </c:pt>
                <c:pt idx="1615">
                  <c:v>1.2468300000000001</c:v>
                </c:pt>
                <c:pt idx="1616">
                  <c:v>1.25712</c:v>
                </c:pt>
                <c:pt idx="1617">
                  <c:v>1.2343999999999999</c:v>
                </c:pt>
                <c:pt idx="1618">
                  <c:v>1.2370399999999999</c:v>
                </c:pt>
                <c:pt idx="1619">
                  <c:v>1.2160899999999999</c:v>
                </c:pt>
                <c:pt idx="1620">
                  <c:v>1.23563</c:v>
                </c:pt>
                <c:pt idx="1621">
                  <c:v>1.2272000000000001</c:v>
                </c:pt>
                <c:pt idx="1622">
                  <c:v>1.2307999999999999</c:v>
                </c:pt>
                <c:pt idx="1623">
                  <c:v>1.22115</c:v>
                </c:pt>
                <c:pt idx="1624">
                  <c:v>1.22492</c:v>
                </c:pt>
                <c:pt idx="1625">
                  <c:v>1.21614</c:v>
                </c:pt>
                <c:pt idx="1626">
                  <c:v>1.1967099999999999</c:v>
                </c:pt>
                <c:pt idx="1627">
                  <c:v>1.1916599999999999</c:v>
                </c:pt>
                <c:pt idx="1628">
                  <c:v>1.1963999999999999</c:v>
                </c:pt>
                <c:pt idx="1629">
                  <c:v>1.1983999999999999</c:v>
                </c:pt>
                <c:pt idx="1630">
                  <c:v>1.2108099999999999</c:v>
                </c:pt>
                <c:pt idx="1631">
                  <c:v>1.21112</c:v>
                </c:pt>
                <c:pt idx="1632">
                  <c:v>1.2213000000000001</c:v>
                </c:pt>
                <c:pt idx="1633">
                  <c:v>1.23228</c:v>
                </c:pt>
                <c:pt idx="1634">
                  <c:v>1.2298899999999999</c:v>
                </c:pt>
                <c:pt idx="1635">
                  <c:v>1.23794</c:v>
                </c:pt>
                <c:pt idx="1636">
                  <c:v>1.23875</c:v>
                </c:pt>
                <c:pt idx="1637">
                  <c:v>1.2323200000000001</c:v>
                </c:pt>
                <c:pt idx="1638">
                  <c:v>1.2267399999999999</c:v>
                </c:pt>
                <c:pt idx="1639">
                  <c:v>1.23102</c:v>
                </c:pt>
                <c:pt idx="1640">
                  <c:v>1.2327600000000001</c:v>
                </c:pt>
                <c:pt idx="1641">
                  <c:v>1.23681</c:v>
                </c:pt>
                <c:pt idx="1642">
                  <c:v>1.22803</c:v>
                </c:pt>
                <c:pt idx="1643">
                  <c:v>1.2188600000000001</c:v>
                </c:pt>
                <c:pt idx="1644">
                  <c:v>1.22302</c:v>
                </c:pt>
                <c:pt idx="1645">
                  <c:v>1.25163</c:v>
                </c:pt>
                <c:pt idx="1646">
                  <c:v>1.2565500000000001</c:v>
                </c:pt>
                <c:pt idx="1647">
                  <c:v>1.2538</c:v>
                </c:pt>
                <c:pt idx="1648">
                  <c:v>1.26261</c:v>
                </c:pt>
                <c:pt idx="1649">
                  <c:v>1.2631600000000001</c:v>
                </c:pt>
                <c:pt idx="1650">
                  <c:v>1.2693099999999999</c:v>
                </c:pt>
                <c:pt idx="1651">
                  <c:v>1.2640400000000001</c:v>
                </c:pt>
                <c:pt idx="1652">
                  <c:v>1.2588699999999999</c:v>
                </c:pt>
                <c:pt idx="1653">
                  <c:v>1.2726500000000001</c:v>
                </c:pt>
                <c:pt idx="1654">
                  <c:v>1.2741400000000001</c:v>
                </c:pt>
                <c:pt idx="1655">
                  <c:v>1.2930999999999999</c:v>
                </c:pt>
                <c:pt idx="1656">
                  <c:v>1.2929600000000001</c:v>
                </c:pt>
                <c:pt idx="1657">
                  <c:v>1.2947200000000001</c:v>
                </c:pt>
                <c:pt idx="1658">
                  <c:v>1.28911</c:v>
                </c:pt>
                <c:pt idx="1659">
                  <c:v>1.27528</c:v>
                </c:pt>
                <c:pt idx="1660">
                  <c:v>1.2886500000000001</c:v>
                </c:pt>
                <c:pt idx="1661">
                  <c:v>1.2908599999999999</c:v>
                </c:pt>
                <c:pt idx="1662">
                  <c:v>1.2986500000000001</c:v>
                </c:pt>
                <c:pt idx="1663">
                  <c:v>1.3000100000000001</c:v>
                </c:pt>
                <c:pt idx="1664">
                  <c:v>1.2986800000000001</c:v>
                </c:pt>
                <c:pt idx="1665">
                  <c:v>1.3079499999999999</c:v>
                </c:pt>
                <c:pt idx="1666">
                  <c:v>1.30504</c:v>
                </c:pt>
                <c:pt idx="1667">
                  <c:v>1.3175300000000001</c:v>
                </c:pt>
                <c:pt idx="1668">
                  <c:v>1.3226</c:v>
                </c:pt>
                <c:pt idx="1669">
                  <c:v>1.31538</c:v>
                </c:pt>
                <c:pt idx="1670">
                  <c:v>1.3184100000000001</c:v>
                </c:pt>
                <c:pt idx="1671">
                  <c:v>1.3278099999999999</c:v>
                </c:pt>
                <c:pt idx="1672">
                  <c:v>1.3224199999999999</c:v>
                </c:pt>
                <c:pt idx="1673">
                  <c:v>1.31745</c:v>
                </c:pt>
                <c:pt idx="1674">
                  <c:v>1.28447</c:v>
                </c:pt>
                <c:pt idx="1675">
                  <c:v>1.2826900000000001</c:v>
                </c:pt>
                <c:pt idx="1676">
                  <c:v>1.2753099999999999</c:v>
                </c:pt>
                <c:pt idx="1677">
                  <c:v>1.2821899999999999</c:v>
                </c:pt>
                <c:pt idx="1678">
                  <c:v>1.2878700000000001</c:v>
                </c:pt>
                <c:pt idx="1679">
                  <c:v>1.28518</c:v>
                </c:pt>
                <c:pt idx="1680">
                  <c:v>1.28152</c:v>
                </c:pt>
                <c:pt idx="1681">
                  <c:v>1.27105</c:v>
                </c:pt>
                <c:pt idx="1682">
                  <c:v>1.26461</c:v>
                </c:pt>
                <c:pt idx="1683">
                  <c:v>1.2630699999999999</c:v>
                </c:pt>
                <c:pt idx="1684">
                  <c:v>1.2663</c:v>
                </c:pt>
                <c:pt idx="1685">
                  <c:v>1.2716099999999999</c:v>
                </c:pt>
                <c:pt idx="1686">
                  <c:v>1.27617</c:v>
                </c:pt>
                <c:pt idx="1687">
                  <c:v>1.26631</c:v>
                </c:pt>
                <c:pt idx="1688">
                  <c:v>1.2688900000000001</c:v>
                </c:pt>
                <c:pt idx="1689">
                  <c:v>1.28026</c:v>
                </c:pt>
                <c:pt idx="1690">
                  <c:v>1.28251</c:v>
                </c:pt>
                <c:pt idx="1691">
                  <c:v>1.2895099999999999</c:v>
                </c:pt>
                <c:pt idx="1692">
                  <c:v>1.2875000000000001</c:v>
                </c:pt>
                <c:pt idx="1693">
                  <c:v>1.2682100000000001</c:v>
                </c:pt>
                <c:pt idx="1694">
                  <c:v>1.27234</c:v>
                </c:pt>
                <c:pt idx="1695">
                  <c:v>1.2697000000000001</c:v>
                </c:pt>
                <c:pt idx="1696">
                  <c:v>1.2678400000000001</c:v>
                </c:pt>
                <c:pt idx="1697">
                  <c:v>1.2877099999999999</c:v>
                </c:pt>
                <c:pt idx="1698">
                  <c:v>1.2986599999999999</c:v>
                </c:pt>
                <c:pt idx="1699">
                  <c:v>1.30118</c:v>
                </c:pt>
                <c:pt idx="1700">
                  <c:v>1.30731</c:v>
                </c:pt>
                <c:pt idx="1701">
                  <c:v>1.30487</c:v>
                </c:pt>
                <c:pt idx="1702">
                  <c:v>1.3062100000000001</c:v>
                </c:pt>
                <c:pt idx="1703">
                  <c:v>1.32498</c:v>
                </c:pt>
                <c:pt idx="1704">
                  <c:v>1.3399099999999999</c:v>
                </c:pt>
                <c:pt idx="1705">
                  <c:v>1.3313299999999999</c:v>
                </c:pt>
                <c:pt idx="1706">
                  <c:v>1.3491899999999999</c:v>
                </c:pt>
                <c:pt idx="1707">
                  <c:v>1.3440799999999999</c:v>
                </c:pt>
                <c:pt idx="1708">
                  <c:v>1.35843</c:v>
                </c:pt>
                <c:pt idx="1709">
                  <c:v>1.36212</c:v>
                </c:pt>
                <c:pt idx="1710">
                  <c:v>1.36283</c:v>
                </c:pt>
                <c:pt idx="1711">
                  <c:v>1.379</c:v>
                </c:pt>
                <c:pt idx="1712">
                  <c:v>1.36741</c:v>
                </c:pt>
                <c:pt idx="1713">
                  <c:v>1.3833800000000001</c:v>
                </c:pt>
                <c:pt idx="1714">
                  <c:v>1.3925099999999999</c:v>
                </c:pt>
                <c:pt idx="1715">
                  <c:v>1.3913599999999999</c:v>
                </c:pt>
                <c:pt idx="1716">
                  <c:v>1.3928</c:v>
                </c:pt>
                <c:pt idx="1717">
                  <c:v>1.38812</c:v>
                </c:pt>
                <c:pt idx="1718">
                  <c:v>1.3915</c:v>
                </c:pt>
                <c:pt idx="1719">
                  <c:v>1.3959299999999999</c:v>
                </c:pt>
                <c:pt idx="1720">
                  <c:v>1.4079900000000001</c:v>
                </c:pt>
                <c:pt idx="1721">
                  <c:v>1.3976200000000001</c:v>
                </c:pt>
                <c:pt idx="1722">
                  <c:v>1.39483</c:v>
                </c:pt>
                <c:pt idx="1723">
                  <c:v>1.3741099999999999</c:v>
                </c:pt>
                <c:pt idx="1724">
                  <c:v>1.3957900000000001</c:v>
                </c:pt>
                <c:pt idx="1725">
                  <c:v>1.3924799999999999</c:v>
                </c:pt>
                <c:pt idx="1726">
                  <c:v>1.3952800000000001</c:v>
                </c:pt>
                <c:pt idx="1727">
                  <c:v>1.3953500000000001</c:v>
                </c:pt>
                <c:pt idx="1728">
                  <c:v>1.3862099999999999</c:v>
                </c:pt>
                <c:pt idx="1729">
                  <c:v>1.3773899999999999</c:v>
                </c:pt>
                <c:pt idx="1730">
                  <c:v>1.3928199999999999</c:v>
                </c:pt>
                <c:pt idx="1731">
                  <c:v>1.39459</c:v>
                </c:pt>
                <c:pt idx="1732">
                  <c:v>1.3897699999999999</c:v>
                </c:pt>
                <c:pt idx="1733">
                  <c:v>1.4031199999999999</c:v>
                </c:pt>
                <c:pt idx="1734">
                  <c:v>1.41248</c:v>
                </c:pt>
                <c:pt idx="1735">
                  <c:v>1.4212499999999999</c:v>
                </c:pt>
                <c:pt idx="1736">
                  <c:v>1.4031400000000001</c:v>
                </c:pt>
                <c:pt idx="1737">
                  <c:v>1.39123</c:v>
                </c:pt>
                <c:pt idx="1738">
                  <c:v>1.3763300000000001</c:v>
                </c:pt>
                <c:pt idx="1739">
                  <c:v>1.37791</c:v>
                </c:pt>
                <c:pt idx="1740">
                  <c:v>1.3661099999999999</c:v>
                </c:pt>
                <c:pt idx="1741">
                  <c:v>1.369</c:v>
                </c:pt>
                <c:pt idx="1742">
                  <c:v>1.35789</c:v>
                </c:pt>
                <c:pt idx="1743">
                  <c:v>1.3482099999999999</c:v>
                </c:pt>
                <c:pt idx="1744">
                  <c:v>1.35294</c:v>
                </c:pt>
                <c:pt idx="1745">
                  <c:v>1.3642700000000001</c:v>
                </c:pt>
                <c:pt idx="1746">
                  <c:v>1.3671800000000001</c:v>
                </c:pt>
                <c:pt idx="1747">
                  <c:v>1.36236</c:v>
                </c:pt>
                <c:pt idx="1748">
                  <c:v>1.33802</c:v>
                </c:pt>
                <c:pt idx="1749">
                  <c:v>1.3336399999999999</c:v>
                </c:pt>
                <c:pt idx="1750">
                  <c:v>1.33443</c:v>
                </c:pt>
                <c:pt idx="1751">
                  <c:v>1.32402</c:v>
                </c:pt>
                <c:pt idx="1752">
                  <c:v>1.3106100000000001</c:v>
                </c:pt>
                <c:pt idx="1753">
                  <c:v>1.2981100000000001</c:v>
                </c:pt>
                <c:pt idx="1754">
                  <c:v>1.31254</c:v>
                </c:pt>
                <c:pt idx="1755">
                  <c:v>1.3214900000000001</c:v>
                </c:pt>
                <c:pt idx="1756">
                  <c:v>1.3413600000000001</c:v>
                </c:pt>
                <c:pt idx="1757">
                  <c:v>1.3308800000000001</c:v>
                </c:pt>
                <c:pt idx="1758">
                  <c:v>1.3265199999999999</c:v>
                </c:pt>
                <c:pt idx="1759">
                  <c:v>1.3262700000000001</c:v>
                </c:pt>
                <c:pt idx="1760">
                  <c:v>1.32365</c:v>
                </c:pt>
                <c:pt idx="1761">
                  <c:v>1.3226199999999999</c:v>
                </c:pt>
                <c:pt idx="1762">
                  <c:v>1.3386400000000001</c:v>
                </c:pt>
                <c:pt idx="1763">
                  <c:v>1.33789</c:v>
                </c:pt>
                <c:pt idx="1764">
                  <c:v>1.32203</c:v>
                </c:pt>
                <c:pt idx="1765">
                  <c:v>1.32396</c:v>
                </c:pt>
                <c:pt idx="1766">
                  <c:v>1.31873</c:v>
                </c:pt>
                <c:pt idx="1767">
                  <c:v>1.3119700000000001</c:v>
                </c:pt>
                <c:pt idx="1768">
                  <c:v>1.30993</c:v>
                </c:pt>
                <c:pt idx="1769">
                  <c:v>1.3103100000000001</c:v>
                </c:pt>
                <c:pt idx="1770">
                  <c:v>1.3109900000000001</c:v>
                </c:pt>
                <c:pt idx="1771">
                  <c:v>1.31209</c:v>
                </c:pt>
                <c:pt idx="1772">
                  <c:v>1.3162100000000001</c:v>
                </c:pt>
                <c:pt idx="1773">
                  <c:v>1.31091</c:v>
                </c:pt>
                <c:pt idx="1774">
                  <c:v>1.3217300000000001</c:v>
                </c:pt>
                <c:pt idx="1775">
                  <c:v>1.32901</c:v>
                </c:pt>
                <c:pt idx="1776">
                  <c:v>1.33836</c:v>
                </c:pt>
                <c:pt idx="1777">
                  <c:v>1.3349899999999999</c:v>
                </c:pt>
                <c:pt idx="1778">
                  <c:v>1.33104</c:v>
                </c:pt>
                <c:pt idx="1779">
                  <c:v>1.3148500000000001</c:v>
                </c:pt>
                <c:pt idx="1780">
                  <c:v>1.3002199999999999</c:v>
                </c:pt>
                <c:pt idx="1781">
                  <c:v>1.2905500000000001</c:v>
                </c:pt>
                <c:pt idx="1782">
                  <c:v>1.29451</c:v>
                </c:pt>
                <c:pt idx="1783">
                  <c:v>1.29731</c:v>
                </c:pt>
                <c:pt idx="1784">
                  <c:v>1.3128</c:v>
                </c:pt>
                <c:pt idx="1785">
                  <c:v>1.33477</c:v>
                </c:pt>
                <c:pt idx="1786">
                  <c:v>1.3387500000000001</c:v>
                </c:pt>
                <c:pt idx="1787">
                  <c:v>1.32758</c:v>
                </c:pt>
                <c:pt idx="1788">
                  <c:v>1.3385100000000001</c:v>
                </c:pt>
                <c:pt idx="1789">
                  <c:v>1.3455699999999999</c:v>
                </c:pt>
                <c:pt idx="1790">
                  <c:v>1.3463799999999999</c:v>
                </c:pt>
                <c:pt idx="1791">
                  <c:v>1.3619600000000001</c:v>
                </c:pt>
                <c:pt idx="1792">
                  <c:v>1.3640099999999999</c:v>
                </c:pt>
                <c:pt idx="1793">
                  <c:v>1.3680099999999999</c:v>
                </c:pt>
                <c:pt idx="1794">
                  <c:v>1.3697600000000001</c:v>
                </c:pt>
                <c:pt idx="1795">
                  <c:v>1.3727799999999999</c:v>
                </c:pt>
                <c:pt idx="1796">
                  <c:v>1.3610199999999999</c:v>
                </c:pt>
                <c:pt idx="1797">
                  <c:v>1.3690800000000001</c:v>
                </c:pt>
                <c:pt idx="1798">
                  <c:v>1.3823799999999999</c:v>
                </c:pt>
                <c:pt idx="1799">
                  <c:v>1.38045</c:v>
                </c:pt>
                <c:pt idx="1800">
                  <c:v>1.3625100000000001</c:v>
                </c:pt>
                <c:pt idx="1801">
                  <c:v>1.3580000000000001</c:v>
                </c:pt>
                <c:pt idx="1802">
                  <c:v>1.3577399999999999</c:v>
                </c:pt>
                <c:pt idx="1803">
                  <c:v>1.36277</c:v>
                </c:pt>
                <c:pt idx="1804">
                  <c:v>1.3723700000000001</c:v>
                </c:pt>
                <c:pt idx="1805">
                  <c:v>1.3593599999999999</c:v>
                </c:pt>
                <c:pt idx="1806">
                  <c:v>1.3551299999999999</c:v>
                </c:pt>
                <c:pt idx="1807">
                  <c:v>1.3488500000000001</c:v>
                </c:pt>
                <c:pt idx="1808">
                  <c:v>1.3485100000000001</c:v>
                </c:pt>
                <c:pt idx="1809">
                  <c:v>1.3560099999999999</c:v>
                </c:pt>
                <c:pt idx="1810">
                  <c:v>1.3605100000000001</c:v>
                </c:pt>
                <c:pt idx="1811">
                  <c:v>1.3692299999999999</c:v>
                </c:pt>
                <c:pt idx="1812">
                  <c:v>1.3674599999999999</c:v>
                </c:pt>
                <c:pt idx="1813">
                  <c:v>1.3653999999999999</c:v>
                </c:pt>
                <c:pt idx="1814">
                  <c:v>1.3749100000000001</c:v>
                </c:pt>
                <c:pt idx="1815">
                  <c:v>1.3801699999999999</c:v>
                </c:pt>
                <c:pt idx="1816">
                  <c:v>1.37523</c:v>
                </c:pt>
                <c:pt idx="1817">
                  <c:v>1.3808800000000001</c:v>
                </c:pt>
                <c:pt idx="1818">
                  <c:v>1.3774999999999999</c:v>
                </c:pt>
                <c:pt idx="1819">
                  <c:v>1.3863300000000001</c:v>
                </c:pt>
                <c:pt idx="1820">
                  <c:v>1.3959600000000001</c:v>
                </c:pt>
                <c:pt idx="1821">
                  <c:v>1.39863</c:v>
                </c:pt>
                <c:pt idx="1822">
                  <c:v>1.39682</c:v>
                </c:pt>
                <c:pt idx="1823">
                  <c:v>1.3902300000000001</c:v>
                </c:pt>
                <c:pt idx="1824">
                  <c:v>1.39045</c:v>
                </c:pt>
                <c:pt idx="1825">
                  <c:v>1.37999</c:v>
                </c:pt>
                <c:pt idx="1826">
                  <c:v>1.3901600000000001</c:v>
                </c:pt>
                <c:pt idx="1827">
                  <c:v>1.3993500000000001</c:v>
                </c:pt>
                <c:pt idx="1828">
                  <c:v>1.39714</c:v>
                </c:pt>
                <c:pt idx="1829">
                  <c:v>1.3912100000000001</c:v>
                </c:pt>
                <c:pt idx="1830">
                  <c:v>1.4015200000000001</c:v>
                </c:pt>
                <c:pt idx="1831">
                  <c:v>1.4179299999999999</c:v>
                </c:pt>
                <c:pt idx="1832">
                  <c:v>1.4213800000000001</c:v>
                </c:pt>
                <c:pt idx="1833">
                  <c:v>1.4188400000000001</c:v>
                </c:pt>
                <c:pt idx="1834">
                  <c:v>1.40988</c:v>
                </c:pt>
                <c:pt idx="1835">
                  <c:v>1.4180200000000001</c:v>
                </c:pt>
                <c:pt idx="1836">
                  <c:v>1.4086799999999999</c:v>
                </c:pt>
                <c:pt idx="1837">
                  <c:v>1.4081900000000001</c:v>
                </c:pt>
                <c:pt idx="1838">
                  <c:v>1.4108400000000001</c:v>
                </c:pt>
                <c:pt idx="1839">
                  <c:v>1.4125300000000001</c:v>
                </c:pt>
                <c:pt idx="1840">
                  <c:v>1.41736</c:v>
                </c:pt>
                <c:pt idx="1841">
                  <c:v>1.42344</c:v>
                </c:pt>
                <c:pt idx="1842">
                  <c:v>1.42177</c:v>
                </c:pt>
                <c:pt idx="1843">
                  <c:v>1.4218299999999999</c:v>
                </c:pt>
                <c:pt idx="1844">
                  <c:v>1.43299</c:v>
                </c:pt>
                <c:pt idx="1845">
                  <c:v>1.4303699999999999</c:v>
                </c:pt>
                <c:pt idx="1846">
                  <c:v>1.4482299999999999</c:v>
                </c:pt>
                <c:pt idx="1847">
                  <c:v>1.44313</c:v>
                </c:pt>
                <c:pt idx="1848">
                  <c:v>1.44774</c:v>
                </c:pt>
                <c:pt idx="1849">
                  <c:v>1.44404</c:v>
                </c:pt>
                <c:pt idx="1850">
                  <c:v>1.4486000000000001</c:v>
                </c:pt>
                <c:pt idx="1851">
                  <c:v>1.44285</c:v>
                </c:pt>
                <c:pt idx="1852">
                  <c:v>1.4227300000000001</c:v>
                </c:pt>
                <c:pt idx="1853">
                  <c:v>1.4330700000000001</c:v>
                </c:pt>
                <c:pt idx="1854">
                  <c:v>1.45211</c:v>
                </c:pt>
                <c:pt idx="1855">
                  <c:v>1.4550099999999999</c:v>
                </c:pt>
                <c:pt idx="1856">
                  <c:v>1.45597</c:v>
                </c:pt>
                <c:pt idx="1857">
                  <c:v>1.45784</c:v>
                </c:pt>
                <c:pt idx="1858">
                  <c:v>1.4646699999999999</c:v>
                </c:pt>
                <c:pt idx="1859">
                  <c:v>1.4771099999999999</c:v>
                </c:pt>
                <c:pt idx="1860">
                  <c:v>1.4823200000000001</c:v>
                </c:pt>
                <c:pt idx="1861">
                  <c:v>1.48062</c:v>
                </c:pt>
                <c:pt idx="1862">
                  <c:v>1.4821800000000001</c:v>
                </c:pt>
                <c:pt idx="1863">
                  <c:v>1.4820500000000001</c:v>
                </c:pt>
                <c:pt idx="1864">
                  <c:v>1.48285</c:v>
                </c:pt>
                <c:pt idx="1865">
                  <c:v>1.4540900000000001</c:v>
                </c:pt>
                <c:pt idx="1866">
                  <c:v>1.4314899999999999</c:v>
                </c:pt>
                <c:pt idx="1867">
                  <c:v>1.43567</c:v>
                </c:pt>
                <c:pt idx="1868">
                  <c:v>1.4410099999999999</c:v>
                </c:pt>
                <c:pt idx="1869">
                  <c:v>1.41997</c:v>
                </c:pt>
                <c:pt idx="1870">
                  <c:v>1.4240200000000001</c:v>
                </c:pt>
                <c:pt idx="1871">
                  <c:v>1.4117</c:v>
                </c:pt>
                <c:pt idx="1872">
                  <c:v>1.41604</c:v>
                </c:pt>
                <c:pt idx="1873">
                  <c:v>1.42354</c:v>
                </c:pt>
                <c:pt idx="1874">
                  <c:v>1.4250400000000001</c:v>
                </c:pt>
                <c:pt idx="1875">
                  <c:v>1.4308000000000001</c:v>
                </c:pt>
                <c:pt idx="1876">
                  <c:v>1.4157299999999999</c:v>
                </c:pt>
                <c:pt idx="1877">
                  <c:v>1.40465</c:v>
                </c:pt>
                <c:pt idx="1878">
                  <c:v>1.41022</c:v>
                </c:pt>
                <c:pt idx="1879">
                  <c:v>1.4081399999999999</c:v>
                </c:pt>
                <c:pt idx="1880">
                  <c:v>1.41347</c:v>
                </c:pt>
                <c:pt idx="1881">
                  <c:v>1.4317299999999999</c:v>
                </c:pt>
                <c:pt idx="1882">
                  <c:v>1.4285699999999999</c:v>
                </c:pt>
                <c:pt idx="1883">
                  <c:v>1.4394499999999999</c:v>
                </c:pt>
                <c:pt idx="1884">
                  <c:v>1.4329400000000001</c:v>
                </c:pt>
                <c:pt idx="1885">
                  <c:v>1.44906</c:v>
                </c:pt>
                <c:pt idx="1886">
                  <c:v>1.4632700000000001</c:v>
                </c:pt>
                <c:pt idx="1887">
                  <c:v>1.45777</c:v>
                </c:pt>
                <c:pt idx="1888">
                  <c:v>1.46871</c:v>
                </c:pt>
                <c:pt idx="1889">
                  <c:v>1.4577500000000001</c:v>
                </c:pt>
                <c:pt idx="1890">
                  <c:v>1.4511799999999999</c:v>
                </c:pt>
                <c:pt idx="1891">
                  <c:v>1.43458</c:v>
                </c:pt>
                <c:pt idx="1892">
                  <c:v>1.44157</c:v>
                </c:pt>
                <c:pt idx="1893">
                  <c:v>1.44425</c:v>
                </c:pt>
                <c:pt idx="1894">
                  <c:v>1.41622</c:v>
                </c:pt>
                <c:pt idx="1895">
                  <c:v>1.4214899999999999</c:v>
                </c:pt>
                <c:pt idx="1896">
                  <c:v>1.42858</c:v>
                </c:pt>
                <c:pt idx="1897">
                  <c:v>1.4307799999999999</c:v>
                </c:pt>
                <c:pt idx="1898">
                  <c:v>1.43977</c:v>
                </c:pt>
                <c:pt idx="1899">
                  <c:v>1.4335</c:v>
                </c:pt>
                <c:pt idx="1900">
                  <c:v>1.4263399999999999</c:v>
                </c:pt>
                <c:pt idx="1901">
                  <c:v>1.41865</c:v>
                </c:pt>
                <c:pt idx="1902">
                  <c:v>1.42872</c:v>
                </c:pt>
                <c:pt idx="1903">
                  <c:v>1.43672</c:v>
                </c:pt>
                <c:pt idx="1904">
                  <c:v>1.4434199999999999</c:v>
                </c:pt>
                <c:pt idx="1905">
                  <c:v>1.44906</c:v>
                </c:pt>
                <c:pt idx="1906">
                  <c:v>1.4524600000000001</c:v>
                </c:pt>
                <c:pt idx="1907">
                  <c:v>1.4538800000000001</c:v>
                </c:pt>
                <c:pt idx="1908">
                  <c:v>1.44231</c:v>
                </c:pt>
                <c:pt idx="1909">
                  <c:v>1.4315800000000001</c:v>
                </c:pt>
                <c:pt idx="1910">
                  <c:v>1.43577</c:v>
                </c:pt>
                <c:pt idx="1911">
                  <c:v>1.42632</c:v>
                </c:pt>
                <c:pt idx="1912">
                  <c:v>1.40469</c:v>
                </c:pt>
                <c:pt idx="1913">
                  <c:v>1.3971</c:v>
                </c:pt>
                <c:pt idx="1914">
                  <c:v>1.4238</c:v>
                </c:pt>
                <c:pt idx="1915">
                  <c:v>1.4145399999999999</c:v>
                </c:pt>
                <c:pt idx="1916">
                  <c:v>1.4156599999999999</c:v>
                </c:pt>
                <c:pt idx="1917">
                  <c:v>1.41035</c:v>
                </c:pt>
                <c:pt idx="1918">
                  <c:v>1.41537</c:v>
                </c:pt>
                <c:pt idx="1919">
                  <c:v>1.42208</c:v>
                </c:pt>
                <c:pt idx="1920">
                  <c:v>1.4419299999999999</c:v>
                </c:pt>
                <c:pt idx="1921">
                  <c:v>1.4358</c:v>
                </c:pt>
                <c:pt idx="1922">
                  <c:v>1.4377200000000001</c:v>
                </c:pt>
                <c:pt idx="1923">
                  <c:v>1.45137</c:v>
                </c:pt>
                <c:pt idx="1924">
                  <c:v>1.4367399999999999</c:v>
                </c:pt>
                <c:pt idx="1925">
                  <c:v>1.4327300000000001</c:v>
                </c:pt>
                <c:pt idx="1926">
                  <c:v>1.4394499999999999</c:v>
                </c:pt>
                <c:pt idx="1927">
                  <c:v>1.42533</c:v>
                </c:pt>
                <c:pt idx="1928">
                  <c:v>1.41919</c:v>
                </c:pt>
                <c:pt idx="1929">
                  <c:v>1.4362999999999999</c:v>
                </c:pt>
                <c:pt idx="1930">
                  <c:v>1.4092</c:v>
                </c:pt>
                <c:pt idx="1931">
                  <c:v>1.42804</c:v>
                </c:pt>
                <c:pt idx="1932">
                  <c:v>1.41628</c:v>
                </c:pt>
                <c:pt idx="1933">
                  <c:v>1.4391</c:v>
                </c:pt>
                <c:pt idx="1934">
                  <c:v>1.41615</c:v>
                </c:pt>
                <c:pt idx="1935">
                  <c:v>1.42353</c:v>
                </c:pt>
                <c:pt idx="1936">
                  <c:v>1.42479</c:v>
                </c:pt>
                <c:pt idx="1937">
                  <c:v>1.44482</c:v>
                </c:pt>
                <c:pt idx="1938">
                  <c:v>1.43988</c:v>
                </c:pt>
                <c:pt idx="1939">
                  <c:v>1.4424999999999999</c:v>
                </c:pt>
                <c:pt idx="1940">
                  <c:v>1.4322299999999999</c:v>
                </c:pt>
                <c:pt idx="1941">
                  <c:v>1.4395</c:v>
                </c:pt>
                <c:pt idx="1942">
                  <c:v>1.43571</c:v>
                </c:pt>
                <c:pt idx="1943">
                  <c:v>1.44346</c:v>
                </c:pt>
                <c:pt idx="1944">
                  <c:v>1.4408099999999999</c:v>
                </c:pt>
                <c:pt idx="1945">
                  <c:v>1.43709</c:v>
                </c:pt>
                <c:pt idx="1946">
                  <c:v>1.44984</c:v>
                </c:pt>
                <c:pt idx="1947">
                  <c:v>1.45228</c:v>
                </c:pt>
                <c:pt idx="1948">
                  <c:v>1.4430799999999999</c:v>
                </c:pt>
                <c:pt idx="1949">
                  <c:v>1.4372499999999999</c:v>
                </c:pt>
                <c:pt idx="1950">
                  <c:v>1.42615</c:v>
                </c:pt>
                <c:pt idx="1951">
                  <c:v>1.4203699999999999</c:v>
                </c:pt>
                <c:pt idx="1952">
                  <c:v>1.4063600000000001</c:v>
                </c:pt>
                <c:pt idx="1953">
                  <c:v>1.4000999999999999</c:v>
                </c:pt>
                <c:pt idx="1954">
                  <c:v>1.40838</c:v>
                </c:pt>
                <c:pt idx="1955">
                  <c:v>1.39015</c:v>
                </c:pt>
                <c:pt idx="1956">
                  <c:v>1.3653200000000001</c:v>
                </c:pt>
                <c:pt idx="1957">
                  <c:v>1.3660399999999999</c:v>
                </c:pt>
                <c:pt idx="1958">
                  <c:v>1.36782</c:v>
                </c:pt>
                <c:pt idx="1959">
                  <c:v>1.3740600000000001</c:v>
                </c:pt>
                <c:pt idx="1960">
                  <c:v>1.3880999999999999</c:v>
                </c:pt>
                <c:pt idx="1961">
                  <c:v>1.37941</c:v>
                </c:pt>
                <c:pt idx="1962">
                  <c:v>1.3674200000000001</c:v>
                </c:pt>
                <c:pt idx="1963">
                  <c:v>1.3700699999999999</c:v>
                </c:pt>
                <c:pt idx="1964">
                  <c:v>1.3587100000000001</c:v>
                </c:pt>
                <c:pt idx="1965">
                  <c:v>1.3454900000000001</c:v>
                </c:pt>
                <c:pt idx="1966">
                  <c:v>1.3497399999999999</c:v>
                </c:pt>
                <c:pt idx="1967">
                  <c:v>1.3526800000000001</c:v>
                </c:pt>
                <c:pt idx="1968">
                  <c:v>1.35849</c:v>
                </c:pt>
                <c:pt idx="1969">
                  <c:v>1.3524499999999999</c:v>
                </c:pt>
                <c:pt idx="1970">
                  <c:v>1.3582399999999999</c:v>
                </c:pt>
                <c:pt idx="1971">
                  <c:v>1.33846</c:v>
                </c:pt>
                <c:pt idx="1972">
                  <c:v>1.3189900000000001</c:v>
                </c:pt>
                <c:pt idx="1973">
                  <c:v>1.33365</c:v>
                </c:pt>
                <c:pt idx="1974">
                  <c:v>1.3347199999999999</c:v>
                </c:pt>
                <c:pt idx="1975">
                  <c:v>1.34274</c:v>
                </c:pt>
                <c:pt idx="1976">
                  <c:v>1.33755</c:v>
                </c:pt>
                <c:pt idx="1977">
                  <c:v>1.3634900000000001</c:v>
                </c:pt>
                <c:pt idx="1978">
                  <c:v>1.3648899999999999</c:v>
                </c:pt>
                <c:pt idx="1979">
                  <c:v>1.3775900000000001</c:v>
                </c:pt>
                <c:pt idx="1980">
                  <c:v>1.3771599999999999</c:v>
                </c:pt>
                <c:pt idx="1981">
                  <c:v>1.3877999999999999</c:v>
                </c:pt>
                <c:pt idx="1982">
                  <c:v>1.3734599999999999</c:v>
                </c:pt>
                <c:pt idx="1983">
                  <c:v>1.37331</c:v>
                </c:pt>
                <c:pt idx="1984">
                  <c:v>1.3757900000000001</c:v>
                </c:pt>
                <c:pt idx="1985">
                  <c:v>1.3775900000000001</c:v>
                </c:pt>
                <c:pt idx="1986">
                  <c:v>1.38917</c:v>
                </c:pt>
                <c:pt idx="1987">
                  <c:v>1.39314</c:v>
                </c:pt>
                <c:pt idx="1988">
                  <c:v>1.39079</c:v>
                </c:pt>
                <c:pt idx="1989">
                  <c:v>1.38941</c:v>
                </c:pt>
                <c:pt idx="1990">
                  <c:v>1.4184399999999999</c:v>
                </c:pt>
                <c:pt idx="1991">
                  <c:v>1.4145300000000001</c:v>
                </c:pt>
                <c:pt idx="1992">
                  <c:v>1.3859399999999999</c:v>
                </c:pt>
                <c:pt idx="1993">
                  <c:v>1.3695999999999999</c:v>
                </c:pt>
                <c:pt idx="1994">
                  <c:v>1.37473</c:v>
                </c:pt>
                <c:pt idx="1995">
                  <c:v>1.3812800000000001</c:v>
                </c:pt>
                <c:pt idx="1996">
                  <c:v>1.3789800000000001</c:v>
                </c:pt>
                <c:pt idx="1997">
                  <c:v>1.37643</c:v>
                </c:pt>
                <c:pt idx="1998">
                  <c:v>1.38287</c:v>
                </c:pt>
                <c:pt idx="1999">
                  <c:v>1.3522700000000001</c:v>
                </c:pt>
                <c:pt idx="2000">
                  <c:v>1.3608199999999999</c:v>
                </c:pt>
                <c:pt idx="2001">
                  <c:v>1.3767199999999999</c:v>
                </c:pt>
                <c:pt idx="2002">
                  <c:v>1.3621000000000001</c:v>
                </c:pt>
                <c:pt idx="2003">
                  <c:v>1.3525199999999999</c:v>
                </c:pt>
                <c:pt idx="2004">
                  <c:v>1.3454699999999999</c:v>
                </c:pt>
                <c:pt idx="2005">
                  <c:v>1.3468800000000001</c:v>
                </c:pt>
                <c:pt idx="2006">
                  <c:v>1.35222</c:v>
                </c:pt>
                <c:pt idx="2007">
                  <c:v>1.3485499999999999</c:v>
                </c:pt>
                <c:pt idx="2008">
                  <c:v>1.3515699999999999</c:v>
                </c:pt>
                <c:pt idx="2009">
                  <c:v>1.33464</c:v>
                </c:pt>
                <c:pt idx="2010">
                  <c:v>1.3340000000000001</c:v>
                </c:pt>
                <c:pt idx="2011">
                  <c:v>1.32375</c:v>
                </c:pt>
                <c:pt idx="2012">
                  <c:v>1.33121</c:v>
                </c:pt>
                <c:pt idx="2013">
                  <c:v>1.33321</c:v>
                </c:pt>
                <c:pt idx="2014">
                  <c:v>1.34392</c:v>
                </c:pt>
                <c:pt idx="2015">
                  <c:v>1.34599</c:v>
                </c:pt>
                <c:pt idx="2016">
                  <c:v>1.3389800000000001</c:v>
                </c:pt>
                <c:pt idx="2017">
                  <c:v>1.3394299999999999</c:v>
                </c:pt>
                <c:pt idx="2018">
                  <c:v>1.3402099999999999</c:v>
                </c:pt>
                <c:pt idx="2019">
                  <c:v>1.34158</c:v>
                </c:pt>
                <c:pt idx="2020">
                  <c:v>1.33433</c:v>
                </c:pt>
                <c:pt idx="2021">
                  <c:v>1.3384199999999999</c:v>
                </c:pt>
                <c:pt idx="2022">
                  <c:v>1.3166500000000001</c:v>
                </c:pt>
                <c:pt idx="2023">
                  <c:v>1.30335</c:v>
                </c:pt>
                <c:pt idx="2024">
                  <c:v>1.2982899999999999</c:v>
                </c:pt>
                <c:pt idx="2025">
                  <c:v>1.3019700000000001</c:v>
                </c:pt>
                <c:pt idx="2026">
                  <c:v>1.30419</c:v>
                </c:pt>
                <c:pt idx="2027">
                  <c:v>1.2996099999999999</c:v>
                </c:pt>
                <c:pt idx="2028">
                  <c:v>1.3080499999999999</c:v>
                </c:pt>
                <c:pt idx="2029">
                  <c:v>1.3043800000000001</c:v>
                </c:pt>
                <c:pt idx="2030">
                  <c:v>1.30507</c:v>
                </c:pt>
                <c:pt idx="2031">
                  <c:v>1.3045100000000001</c:v>
                </c:pt>
                <c:pt idx="2032">
                  <c:v>1.3053999999999999</c:v>
                </c:pt>
                <c:pt idx="2033">
                  <c:v>1.3067599999999999</c:v>
                </c:pt>
                <c:pt idx="2034">
                  <c:v>1.29362</c:v>
                </c:pt>
                <c:pt idx="2035">
                  <c:v>1.29505</c:v>
                </c:pt>
                <c:pt idx="2036">
                  <c:v>1.2946</c:v>
                </c:pt>
                <c:pt idx="2037">
                  <c:v>1.29338</c:v>
                </c:pt>
                <c:pt idx="2038">
                  <c:v>1.3050900000000001</c:v>
                </c:pt>
                <c:pt idx="2039">
                  <c:v>1.2936099999999999</c:v>
                </c:pt>
                <c:pt idx="2040">
                  <c:v>1.27904</c:v>
                </c:pt>
                <c:pt idx="2041">
                  <c:v>1.2718799999999999</c:v>
                </c:pt>
                <c:pt idx="2042">
                  <c:v>1.2768600000000001</c:v>
                </c:pt>
                <c:pt idx="2043">
                  <c:v>1.27708</c:v>
                </c:pt>
                <c:pt idx="2044">
                  <c:v>1.27075</c:v>
                </c:pt>
                <c:pt idx="2045">
                  <c:v>1.2813600000000001</c:v>
                </c:pt>
                <c:pt idx="2046">
                  <c:v>1.2675399999999999</c:v>
                </c:pt>
                <c:pt idx="2047">
                  <c:v>1.2649999999999999</c:v>
                </c:pt>
                <c:pt idx="2048">
                  <c:v>1.2740100000000001</c:v>
                </c:pt>
                <c:pt idx="2049">
                  <c:v>1.2853000000000001</c:v>
                </c:pt>
                <c:pt idx="2050">
                  <c:v>1.2966599999999999</c:v>
                </c:pt>
                <c:pt idx="2051">
                  <c:v>1.29298</c:v>
                </c:pt>
                <c:pt idx="2052">
                  <c:v>1.3012999999999999</c:v>
                </c:pt>
                <c:pt idx="2053">
                  <c:v>1.3030299999999999</c:v>
                </c:pt>
                <c:pt idx="2054">
                  <c:v>1.3098700000000001</c:v>
                </c:pt>
                <c:pt idx="2055">
                  <c:v>1.3104499999999999</c:v>
                </c:pt>
                <c:pt idx="2056">
                  <c:v>1.32189</c:v>
                </c:pt>
                <c:pt idx="2057">
                  <c:v>1.31403</c:v>
                </c:pt>
                <c:pt idx="2058">
                  <c:v>1.3087899999999999</c:v>
                </c:pt>
                <c:pt idx="2059">
                  <c:v>1.31698</c:v>
                </c:pt>
                <c:pt idx="2060">
                  <c:v>1.31446</c:v>
                </c:pt>
                <c:pt idx="2061">
                  <c:v>1.3156099999999999</c:v>
                </c:pt>
                <c:pt idx="2062">
                  <c:v>1.3123</c:v>
                </c:pt>
                <c:pt idx="2063">
                  <c:v>1.32613</c:v>
                </c:pt>
                <c:pt idx="2064">
                  <c:v>1.32508</c:v>
                </c:pt>
                <c:pt idx="2065">
                  <c:v>1.32847</c:v>
                </c:pt>
                <c:pt idx="2066">
                  <c:v>1.3195699999999999</c:v>
                </c:pt>
                <c:pt idx="2067">
                  <c:v>1.31731</c:v>
                </c:pt>
                <c:pt idx="2068">
                  <c:v>1.3127800000000001</c:v>
                </c:pt>
                <c:pt idx="2069">
                  <c:v>1.30592</c:v>
                </c:pt>
                <c:pt idx="2070">
                  <c:v>1.3130299999999999</c:v>
                </c:pt>
                <c:pt idx="2071">
                  <c:v>1.3141799999999999</c:v>
                </c:pt>
                <c:pt idx="2072">
                  <c:v>1.3233200000000001</c:v>
                </c:pt>
                <c:pt idx="2073">
                  <c:v>1.3231999999999999</c:v>
                </c:pt>
                <c:pt idx="2074">
                  <c:v>1.3247599999999999</c:v>
                </c:pt>
                <c:pt idx="2075">
                  <c:v>1.33738</c:v>
                </c:pt>
                <c:pt idx="2076">
                  <c:v>1.3447800000000001</c:v>
                </c:pt>
                <c:pt idx="2077">
                  <c:v>1.3393900000000001</c:v>
                </c:pt>
                <c:pt idx="2078">
                  <c:v>1.3458300000000001</c:v>
                </c:pt>
                <c:pt idx="2079">
                  <c:v>1.3323199999999999</c:v>
                </c:pt>
                <c:pt idx="2080">
                  <c:v>1.33161</c:v>
                </c:pt>
                <c:pt idx="2081">
                  <c:v>1.31979</c:v>
                </c:pt>
                <c:pt idx="2082">
                  <c:v>1.32158</c:v>
                </c:pt>
                <c:pt idx="2083">
                  <c:v>1.31134</c:v>
                </c:pt>
                <c:pt idx="2084">
                  <c:v>1.3150299999999999</c:v>
                </c:pt>
                <c:pt idx="2085">
                  <c:v>1.3275999999999999</c:v>
                </c:pt>
                <c:pt idx="2086">
                  <c:v>1.3122100000000001</c:v>
                </c:pt>
                <c:pt idx="2087">
                  <c:v>1.3154699999999999</c:v>
                </c:pt>
                <c:pt idx="2088">
                  <c:v>1.30816</c:v>
                </c:pt>
                <c:pt idx="2089">
                  <c:v>1.3029900000000001</c:v>
                </c:pt>
                <c:pt idx="2090">
                  <c:v>1.30715</c:v>
                </c:pt>
                <c:pt idx="2091">
                  <c:v>1.31735</c:v>
                </c:pt>
                <c:pt idx="2092">
                  <c:v>1.32345</c:v>
                </c:pt>
                <c:pt idx="2093">
                  <c:v>1.3229</c:v>
                </c:pt>
                <c:pt idx="2094">
                  <c:v>1.32121</c:v>
                </c:pt>
                <c:pt idx="2095">
                  <c:v>1.3198000000000001</c:v>
                </c:pt>
                <c:pt idx="2096">
                  <c:v>1.3269</c:v>
                </c:pt>
                <c:pt idx="2097">
                  <c:v>1.33561</c:v>
                </c:pt>
                <c:pt idx="2098">
                  <c:v>1.3318099999999999</c:v>
                </c:pt>
                <c:pt idx="2099">
                  <c:v>1.3314600000000001</c:v>
                </c:pt>
                <c:pt idx="2100">
                  <c:v>1.3298700000000001</c:v>
                </c:pt>
                <c:pt idx="2101">
                  <c:v>1.3340799999999999</c:v>
                </c:pt>
                <c:pt idx="2102">
                  <c:v>1.3316699999999999</c:v>
                </c:pt>
                <c:pt idx="2103">
                  <c:v>1.3234699999999999</c:v>
                </c:pt>
                <c:pt idx="2104">
                  <c:v>1.31393</c:v>
                </c:pt>
                <c:pt idx="2105">
                  <c:v>1.3063499999999999</c:v>
                </c:pt>
                <c:pt idx="2106">
                  <c:v>1.30911</c:v>
                </c:pt>
                <c:pt idx="2107">
                  <c:v>1.31088</c:v>
                </c:pt>
                <c:pt idx="2108">
                  <c:v>1.3081499999999999</c:v>
                </c:pt>
                <c:pt idx="2109">
                  <c:v>1.3109599999999999</c:v>
                </c:pt>
                <c:pt idx="2110">
                  <c:v>1.31864</c:v>
                </c:pt>
                <c:pt idx="2111">
                  <c:v>1.3076399999999999</c:v>
                </c:pt>
                <c:pt idx="2112">
                  <c:v>1.3131299999999999</c:v>
                </c:pt>
                <c:pt idx="2113">
                  <c:v>1.31271</c:v>
                </c:pt>
                <c:pt idx="2114">
                  <c:v>1.3118099999999999</c:v>
                </c:pt>
                <c:pt idx="2115">
                  <c:v>1.3134300000000001</c:v>
                </c:pt>
                <c:pt idx="2116">
                  <c:v>1.3217000000000001</c:v>
                </c:pt>
                <c:pt idx="2117">
                  <c:v>1.3155399999999999</c:v>
                </c:pt>
                <c:pt idx="2118">
                  <c:v>1.3194399999999999</c:v>
                </c:pt>
                <c:pt idx="2119">
                  <c:v>1.3222400000000001</c:v>
                </c:pt>
                <c:pt idx="2120">
                  <c:v>1.3191900000000001</c:v>
                </c:pt>
                <c:pt idx="2121">
                  <c:v>1.32514</c:v>
                </c:pt>
                <c:pt idx="2122">
                  <c:v>1.3241700000000001</c:v>
                </c:pt>
                <c:pt idx="2123">
                  <c:v>1.32378</c:v>
                </c:pt>
                <c:pt idx="2124">
                  <c:v>1.31538</c:v>
                </c:pt>
                <c:pt idx="2125">
                  <c:v>1.3151299999999999</c:v>
                </c:pt>
                <c:pt idx="2126">
                  <c:v>1.3083199999999999</c:v>
                </c:pt>
                <c:pt idx="2127">
                  <c:v>1.3057300000000001</c:v>
                </c:pt>
                <c:pt idx="2128">
                  <c:v>1.2998499999999999</c:v>
                </c:pt>
                <c:pt idx="2129">
                  <c:v>1.2934000000000001</c:v>
                </c:pt>
                <c:pt idx="2130">
                  <c:v>1.29314</c:v>
                </c:pt>
                <c:pt idx="2131">
                  <c:v>1.29162</c:v>
                </c:pt>
                <c:pt idx="2132">
                  <c:v>1.2825599999999999</c:v>
                </c:pt>
                <c:pt idx="2133">
                  <c:v>1.2733699999999999</c:v>
                </c:pt>
                <c:pt idx="2134">
                  <c:v>1.2715799999999999</c:v>
                </c:pt>
                <c:pt idx="2135">
                  <c:v>1.2681199999999999</c:v>
                </c:pt>
                <c:pt idx="2136">
                  <c:v>1.27783</c:v>
                </c:pt>
                <c:pt idx="2137">
                  <c:v>1.2806900000000001</c:v>
                </c:pt>
                <c:pt idx="2138">
                  <c:v>1.2679800000000001</c:v>
                </c:pt>
                <c:pt idx="2139">
                  <c:v>1.2586299999999999</c:v>
                </c:pt>
                <c:pt idx="2140">
                  <c:v>1.2536</c:v>
                </c:pt>
                <c:pt idx="2141">
                  <c:v>1.25153</c:v>
                </c:pt>
                <c:pt idx="2142">
                  <c:v>1.2539400000000001</c:v>
                </c:pt>
                <c:pt idx="2143">
                  <c:v>1.24864</c:v>
                </c:pt>
                <c:pt idx="2144">
                  <c:v>1.23675</c:v>
                </c:pt>
                <c:pt idx="2145">
                  <c:v>1.23597</c:v>
                </c:pt>
                <c:pt idx="2146">
                  <c:v>1.24325</c:v>
                </c:pt>
                <c:pt idx="2147">
                  <c:v>1.24943</c:v>
                </c:pt>
                <c:pt idx="2148">
                  <c:v>1.2450699999999999</c:v>
                </c:pt>
                <c:pt idx="2149">
                  <c:v>1.2577</c:v>
                </c:pt>
                <c:pt idx="2150">
                  <c:v>1.25631</c:v>
                </c:pt>
                <c:pt idx="2151">
                  <c:v>1.2516</c:v>
                </c:pt>
                <c:pt idx="2152">
                  <c:v>1.2465299999999999</c:v>
                </c:pt>
                <c:pt idx="2153">
                  <c:v>1.2504500000000001</c:v>
                </c:pt>
                <c:pt idx="2154">
                  <c:v>1.2565900000000001</c:v>
                </c:pt>
                <c:pt idx="2155">
                  <c:v>1.26281</c:v>
                </c:pt>
                <c:pt idx="2156">
                  <c:v>1.2636099999999999</c:v>
                </c:pt>
                <c:pt idx="2157">
                  <c:v>1.2576700000000001</c:v>
                </c:pt>
                <c:pt idx="2158">
                  <c:v>1.26877</c:v>
                </c:pt>
                <c:pt idx="2159">
                  <c:v>1.2697400000000001</c:v>
                </c:pt>
                <c:pt idx="2160">
                  <c:v>1.25474</c:v>
                </c:pt>
                <c:pt idx="2161">
                  <c:v>1.2567699999999999</c:v>
                </c:pt>
                <c:pt idx="2162">
                  <c:v>1.2500800000000001</c:v>
                </c:pt>
                <c:pt idx="2163">
                  <c:v>1.2491000000000001</c:v>
                </c:pt>
                <c:pt idx="2164">
                  <c:v>1.2468600000000001</c:v>
                </c:pt>
                <c:pt idx="2165">
                  <c:v>1.24403</c:v>
                </c:pt>
                <c:pt idx="2166">
                  <c:v>1.2665500000000001</c:v>
                </c:pt>
                <c:pt idx="2167">
                  <c:v>1.2584599999999999</c:v>
                </c:pt>
                <c:pt idx="2168">
                  <c:v>1.26058</c:v>
                </c:pt>
                <c:pt idx="2169">
                  <c:v>1.25261</c:v>
                </c:pt>
                <c:pt idx="2170">
                  <c:v>1.2390099999999999</c:v>
                </c:pt>
                <c:pt idx="2171">
                  <c:v>1.22875</c:v>
                </c:pt>
                <c:pt idx="2172">
                  <c:v>1.2313499999999999</c:v>
                </c:pt>
                <c:pt idx="2173">
                  <c:v>1.2251000000000001</c:v>
                </c:pt>
                <c:pt idx="2174">
                  <c:v>1.2242200000000001</c:v>
                </c:pt>
                <c:pt idx="2175">
                  <c:v>1.2198899999999999</c:v>
                </c:pt>
                <c:pt idx="2176">
                  <c:v>1.22485</c:v>
                </c:pt>
                <c:pt idx="2177">
                  <c:v>1.22695</c:v>
                </c:pt>
                <c:pt idx="2178">
                  <c:v>1.2288699999999999</c:v>
                </c:pt>
                <c:pt idx="2179">
                  <c:v>1.2280199999999999</c:v>
                </c:pt>
                <c:pt idx="2180">
                  <c:v>1.22742</c:v>
                </c:pt>
                <c:pt idx="2181">
                  <c:v>1.2155100000000001</c:v>
                </c:pt>
                <c:pt idx="2182">
                  <c:v>1.21153</c:v>
                </c:pt>
                <c:pt idx="2183">
                  <c:v>1.2060200000000001</c:v>
                </c:pt>
                <c:pt idx="2184">
                  <c:v>1.21479</c:v>
                </c:pt>
                <c:pt idx="2185">
                  <c:v>1.2278800000000001</c:v>
                </c:pt>
                <c:pt idx="2186">
                  <c:v>1.23211</c:v>
                </c:pt>
                <c:pt idx="2187">
                  <c:v>1.2254799999999999</c:v>
                </c:pt>
                <c:pt idx="2188">
                  <c:v>1.2298899999999999</c:v>
                </c:pt>
                <c:pt idx="2189">
                  <c:v>1.2228699999999999</c:v>
                </c:pt>
                <c:pt idx="2190">
                  <c:v>1.2182200000000001</c:v>
                </c:pt>
                <c:pt idx="2191">
                  <c:v>1.23848</c:v>
                </c:pt>
                <c:pt idx="2192">
                  <c:v>1.2398</c:v>
                </c:pt>
                <c:pt idx="2193">
                  <c:v>1.2397199999999999</c:v>
                </c:pt>
                <c:pt idx="2194">
                  <c:v>1.23645</c:v>
                </c:pt>
                <c:pt idx="2195">
                  <c:v>1.23037</c:v>
                </c:pt>
                <c:pt idx="2196">
                  <c:v>1.2288399999999999</c:v>
                </c:pt>
                <c:pt idx="2197">
                  <c:v>1.23322</c:v>
                </c:pt>
                <c:pt idx="2198">
                  <c:v>1.23183</c:v>
                </c:pt>
                <c:pt idx="2199">
                  <c:v>1.22861</c:v>
                </c:pt>
                <c:pt idx="2200">
                  <c:v>1.2355799999999999</c:v>
                </c:pt>
                <c:pt idx="2201">
                  <c:v>1.2332700000000001</c:v>
                </c:pt>
                <c:pt idx="2202">
                  <c:v>1.2345900000000001</c:v>
                </c:pt>
                <c:pt idx="2203">
                  <c:v>1.24701</c:v>
                </c:pt>
                <c:pt idx="2204">
                  <c:v>1.2529699999999999</c:v>
                </c:pt>
                <c:pt idx="2205">
                  <c:v>1.2564</c:v>
                </c:pt>
                <c:pt idx="2206">
                  <c:v>1.25109</c:v>
                </c:pt>
                <c:pt idx="2207">
                  <c:v>1.2497100000000001</c:v>
                </c:pt>
                <c:pt idx="2208">
                  <c:v>1.2563500000000001</c:v>
                </c:pt>
                <c:pt idx="2209">
                  <c:v>1.25305</c:v>
                </c:pt>
                <c:pt idx="2210">
                  <c:v>1.2505599999999999</c:v>
                </c:pt>
                <c:pt idx="2211">
                  <c:v>1.25783</c:v>
                </c:pt>
                <c:pt idx="2212">
                  <c:v>1.2586999999999999</c:v>
                </c:pt>
                <c:pt idx="2213">
                  <c:v>1.25668</c:v>
                </c:pt>
                <c:pt idx="2214">
                  <c:v>1.2602100000000001</c:v>
                </c:pt>
                <c:pt idx="2215">
                  <c:v>1.2632000000000001</c:v>
                </c:pt>
                <c:pt idx="2216">
                  <c:v>1.2815399999999999</c:v>
                </c:pt>
                <c:pt idx="2217">
                  <c:v>1.27579</c:v>
                </c:pt>
                <c:pt idx="2218">
                  <c:v>1.2850699999999999</c:v>
                </c:pt>
                <c:pt idx="2219">
                  <c:v>1.2898400000000001</c:v>
                </c:pt>
                <c:pt idx="2220">
                  <c:v>1.2986200000000001</c:v>
                </c:pt>
                <c:pt idx="2221">
                  <c:v>1.3128599999999999</c:v>
                </c:pt>
                <c:pt idx="2222">
                  <c:v>1.31134</c:v>
                </c:pt>
                <c:pt idx="2223">
                  <c:v>1.3043400000000001</c:v>
                </c:pt>
                <c:pt idx="2224">
                  <c:v>1.3045500000000001</c:v>
                </c:pt>
                <c:pt idx="2225">
                  <c:v>1.2964899999999999</c:v>
                </c:pt>
                <c:pt idx="2226">
                  <c:v>1.2978799999999999</c:v>
                </c:pt>
                <c:pt idx="2227">
                  <c:v>1.29304</c:v>
                </c:pt>
                <c:pt idx="2228">
                  <c:v>1.29036</c:v>
                </c:pt>
                <c:pt idx="2229">
                  <c:v>1.2873399999999999</c:v>
                </c:pt>
                <c:pt idx="2230">
                  <c:v>1.29139</c:v>
                </c:pt>
                <c:pt idx="2231">
                  <c:v>1.2859499999999999</c:v>
                </c:pt>
                <c:pt idx="2232">
                  <c:v>1.2886</c:v>
                </c:pt>
                <c:pt idx="2233">
                  <c:v>1.2916300000000001</c:v>
                </c:pt>
                <c:pt idx="2234">
                  <c:v>1.2908500000000001</c:v>
                </c:pt>
                <c:pt idx="2235">
                  <c:v>1.3016399999999999</c:v>
                </c:pt>
                <c:pt idx="2236">
                  <c:v>1.3039099999999999</c:v>
                </c:pt>
                <c:pt idx="2237">
                  <c:v>1.2966500000000001</c:v>
                </c:pt>
                <c:pt idx="2238">
                  <c:v>1.28837</c:v>
                </c:pt>
                <c:pt idx="2239">
                  <c:v>1.2850999999999999</c:v>
                </c:pt>
                <c:pt idx="2240">
                  <c:v>1.29298</c:v>
                </c:pt>
                <c:pt idx="2241">
                  <c:v>1.2950299999999999</c:v>
                </c:pt>
                <c:pt idx="2242">
                  <c:v>1.2945599999999999</c:v>
                </c:pt>
                <c:pt idx="2243">
                  <c:v>1.3097700000000001</c:v>
                </c:pt>
                <c:pt idx="2244">
                  <c:v>1.31149</c:v>
                </c:pt>
                <c:pt idx="2245">
                  <c:v>1.3068200000000001</c:v>
                </c:pt>
                <c:pt idx="2246">
                  <c:v>1.3023</c:v>
                </c:pt>
                <c:pt idx="2247">
                  <c:v>1.3064899999999999</c:v>
                </c:pt>
                <c:pt idx="2248">
                  <c:v>1.2983800000000001</c:v>
                </c:pt>
                <c:pt idx="2249">
                  <c:v>1.29698</c:v>
                </c:pt>
                <c:pt idx="2250">
                  <c:v>1.29416</c:v>
                </c:pt>
                <c:pt idx="2251">
                  <c:v>1.2938499999999999</c:v>
                </c:pt>
                <c:pt idx="2252">
                  <c:v>1.2903199999999999</c:v>
                </c:pt>
                <c:pt idx="2253">
                  <c:v>1.2966200000000001</c:v>
                </c:pt>
                <c:pt idx="2254">
                  <c:v>1.29582</c:v>
                </c:pt>
                <c:pt idx="2255">
                  <c:v>1.29467</c:v>
                </c:pt>
                <c:pt idx="2256">
                  <c:v>1.2833300000000001</c:v>
                </c:pt>
                <c:pt idx="2257">
                  <c:v>1.2796700000000001</c:v>
                </c:pt>
                <c:pt idx="2258">
                  <c:v>1.2808999999999999</c:v>
                </c:pt>
                <c:pt idx="2259">
                  <c:v>1.27705</c:v>
                </c:pt>
                <c:pt idx="2260">
                  <c:v>1.2743500000000001</c:v>
                </c:pt>
                <c:pt idx="2261">
                  <c:v>1.2710600000000001</c:v>
                </c:pt>
                <c:pt idx="2262">
                  <c:v>1.2706900000000001</c:v>
                </c:pt>
                <c:pt idx="2263">
                  <c:v>1.27017</c:v>
                </c:pt>
                <c:pt idx="2264">
                  <c:v>1.2732399999999999</c:v>
                </c:pt>
                <c:pt idx="2265">
                  <c:v>1.2780100000000001</c:v>
                </c:pt>
                <c:pt idx="2266">
                  <c:v>1.2741800000000001</c:v>
                </c:pt>
                <c:pt idx="2267">
                  <c:v>1.2780800000000001</c:v>
                </c:pt>
                <c:pt idx="2268">
                  <c:v>1.2813399999999999</c:v>
                </c:pt>
                <c:pt idx="2269">
                  <c:v>1.28268</c:v>
                </c:pt>
                <c:pt idx="2270">
                  <c:v>1.288</c:v>
                </c:pt>
                <c:pt idx="2271">
                  <c:v>1.2972900000000001</c:v>
                </c:pt>
                <c:pt idx="2272">
                  <c:v>1.2993399999999999</c:v>
                </c:pt>
                <c:pt idx="2273">
                  <c:v>1.29369</c:v>
                </c:pt>
                <c:pt idx="2274">
                  <c:v>1.2949600000000001</c:v>
                </c:pt>
                <c:pt idx="2275">
                  <c:v>1.29765</c:v>
                </c:pt>
                <c:pt idx="2276">
                  <c:v>1.2984800000000001</c:v>
                </c:pt>
                <c:pt idx="2277">
                  <c:v>1.3058700000000001</c:v>
                </c:pt>
                <c:pt idx="2278">
                  <c:v>1.30935</c:v>
                </c:pt>
                <c:pt idx="2279">
                  <c:v>1.30701</c:v>
                </c:pt>
                <c:pt idx="2280">
                  <c:v>1.2957099999999999</c:v>
                </c:pt>
                <c:pt idx="2281">
                  <c:v>1.29261</c:v>
                </c:pt>
                <c:pt idx="2282">
                  <c:v>1.294</c:v>
                </c:pt>
                <c:pt idx="2283">
                  <c:v>1.30078</c:v>
                </c:pt>
                <c:pt idx="2284">
                  <c:v>1.30698</c:v>
                </c:pt>
                <c:pt idx="2285">
                  <c:v>1.30745</c:v>
                </c:pt>
                <c:pt idx="2286">
                  <c:v>1.3162199999999999</c:v>
                </c:pt>
                <c:pt idx="2287">
                  <c:v>1.31593</c:v>
                </c:pt>
                <c:pt idx="2288">
                  <c:v>1.3223499999999999</c:v>
                </c:pt>
                <c:pt idx="2289">
                  <c:v>1.31986</c:v>
                </c:pt>
                <c:pt idx="2290">
                  <c:v>1.3245400000000001</c:v>
                </c:pt>
                <c:pt idx="2291">
                  <c:v>1.31867</c:v>
                </c:pt>
                <c:pt idx="2292">
                  <c:v>1.3187</c:v>
                </c:pt>
                <c:pt idx="2293">
                  <c:v>1.32203</c:v>
                </c:pt>
                <c:pt idx="2294">
                  <c:v>1.32342</c:v>
                </c:pt>
                <c:pt idx="2295">
                  <c:v>1.3214600000000001</c:v>
                </c:pt>
                <c:pt idx="2296">
                  <c:v>1.3197000000000001</c:v>
                </c:pt>
                <c:pt idx="2297">
                  <c:v>1.32053</c:v>
                </c:pt>
                <c:pt idx="2298">
                  <c:v>1.3188800000000001</c:v>
                </c:pt>
                <c:pt idx="2299">
                  <c:v>1.30366</c:v>
                </c:pt>
                <c:pt idx="2300">
                  <c:v>1.30677</c:v>
                </c:pt>
                <c:pt idx="2301">
                  <c:v>1.3125199999999999</c:v>
                </c:pt>
                <c:pt idx="2302">
                  <c:v>1.30802</c:v>
                </c:pt>
                <c:pt idx="2303">
                  <c:v>1.3053999999999999</c:v>
                </c:pt>
                <c:pt idx="2304">
                  <c:v>1.3266800000000001</c:v>
                </c:pt>
                <c:pt idx="2305">
                  <c:v>1.33416</c:v>
                </c:pt>
                <c:pt idx="2306">
                  <c:v>1.33765</c:v>
                </c:pt>
                <c:pt idx="2307">
                  <c:v>1.32972</c:v>
                </c:pt>
                <c:pt idx="2308">
                  <c:v>1.32901</c:v>
                </c:pt>
                <c:pt idx="2309">
                  <c:v>1.3374299999999999</c:v>
                </c:pt>
                <c:pt idx="2310">
                  <c:v>1.33195</c:v>
                </c:pt>
                <c:pt idx="2311">
                  <c:v>1.3315300000000001</c:v>
                </c:pt>
                <c:pt idx="2312">
                  <c:v>1.33213</c:v>
                </c:pt>
                <c:pt idx="2313">
                  <c:v>1.33094</c:v>
                </c:pt>
                <c:pt idx="2314">
                  <c:v>1.3379000000000001</c:v>
                </c:pt>
                <c:pt idx="2315">
                  <c:v>1.34629</c:v>
                </c:pt>
                <c:pt idx="2316">
                  <c:v>1.3444700000000001</c:v>
                </c:pt>
                <c:pt idx="2317">
                  <c:v>1.34867</c:v>
                </c:pt>
                <c:pt idx="2318">
                  <c:v>1.35677</c:v>
                </c:pt>
                <c:pt idx="2319">
                  <c:v>1.35869</c:v>
                </c:pt>
                <c:pt idx="2320">
                  <c:v>1.36391</c:v>
                </c:pt>
                <c:pt idx="2321">
                  <c:v>1.35026</c:v>
                </c:pt>
                <c:pt idx="2322">
                  <c:v>1.35816</c:v>
                </c:pt>
                <c:pt idx="2323">
                  <c:v>1.35175</c:v>
                </c:pt>
                <c:pt idx="2324">
                  <c:v>1.3394299999999999</c:v>
                </c:pt>
                <c:pt idx="2325">
                  <c:v>1.3361400000000001</c:v>
                </c:pt>
                <c:pt idx="2326">
                  <c:v>1.34016</c:v>
                </c:pt>
                <c:pt idx="2327">
                  <c:v>1.34518</c:v>
                </c:pt>
                <c:pt idx="2328">
                  <c:v>1.34484</c:v>
                </c:pt>
                <c:pt idx="2329">
                  <c:v>1.3357300000000001</c:v>
                </c:pt>
                <c:pt idx="2330">
                  <c:v>1.33585</c:v>
                </c:pt>
                <c:pt idx="2331">
                  <c:v>1.3351500000000001</c:v>
                </c:pt>
                <c:pt idx="2332">
                  <c:v>1.33847</c:v>
                </c:pt>
                <c:pt idx="2333">
                  <c:v>1.32874</c:v>
                </c:pt>
                <c:pt idx="2334">
                  <c:v>1.3191600000000001</c:v>
                </c:pt>
                <c:pt idx="2335">
                  <c:v>1.31907</c:v>
                </c:pt>
                <c:pt idx="2336">
                  <c:v>1.3057399999999999</c:v>
                </c:pt>
                <c:pt idx="2337">
                  <c:v>1.3064499999999999</c:v>
                </c:pt>
                <c:pt idx="2338">
                  <c:v>1.31352</c:v>
                </c:pt>
                <c:pt idx="2339">
                  <c:v>1.3066500000000001</c:v>
                </c:pt>
                <c:pt idx="2340">
                  <c:v>1.3018000000000001</c:v>
                </c:pt>
                <c:pt idx="2341">
                  <c:v>1.3024100000000001</c:v>
                </c:pt>
                <c:pt idx="2342">
                  <c:v>1.3043899999999999</c:v>
                </c:pt>
                <c:pt idx="2343">
                  <c:v>1.29765</c:v>
                </c:pt>
                <c:pt idx="2344">
                  <c:v>1.3104199999999999</c:v>
                </c:pt>
                <c:pt idx="2345">
                  <c:v>1.3004199999999999</c:v>
                </c:pt>
                <c:pt idx="2346">
                  <c:v>1.3034399999999999</c:v>
                </c:pt>
                <c:pt idx="2347">
                  <c:v>1.30277</c:v>
                </c:pt>
                <c:pt idx="2348">
                  <c:v>1.2956799999999999</c:v>
                </c:pt>
                <c:pt idx="2349">
                  <c:v>1.30124</c:v>
                </c:pt>
                <c:pt idx="2350">
                  <c:v>1.3075399999999999</c:v>
                </c:pt>
                <c:pt idx="2351">
                  <c:v>1.2942499999999999</c:v>
                </c:pt>
                <c:pt idx="2352">
                  <c:v>1.2857799999999999</c:v>
                </c:pt>
                <c:pt idx="2353">
                  <c:v>1.2932999999999999</c:v>
                </c:pt>
                <c:pt idx="2354">
                  <c:v>1.2898000000000001</c:v>
                </c:pt>
                <c:pt idx="2355">
                  <c:v>1.29867</c:v>
                </c:pt>
                <c:pt idx="2356">
                  <c:v>1.28593</c:v>
                </c:pt>
                <c:pt idx="2357">
                  <c:v>1.28633</c:v>
                </c:pt>
                <c:pt idx="2358">
                  <c:v>1.2778499999999999</c:v>
                </c:pt>
                <c:pt idx="2359">
                  <c:v>1.2814399999999999</c:v>
                </c:pt>
                <c:pt idx="2360">
                  <c:v>1.28148</c:v>
                </c:pt>
                <c:pt idx="2361">
                  <c:v>1.2843500000000001</c:v>
                </c:pt>
                <c:pt idx="2362">
                  <c:v>1.28223</c:v>
                </c:pt>
                <c:pt idx="2363">
                  <c:v>1.28427</c:v>
                </c:pt>
                <c:pt idx="2364">
                  <c:v>1.2932999999999999</c:v>
                </c:pt>
                <c:pt idx="2365">
                  <c:v>1.29915</c:v>
                </c:pt>
                <c:pt idx="2366">
                  <c:v>1.3018400000000001</c:v>
                </c:pt>
                <c:pt idx="2367">
                  <c:v>1.3081199999999999</c:v>
                </c:pt>
                <c:pt idx="2368">
                  <c:v>1.30667</c:v>
                </c:pt>
                <c:pt idx="2369">
                  <c:v>1.3106500000000001</c:v>
                </c:pt>
                <c:pt idx="2370">
                  <c:v>1.3108200000000001</c:v>
                </c:pt>
                <c:pt idx="2371">
                  <c:v>1.3046599999999999</c:v>
                </c:pt>
                <c:pt idx="2372">
                  <c:v>1.3179000000000001</c:v>
                </c:pt>
                <c:pt idx="2373">
                  <c:v>1.30355</c:v>
                </c:pt>
                <c:pt idx="2374">
                  <c:v>1.3048299999999999</c:v>
                </c:pt>
                <c:pt idx="2375">
                  <c:v>1.3050999999999999</c:v>
                </c:pt>
                <c:pt idx="2376">
                  <c:v>1.3061499999999999</c:v>
                </c:pt>
                <c:pt idx="2377">
                  <c:v>1.30006</c:v>
                </c:pt>
                <c:pt idx="2378">
                  <c:v>1.30111</c:v>
                </c:pt>
                <c:pt idx="2379">
                  <c:v>1.30088</c:v>
                </c:pt>
                <c:pt idx="2380">
                  <c:v>1.30267</c:v>
                </c:pt>
                <c:pt idx="2381">
                  <c:v>1.3092900000000001</c:v>
                </c:pt>
                <c:pt idx="2382">
                  <c:v>1.31664</c:v>
                </c:pt>
                <c:pt idx="2383">
                  <c:v>1.31836</c:v>
                </c:pt>
                <c:pt idx="2384">
                  <c:v>1.3061799999999999</c:v>
                </c:pt>
                <c:pt idx="2385">
                  <c:v>1.31131</c:v>
                </c:pt>
                <c:pt idx="2386">
                  <c:v>1.3072699999999999</c:v>
                </c:pt>
                <c:pt idx="2387">
                  <c:v>1.3078700000000001</c:v>
                </c:pt>
                <c:pt idx="2388">
                  <c:v>1.3160000000000001</c:v>
                </c:pt>
                <c:pt idx="2389">
                  <c:v>1.3044100000000001</c:v>
                </c:pt>
                <c:pt idx="2390">
                  <c:v>1.29853</c:v>
                </c:pt>
                <c:pt idx="2391">
                  <c:v>1.2982</c:v>
                </c:pt>
                <c:pt idx="2392">
                  <c:v>1.2931299999999999</c:v>
                </c:pt>
                <c:pt idx="2393">
                  <c:v>1.2880199999999999</c:v>
                </c:pt>
                <c:pt idx="2394">
                  <c:v>1.2882899999999999</c:v>
                </c:pt>
                <c:pt idx="2395">
                  <c:v>1.28363</c:v>
                </c:pt>
                <c:pt idx="2396">
                  <c:v>1.2883899999999999</c:v>
                </c:pt>
                <c:pt idx="2397">
                  <c:v>1.29061</c:v>
                </c:pt>
                <c:pt idx="2398">
                  <c:v>1.28529</c:v>
                </c:pt>
                <c:pt idx="2399">
                  <c:v>1.29321</c:v>
                </c:pt>
                <c:pt idx="2400">
                  <c:v>1.29278</c:v>
                </c:pt>
                <c:pt idx="2401">
                  <c:v>1.29335</c:v>
                </c:pt>
                <c:pt idx="2402">
                  <c:v>1.28522</c:v>
                </c:pt>
                <c:pt idx="2403">
                  <c:v>1.2940100000000001</c:v>
                </c:pt>
                <c:pt idx="2404">
                  <c:v>1.3044</c:v>
                </c:pt>
                <c:pt idx="2405">
                  <c:v>1.29956</c:v>
                </c:pt>
                <c:pt idx="2406">
                  <c:v>1.3069999999999999</c:v>
                </c:pt>
                <c:pt idx="2407">
                  <c:v>1.30823</c:v>
                </c:pt>
                <c:pt idx="2408">
                  <c:v>1.3092299999999999</c:v>
                </c:pt>
                <c:pt idx="2409">
                  <c:v>1.32453</c:v>
                </c:pt>
                <c:pt idx="2410">
                  <c:v>1.32168</c:v>
                </c:pt>
                <c:pt idx="2411">
                  <c:v>1.3256600000000001</c:v>
                </c:pt>
                <c:pt idx="2412">
                  <c:v>1.3313699999999999</c:v>
                </c:pt>
                <c:pt idx="2413">
                  <c:v>1.3337000000000001</c:v>
                </c:pt>
                <c:pt idx="2414">
                  <c:v>1.3375600000000001</c:v>
                </c:pt>
                <c:pt idx="2415">
                  <c:v>1.3344499999999999</c:v>
                </c:pt>
                <c:pt idx="2416">
                  <c:v>1.3362000000000001</c:v>
                </c:pt>
                <c:pt idx="2417">
                  <c:v>1.3393999999999999</c:v>
                </c:pt>
                <c:pt idx="2418">
                  <c:v>1.32959</c:v>
                </c:pt>
                <c:pt idx="2419">
                  <c:v>1.3227</c:v>
                </c:pt>
                <c:pt idx="2420">
                  <c:v>1.31209</c:v>
                </c:pt>
                <c:pt idx="2421">
                  <c:v>1.3123199999999999</c:v>
                </c:pt>
                <c:pt idx="2422">
                  <c:v>1.3082100000000001</c:v>
                </c:pt>
                <c:pt idx="2423">
                  <c:v>1.30067</c:v>
                </c:pt>
                <c:pt idx="2424">
                  <c:v>1.3037700000000001</c:v>
                </c:pt>
                <c:pt idx="2425">
                  <c:v>1.30078</c:v>
                </c:pt>
                <c:pt idx="2426">
                  <c:v>1.3061400000000001</c:v>
                </c:pt>
                <c:pt idx="2427">
                  <c:v>1.29816</c:v>
                </c:pt>
                <c:pt idx="2428">
                  <c:v>1.30084</c:v>
                </c:pt>
                <c:pt idx="2429">
                  <c:v>1.2911999999999999</c:v>
                </c:pt>
                <c:pt idx="2430">
                  <c:v>1.28291</c:v>
                </c:pt>
                <c:pt idx="2431">
                  <c:v>1.2867900000000001</c:v>
                </c:pt>
                <c:pt idx="2432">
                  <c:v>1.2786299999999999</c:v>
                </c:pt>
                <c:pt idx="2433">
                  <c:v>1.3023499999999999</c:v>
                </c:pt>
                <c:pt idx="2434">
                  <c:v>1.3095699999999999</c:v>
                </c:pt>
                <c:pt idx="2435">
                  <c:v>1.3065100000000001</c:v>
                </c:pt>
                <c:pt idx="2436">
                  <c:v>1.3066</c:v>
                </c:pt>
                <c:pt idx="2437">
                  <c:v>1.3153300000000001</c:v>
                </c:pt>
                <c:pt idx="2438">
                  <c:v>1.3122799999999999</c:v>
                </c:pt>
                <c:pt idx="2439">
                  <c:v>1.3111299999999999</c:v>
                </c:pt>
                <c:pt idx="2440">
                  <c:v>1.3140799999999999</c:v>
                </c:pt>
                <c:pt idx="2441">
                  <c:v>1.3184199999999999</c:v>
                </c:pt>
                <c:pt idx="2442">
                  <c:v>1.3223199999999999</c:v>
                </c:pt>
                <c:pt idx="2443">
                  <c:v>1.31972</c:v>
                </c:pt>
                <c:pt idx="2444">
                  <c:v>1.32759</c:v>
                </c:pt>
                <c:pt idx="2445">
                  <c:v>1.32765</c:v>
                </c:pt>
                <c:pt idx="2446">
                  <c:v>1.3262</c:v>
                </c:pt>
                <c:pt idx="2447">
                  <c:v>1.32626</c:v>
                </c:pt>
                <c:pt idx="2448">
                  <c:v>1.3296300000000001</c:v>
                </c:pt>
                <c:pt idx="2449">
                  <c:v>1.3209599999999999</c:v>
                </c:pt>
                <c:pt idx="2450">
                  <c:v>1.3279799999999999</c:v>
                </c:pt>
                <c:pt idx="2451">
                  <c:v>1.3261099999999999</c:v>
                </c:pt>
                <c:pt idx="2452">
                  <c:v>1.33073</c:v>
                </c:pt>
                <c:pt idx="2453">
                  <c:v>1.33365</c:v>
                </c:pt>
                <c:pt idx="2454">
                  <c:v>1.3381400000000001</c:v>
                </c:pt>
                <c:pt idx="2455">
                  <c:v>1.3338699999999999</c:v>
                </c:pt>
                <c:pt idx="2456">
                  <c:v>1.3299000000000001</c:v>
                </c:pt>
                <c:pt idx="2457">
                  <c:v>1.3260099999999999</c:v>
                </c:pt>
                <c:pt idx="2458">
                  <c:v>1.3257699999999999</c:v>
                </c:pt>
                <c:pt idx="2459">
                  <c:v>1.33504</c:v>
                </c:pt>
                <c:pt idx="2460">
                  <c:v>1.3327899999999999</c:v>
                </c:pt>
                <c:pt idx="2461">
                  <c:v>1.3335699999999999</c:v>
                </c:pt>
                <c:pt idx="2462">
                  <c:v>1.3417600000000001</c:v>
                </c:pt>
                <c:pt idx="2463">
                  <c:v>1.33579</c:v>
                </c:pt>
                <c:pt idx="2464">
                  <c:v>1.3355900000000001</c:v>
                </c:pt>
                <c:pt idx="2465">
                  <c:v>1.33788</c:v>
                </c:pt>
                <c:pt idx="2466">
                  <c:v>1.3370200000000001</c:v>
                </c:pt>
                <c:pt idx="2467">
                  <c:v>1.3390500000000001</c:v>
                </c:pt>
                <c:pt idx="2468">
                  <c:v>1.3340399999999999</c:v>
                </c:pt>
                <c:pt idx="2469">
                  <c:v>1.3237399999999999</c:v>
                </c:pt>
                <c:pt idx="2470">
                  <c:v>1.32195</c:v>
                </c:pt>
                <c:pt idx="2471">
                  <c:v>1.3195699999999999</c:v>
                </c:pt>
                <c:pt idx="2472">
                  <c:v>1.3166100000000001</c:v>
                </c:pt>
                <c:pt idx="2473">
                  <c:v>1.3202799999999999</c:v>
                </c:pt>
                <c:pt idx="2474">
                  <c:v>1.3117700000000001</c:v>
                </c:pt>
                <c:pt idx="2475">
                  <c:v>1.3176600000000001</c:v>
                </c:pt>
                <c:pt idx="2476">
                  <c:v>1.32531</c:v>
                </c:pt>
                <c:pt idx="2477">
                  <c:v>1.3265499999999999</c:v>
                </c:pt>
                <c:pt idx="2478">
                  <c:v>1.33108</c:v>
                </c:pt>
                <c:pt idx="2479">
                  <c:v>1.3299799999999999</c:v>
                </c:pt>
                <c:pt idx="2480">
                  <c:v>1.3293200000000001</c:v>
                </c:pt>
                <c:pt idx="2481">
                  <c:v>1.3334900000000001</c:v>
                </c:pt>
                <c:pt idx="2482">
                  <c:v>1.33578</c:v>
                </c:pt>
                <c:pt idx="2483">
                  <c:v>1.3508199999999999</c:v>
                </c:pt>
                <c:pt idx="2484">
                  <c:v>1.3529100000000001</c:v>
                </c:pt>
                <c:pt idx="2485">
                  <c:v>1.3521700000000001</c:v>
                </c:pt>
                <c:pt idx="2486">
                  <c:v>1.34927</c:v>
                </c:pt>
                <c:pt idx="2487">
                  <c:v>1.3470200000000001</c:v>
                </c:pt>
                <c:pt idx="2488">
                  <c:v>1.35219</c:v>
                </c:pt>
                <c:pt idx="2489">
                  <c:v>1.3486499999999999</c:v>
                </c:pt>
                <c:pt idx="2490">
                  <c:v>1.35216</c:v>
                </c:pt>
                <c:pt idx="2491">
                  <c:v>1.35215</c:v>
                </c:pt>
                <c:pt idx="2492">
                  <c:v>1.3524099999999999</c:v>
                </c:pt>
                <c:pt idx="2493">
                  <c:v>1.3581099999999999</c:v>
                </c:pt>
                <c:pt idx="2494">
                  <c:v>1.36215</c:v>
                </c:pt>
                <c:pt idx="2495">
                  <c:v>1.35565</c:v>
                </c:pt>
                <c:pt idx="2496">
                  <c:v>1.3576600000000001</c:v>
                </c:pt>
                <c:pt idx="2497">
                  <c:v>1.35727</c:v>
                </c:pt>
                <c:pt idx="2498">
                  <c:v>1.35232</c:v>
                </c:pt>
                <c:pt idx="2499">
                  <c:v>1.35253</c:v>
                </c:pt>
                <c:pt idx="2500">
                  <c:v>1.35372</c:v>
                </c:pt>
                <c:pt idx="2501">
                  <c:v>1.3559099999999999</c:v>
                </c:pt>
                <c:pt idx="2502">
                  <c:v>1.35256</c:v>
                </c:pt>
                <c:pt idx="2503">
                  <c:v>1.35334</c:v>
                </c:pt>
                <c:pt idx="2504">
                  <c:v>1.3672299999999999</c:v>
                </c:pt>
                <c:pt idx="2505">
                  <c:v>1.36853</c:v>
                </c:pt>
                <c:pt idx="2506">
                  <c:v>1.36768</c:v>
                </c:pt>
                <c:pt idx="2507">
                  <c:v>1.37781</c:v>
                </c:pt>
                <c:pt idx="2508">
                  <c:v>1.3774999999999999</c:v>
                </c:pt>
                <c:pt idx="2509">
                  <c:v>1.3798900000000001</c:v>
                </c:pt>
                <c:pt idx="2510">
                  <c:v>1.3802000000000001</c:v>
                </c:pt>
                <c:pt idx="2511">
                  <c:v>1.37829</c:v>
                </c:pt>
                <c:pt idx="2512">
                  <c:v>1.3746499999999999</c:v>
                </c:pt>
                <c:pt idx="2513">
                  <c:v>1.3721699999999999</c:v>
                </c:pt>
                <c:pt idx="2514">
                  <c:v>1.3588</c:v>
                </c:pt>
                <c:pt idx="2515">
                  <c:v>1.3485799999999999</c:v>
                </c:pt>
                <c:pt idx="2516">
                  <c:v>1.35121</c:v>
                </c:pt>
                <c:pt idx="2517">
                  <c:v>1.34717</c:v>
                </c:pt>
                <c:pt idx="2518">
                  <c:v>1.3514900000000001</c:v>
                </c:pt>
                <c:pt idx="2519">
                  <c:v>1.34131</c:v>
                </c:pt>
                <c:pt idx="2520">
                  <c:v>1.3364400000000001</c:v>
                </c:pt>
                <c:pt idx="2521">
                  <c:v>1.3406499999999999</c:v>
                </c:pt>
                <c:pt idx="2522">
                  <c:v>1.34345</c:v>
                </c:pt>
                <c:pt idx="2523">
                  <c:v>1.34816</c:v>
                </c:pt>
                <c:pt idx="2524">
                  <c:v>1.34585</c:v>
                </c:pt>
                <c:pt idx="2525">
                  <c:v>1.3494299999999999</c:v>
                </c:pt>
                <c:pt idx="2526">
                  <c:v>1.3503700000000001</c:v>
                </c:pt>
                <c:pt idx="2527">
                  <c:v>1.35354</c:v>
                </c:pt>
                <c:pt idx="2528">
                  <c:v>1.3439000000000001</c:v>
                </c:pt>
                <c:pt idx="2529">
                  <c:v>1.3475299999999999</c:v>
                </c:pt>
                <c:pt idx="2530">
                  <c:v>1.35554</c:v>
                </c:pt>
                <c:pt idx="2531">
                  <c:v>1.3522000000000001</c:v>
                </c:pt>
                <c:pt idx="2532">
                  <c:v>1.35666</c:v>
                </c:pt>
                <c:pt idx="2533">
                  <c:v>1.3577600000000001</c:v>
                </c:pt>
                <c:pt idx="2534">
                  <c:v>1.36025</c:v>
                </c:pt>
                <c:pt idx="2535">
                  <c:v>1.3590100000000001</c:v>
                </c:pt>
                <c:pt idx="2536">
                  <c:v>1.35385</c:v>
                </c:pt>
                <c:pt idx="2537">
                  <c:v>1.3588499999999999</c:v>
                </c:pt>
                <c:pt idx="2538">
                  <c:v>1.3589800000000001</c:v>
                </c:pt>
                <c:pt idx="2539">
                  <c:v>1.3672200000000001</c:v>
                </c:pt>
                <c:pt idx="2540">
                  <c:v>1.3704499999999999</c:v>
                </c:pt>
                <c:pt idx="2541">
                  <c:v>1.37351</c:v>
                </c:pt>
                <c:pt idx="2542">
                  <c:v>1.3758900000000001</c:v>
                </c:pt>
                <c:pt idx="2543">
                  <c:v>1.3786099999999999</c:v>
                </c:pt>
                <c:pt idx="2544">
                  <c:v>1.3750100000000001</c:v>
                </c:pt>
                <c:pt idx="2545">
                  <c:v>1.3737600000000001</c:v>
                </c:pt>
                <c:pt idx="2546">
                  <c:v>1.37582</c:v>
                </c:pt>
                <c:pt idx="2547">
                  <c:v>1.3771100000000001</c:v>
                </c:pt>
                <c:pt idx="2548">
                  <c:v>1.3674999999999999</c:v>
                </c:pt>
                <c:pt idx="2549">
                  <c:v>1.3654900000000001</c:v>
                </c:pt>
                <c:pt idx="2550">
                  <c:v>1.367</c:v>
                </c:pt>
                <c:pt idx="2551">
                  <c:v>1.36957</c:v>
                </c:pt>
                <c:pt idx="2552">
                  <c:v>1.3679399999999999</c:v>
                </c:pt>
                <c:pt idx="2553">
                  <c:v>1.3688899999999999</c:v>
                </c:pt>
                <c:pt idx="2554">
                  <c:v>1.37462</c:v>
                </c:pt>
                <c:pt idx="2555">
                  <c:v>1.37937</c:v>
                </c:pt>
                <c:pt idx="2556">
                  <c:v>1.37686</c:v>
                </c:pt>
                <c:pt idx="2557">
                  <c:v>1.3757999999999999</c:v>
                </c:pt>
                <c:pt idx="2558">
                  <c:v>1.36643</c:v>
                </c:pt>
                <c:pt idx="2559">
                  <c:v>1.3587400000000001</c:v>
                </c:pt>
                <c:pt idx="2560">
                  <c:v>1.36334</c:v>
                </c:pt>
                <c:pt idx="2561">
                  <c:v>1.36138</c:v>
                </c:pt>
                <c:pt idx="2562">
                  <c:v>1.3574900000000001</c:v>
                </c:pt>
                <c:pt idx="2563">
                  <c:v>1.3601700000000001</c:v>
                </c:pt>
                <c:pt idx="2564">
                  <c:v>1.3666499999999999</c:v>
                </c:pt>
                <c:pt idx="2565">
                  <c:v>1.3668</c:v>
                </c:pt>
                <c:pt idx="2566">
                  <c:v>1.3672200000000001</c:v>
                </c:pt>
                <c:pt idx="2567">
                  <c:v>1.36042</c:v>
                </c:pt>
                <c:pt idx="2568">
                  <c:v>1.3616200000000001</c:v>
                </c:pt>
                <c:pt idx="2569">
                  <c:v>1.35405</c:v>
                </c:pt>
                <c:pt idx="2570">
                  <c:v>1.3555699999999999</c:v>
                </c:pt>
                <c:pt idx="2571">
                  <c:v>1.3559099999999999</c:v>
                </c:pt>
                <c:pt idx="2572">
                  <c:v>1.3544700000000001</c:v>
                </c:pt>
                <c:pt idx="2573">
                  <c:v>1.36931</c:v>
                </c:pt>
                <c:pt idx="2574">
                  <c:v>1.3675200000000001</c:v>
                </c:pt>
                <c:pt idx="2575">
                  <c:v>1.3672800000000001</c:v>
                </c:pt>
                <c:pt idx="2576">
                  <c:v>1.36517</c:v>
                </c:pt>
                <c:pt idx="2577">
                  <c:v>1.36608</c:v>
                </c:pt>
                <c:pt idx="2578">
                  <c:v>1.35565</c:v>
                </c:pt>
                <c:pt idx="2579">
                  <c:v>1.34849</c:v>
                </c:pt>
                <c:pt idx="2580">
                  <c:v>1.3525799999999999</c:v>
                </c:pt>
                <c:pt idx="2581">
                  <c:v>1.3514299999999999</c:v>
                </c:pt>
                <c:pt idx="2582">
                  <c:v>1.35361</c:v>
                </c:pt>
                <c:pt idx="2583">
                  <c:v>1.3589800000000001</c:v>
                </c:pt>
                <c:pt idx="2584">
                  <c:v>1.3634200000000001</c:v>
                </c:pt>
                <c:pt idx="2585">
                  <c:v>1.36442</c:v>
                </c:pt>
                <c:pt idx="2586">
                  <c:v>1.36372</c:v>
                </c:pt>
                <c:pt idx="2587">
                  <c:v>1.35948</c:v>
                </c:pt>
                <c:pt idx="2588">
                  <c:v>1.3678699999999999</c:v>
                </c:pt>
                <c:pt idx="2589">
                  <c:v>1.3691800000000001</c:v>
                </c:pt>
                <c:pt idx="2590">
                  <c:v>1.3704700000000001</c:v>
                </c:pt>
                <c:pt idx="2591">
                  <c:v>1.3760399999999999</c:v>
                </c:pt>
                <c:pt idx="2592">
                  <c:v>1.37321</c:v>
                </c:pt>
                <c:pt idx="2593">
                  <c:v>1.37202</c:v>
                </c:pt>
                <c:pt idx="2594">
                  <c:v>1.3737999999999999</c:v>
                </c:pt>
                <c:pt idx="2595">
                  <c:v>1.3733599999999999</c:v>
                </c:pt>
                <c:pt idx="2596">
                  <c:v>1.3744700000000001</c:v>
                </c:pt>
                <c:pt idx="2597">
                  <c:v>1.3683099999999999</c:v>
                </c:pt>
                <c:pt idx="2598">
                  <c:v>1.3708</c:v>
                </c:pt>
                <c:pt idx="2599">
                  <c:v>1.3801600000000001</c:v>
                </c:pt>
                <c:pt idx="2600">
                  <c:v>1.37361</c:v>
                </c:pt>
                <c:pt idx="2601">
                  <c:v>1.37395</c:v>
                </c:pt>
                <c:pt idx="2602">
                  <c:v>1.37361</c:v>
                </c:pt>
                <c:pt idx="2603">
                  <c:v>1.3859600000000001</c:v>
                </c:pt>
                <c:pt idx="2604">
                  <c:v>1.3874599999999999</c:v>
                </c:pt>
                <c:pt idx="2605">
                  <c:v>1.3876900000000001</c:v>
                </c:pt>
                <c:pt idx="2606">
                  <c:v>1.3854500000000001</c:v>
                </c:pt>
                <c:pt idx="2607">
                  <c:v>1.39018</c:v>
                </c:pt>
                <c:pt idx="2608">
                  <c:v>1.38676</c:v>
                </c:pt>
                <c:pt idx="2609">
                  <c:v>1.39134</c:v>
                </c:pt>
                <c:pt idx="2610">
                  <c:v>1.39252</c:v>
                </c:pt>
                <c:pt idx="2611">
                  <c:v>1.3930400000000001</c:v>
                </c:pt>
                <c:pt idx="2612">
                  <c:v>1.3822300000000001</c:v>
                </c:pt>
                <c:pt idx="2613">
                  <c:v>1.37782</c:v>
                </c:pt>
                <c:pt idx="2614">
                  <c:v>1.3793299999999999</c:v>
                </c:pt>
                <c:pt idx="2615">
                  <c:v>1.3837999999999999</c:v>
                </c:pt>
                <c:pt idx="2616">
                  <c:v>1.3825000000000001</c:v>
                </c:pt>
                <c:pt idx="2617">
                  <c:v>1.3783000000000001</c:v>
                </c:pt>
                <c:pt idx="2618">
                  <c:v>1.3743700000000001</c:v>
                </c:pt>
                <c:pt idx="2619">
                  <c:v>1.37513</c:v>
                </c:pt>
                <c:pt idx="2620">
                  <c:v>1.3773500000000001</c:v>
                </c:pt>
                <c:pt idx="2621">
                  <c:v>1.3793200000000001</c:v>
                </c:pt>
                <c:pt idx="2622">
                  <c:v>1.3765099999999999</c:v>
                </c:pt>
                <c:pt idx="2623">
                  <c:v>1.37168</c:v>
                </c:pt>
                <c:pt idx="2624">
                  <c:v>1.3701399999999999</c:v>
                </c:pt>
                <c:pt idx="2625">
                  <c:v>1.37412</c:v>
                </c:pt>
                <c:pt idx="2626">
                  <c:v>1.3794599999999999</c:v>
                </c:pt>
                <c:pt idx="2627">
                  <c:v>1.3853599999999999</c:v>
                </c:pt>
                <c:pt idx="2628">
                  <c:v>1.3886799999999999</c:v>
                </c:pt>
                <c:pt idx="2629">
                  <c:v>1.3884399999999999</c:v>
                </c:pt>
                <c:pt idx="2630">
                  <c:v>1.38181</c:v>
                </c:pt>
                <c:pt idx="2631">
                  <c:v>1.3813299999999999</c:v>
                </c:pt>
                <c:pt idx="2632">
                  <c:v>1.3815999999999999</c:v>
                </c:pt>
                <c:pt idx="2633">
                  <c:v>1.38131</c:v>
                </c:pt>
                <c:pt idx="2634">
                  <c:v>1.3806799999999999</c:v>
                </c:pt>
                <c:pt idx="2635">
                  <c:v>1.37944</c:v>
                </c:pt>
                <c:pt idx="2636">
                  <c:v>1.38053</c:v>
                </c:pt>
                <c:pt idx="2637">
                  <c:v>1.3815999999999999</c:v>
                </c:pt>
                <c:pt idx="2638">
                  <c:v>1.3831199999999999</c:v>
                </c:pt>
                <c:pt idx="2639">
                  <c:v>1.3833</c:v>
                </c:pt>
                <c:pt idx="2640">
                  <c:v>1.38497</c:v>
                </c:pt>
                <c:pt idx="2641">
                  <c:v>1.3811599999999999</c:v>
                </c:pt>
                <c:pt idx="2642">
                  <c:v>1.38653</c:v>
                </c:pt>
                <c:pt idx="2643">
                  <c:v>1.3867</c:v>
                </c:pt>
                <c:pt idx="2644">
                  <c:v>1.38689</c:v>
                </c:pt>
                <c:pt idx="2645">
                  <c:v>1.3874</c:v>
                </c:pt>
                <c:pt idx="2646">
                  <c:v>1.3924700000000001</c:v>
                </c:pt>
                <c:pt idx="2647">
                  <c:v>1.3910899999999999</c:v>
                </c:pt>
                <c:pt idx="2648">
                  <c:v>1.38392</c:v>
                </c:pt>
                <c:pt idx="2649">
                  <c:v>1.3757699999999999</c:v>
                </c:pt>
                <c:pt idx="2650">
                  <c:v>1.37582</c:v>
                </c:pt>
                <c:pt idx="2651">
                  <c:v>1.3703399999999999</c:v>
                </c:pt>
                <c:pt idx="2652">
                  <c:v>1.3714200000000001</c:v>
                </c:pt>
                <c:pt idx="2653">
                  <c:v>1.3710100000000001</c:v>
                </c:pt>
                <c:pt idx="2654">
                  <c:v>1.3693299999999999</c:v>
                </c:pt>
                <c:pt idx="2655">
                  <c:v>1.3708499999999999</c:v>
                </c:pt>
                <c:pt idx="2656">
                  <c:v>1.3698900000000001</c:v>
                </c:pt>
                <c:pt idx="2657">
                  <c:v>1.36856</c:v>
                </c:pt>
                <c:pt idx="2658">
                  <c:v>1.36561</c:v>
                </c:pt>
                <c:pt idx="2659">
                  <c:v>1.3628</c:v>
                </c:pt>
                <c:pt idx="2660">
                  <c:v>1.3643799999999999</c:v>
                </c:pt>
                <c:pt idx="2661">
                  <c:v>1.36334</c:v>
                </c:pt>
                <c:pt idx="2662">
                  <c:v>1.35921</c:v>
                </c:pt>
                <c:pt idx="2663">
                  <c:v>1.3601700000000001</c:v>
                </c:pt>
                <c:pt idx="2664">
                  <c:v>1.3633900000000001</c:v>
                </c:pt>
                <c:pt idx="2665">
                  <c:v>1.3597900000000001</c:v>
                </c:pt>
                <c:pt idx="2666">
                  <c:v>1.3627100000000001</c:v>
                </c:pt>
                <c:pt idx="2667">
                  <c:v>1.3600099999999999</c:v>
                </c:pt>
                <c:pt idx="2668">
                  <c:v>1.3662799999999999</c:v>
                </c:pt>
                <c:pt idx="2669">
                  <c:v>1.3642300000000001</c:v>
                </c:pt>
                <c:pt idx="2670">
                  <c:v>1.3592299999999999</c:v>
                </c:pt>
                <c:pt idx="2671">
                  <c:v>1.3544499999999999</c:v>
                </c:pt>
                <c:pt idx="2672">
                  <c:v>1.35337</c:v>
                </c:pt>
                <c:pt idx="2673">
                  <c:v>1.3548899999999999</c:v>
                </c:pt>
                <c:pt idx="2674">
                  <c:v>1.35379</c:v>
                </c:pt>
                <c:pt idx="2675">
                  <c:v>1.3572200000000001</c:v>
                </c:pt>
                <c:pt idx="2676">
                  <c:v>1.3546199999999999</c:v>
                </c:pt>
                <c:pt idx="2677">
                  <c:v>1.3587499999999999</c:v>
                </c:pt>
                <c:pt idx="2678">
                  <c:v>1.3606</c:v>
                </c:pt>
                <c:pt idx="2679">
                  <c:v>1.35995</c:v>
                </c:pt>
                <c:pt idx="2680">
                  <c:v>1.3603499999999999</c:v>
                </c:pt>
                <c:pt idx="2681">
                  <c:v>1.3602799999999999</c:v>
                </c:pt>
                <c:pt idx="2682">
                  <c:v>1.3630599999999999</c:v>
                </c:pt>
                <c:pt idx="2683">
                  <c:v>1.3612</c:v>
                </c:pt>
                <c:pt idx="2684">
                  <c:v>1.3648800000000001</c:v>
                </c:pt>
                <c:pt idx="2685">
                  <c:v>1.36927</c:v>
                </c:pt>
                <c:pt idx="2686">
                  <c:v>1.3678699999999999</c:v>
                </c:pt>
                <c:pt idx="2687">
                  <c:v>1.3656699999999999</c:v>
                </c:pt>
                <c:pt idx="2688">
                  <c:v>1.3608800000000001</c:v>
                </c:pt>
                <c:pt idx="2689">
                  <c:v>1.35944</c:v>
                </c:pt>
                <c:pt idx="2690">
                  <c:v>1.36056</c:v>
                </c:pt>
                <c:pt idx="2691">
                  <c:v>1.36117</c:v>
                </c:pt>
                <c:pt idx="2692">
                  <c:v>1.3640399999999999</c:v>
                </c:pt>
                <c:pt idx="2693">
                  <c:v>1.36063</c:v>
                </c:pt>
                <c:pt idx="2694">
                  <c:v>1.36032</c:v>
                </c:pt>
                <c:pt idx="2695">
                  <c:v>1.3620699999999999</c:v>
                </c:pt>
                <c:pt idx="2696">
                  <c:v>1.3567899999999999</c:v>
                </c:pt>
                <c:pt idx="2697">
                  <c:v>1.3525100000000001</c:v>
                </c:pt>
                <c:pt idx="2698">
                  <c:v>1.3525799999999999</c:v>
                </c:pt>
                <c:pt idx="2699">
                  <c:v>1.3520300000000001</c:v>
                </c:pt>
                <c:pt idx="2700">
                  <c:v>1.3522099999999999</c:v>
                </c:pt>
                <c:pt idx="2701">
                  <c:v>1.34659</c:v>
                </c:pt>
                <c:pt idx="2702">
                  <c:v>1.34622</c:v>
                </c:pt>
                <c:pt idx="2703">
                  <c:v>1.34622</c:v>
                </c:pt>
                <c:pt idx="2704">
                  <c:v>1.3428800000000001</c:v>
                </c:pt>
                <c:pt idx="2705">
                  <c:v>1.3439300000000001</c:v>
                </c:pt>
                <c:pt idx="2706">
                  <c:v>1.34087</c:v>
                </c:pt>
                <c:pt idx="2707">
                  <c:v>1.33945</c:v>
                </c:pt>
                <c:pt idx="2708">
                  <c:v>1.33877</c:v>
                </c:pt>
                <c:pt idx="2709">
                  <c:v>1.3426400000000001</c:v>
                </c:pt>
                <c:pt idx="2710">
                  <c:v>1.3421799999999999</c:v>
                </c:pt>
                <c:pt idx="2711">
                  <c:v>1.3371200000000001</c:v>
                </c:pt>
                <c:pt idx="2712">
                  <c:v>1.3383799999999999</c:v>
                </c:pt>
                <c:pt idx="2713">
                  <c:v>1.3361400000000001</c:v>
                </c:pt>
                <c:pt idx="2714">
                  <c:v>1.34094</c:v>
                </c:pt>
                <c:pt idx="2715">
                  <c:v>1.33843</c:v>
                </c:pt>
                <c:pt idx="2716">
                  <c:v>1.3367</c:v>
                </c:pt>
                <c:pt idx="2717">
                  <c:v>1.3363</c:v>
                </c:pt>
                <c:pt idx="2718">
                  <c:v>1.3363700000000001</c:v>
                </c:pt>
                <c:pt idx="2719">
                  <c:v>1.33975</c:v>
                </c:pt>
                <c:pt idx="2720">
                  <c:v>1.3361099999999999</c:v>
                </c:pt>
                <c:pt idx="2721">
                  <c:v>1.3317399999999999</c:v>
                </c:pt>
                <c:pt idx="2722">
                  <c:v>1.32576</c:v>
                </c:pt>
                <c:pt idx="2723">
                  <c:v>1.32819</c:v>
                </c:pt>
                <c:pt idx="2724">
                  <c:v>1.3238099999999999</c:v>
                </c:pt>
                <c:pt idx="2725">
                  <c:v>1.3190299999999999</c:v>
                </c:pt>
                <c:pt idx="2726">
                  <c:v>1.3168200000000001</c:v>
                </c:pt>
                <c:pt idx="2727">
                  <c:v>1.31935</c:v>
                </c:pt>
                <c:pt idx="2728">
                  <c:v>1.3183800000000001</c:v>
                </c:pt>
                <c:pt idx="2729">
                  <c:v>1.3132299999999999</c:v>
                </c:pt>
                <c:pt idx="2730">
                  <c:v>1.31273</c:v>
                </c:pt>
                <c:pt idx="2731">
                  <c:v>1.3132600000000001</c:v>
                </c:pt>
                <c:pt idx="2732">
                  <c:v>1.31487</c:v>
                </c:pt>
                <c:pt idx="2733">
                  <c:v>1.2935700000000001</c:v>
                </c:pt>
                <c:pt idx="2734">
                  <c:v>1.2950999999999999</c:v>
                </c:pt>
                <c:pt idx="2735">
                  <c:v>1.2900100000000001</c:v>
                </c:pt>
                <c:pt idx="2736">
                  <c:v>1.2940400000000001</c:v>
                </c:pt>
                <c:pt idx="2737">
                  <c:v>1.2915700000000001</c:v>
                </c:pt>
                <c:pt idx="2738">
                  <c:v>1.29233</c:v>
                </c:pt>
                <c:pt idx="2739">
                  <c:v>1.29643</c:v>
                </c:pt>
                <c:pt idx="2740">
                  <c:v>1.29409</c:v>
                </c:pt>
                <c:pt idx="2741">
                  <c:v>1.2957399999999999</c:v>
                </c:pt>
                <c:pt idx="2742">
                  <c:v>1.2844899999999999</c:v>
                </c:pt>
                <c:pt idx="2743">
                  <c:v>1.2916000000000001</c:v>
                </c:pt>
                <c:pt idx="2744">
                  <c:v>1.28284</c:v>
                </c:pt>
                <c:pt idx="2745">
                  <c:v>1.28464</c:v>
                </c:pt>
                <c:pt idx="2746">
                  <c:v>1.2848599999999999</c:v>
                </c:pt>
                <c:pt idx="2747">
                  <c:v>1.2778</c:v>
                </c:pt>
                <c:pt idx="2748">
                  <c:v>1.27515</c:v>
                </c:pt>
                <c:pt idx="2749">
                  <c:v>1.2682500000000001</c:v>
                </c:pt>
                <c:pt idx="2750">
                  <c:v>1.2688699999999999</c:v>
                </c:pt>
                <c:pt idx="2751">
                  <c:v>1.2630699999999999</c:v>
                </c:pt>
                <c:pt idx="2752">
                  <c:v>1.2618499999999999</c:v>
                </c:pt>
                <c:pt idx="2753">
                  <c:v>1.2669600000000001</c:v>
                </c:pt>
                <c:pt idx="2754">
                  <c:v>1.25145</c:v>
                </c:pt>
                <c:pt idx="2755">
                  <c:v>1.2653399999999999</c:v>
                </c:pt>
                <c:pt idx="2756">
                  <c:v>1.2664599999999999</c:v>
                </c:pt>
                <c:pt idx="2757">
                  <c:v>1.2730399999999999</c:v>
                </c:pt>
                <c:pt idx="2758">
                  <c:v>1.26895</c:v>
                </c:pt>
                <c:pt idx="2759">
                  <c:v>1.2627200000000001</c:v>
                </c:pt>
                <c:pt idx="2760">
                  <c:v>1.2741199999999999</c:v>
                </c:pt>
                <c:pt idx="2761">
                  <c:v>1.2658</c:v>
                </c:pt>
                <c:pt idx="2762">
                  <c:v>1.28156</c:v>
                </c:pt>
                <c:pt idx="2763">
                  <c:v>1.2804</c:v>
                </c:pt>
                <c:pt idx="2764">
                  <c:v>1.2759100000000001</c:v>
                </c:pt>
                <c:pt idx="2765">
                  <c:v>1.27942</c:v>
                </c:pt>
                <c:pt idx="2766">
                  <c:v>1.27112</c:v>
                </c:pt>
                <c:pt idx="2767">
                  <c:v>1.26441</c:v>
                </c:pt>
                <c:pt idx="2768">
                  <c:v>1.26447</c:v>
                </c:pt>
                <c:pt idx="2769">
                  <c:v>1.26681</c:v>
                </c:pt>
                <c:pt idx="2770">
                  <c:v>1.2694700000000001</c:v>
                </c:pt>
                <c:pt idx="2771">
                  <c:v>1.27355</c:v>
                </c:pt>
                <c:pt idx="2772">
                  <c:v>1.2637700000000001</c:v>
                </c:pt>
                <c:pt idx="2773">
                  <c:v>1.26047</c:v>
                </c:pt>
                <c:pt idx="2774">
                  <c:v>1.25231</c:v>
                </c:pt>
                <c:pt idx="2775">
                  <c:v>1.2490300000000001</c:v>
                </c:pt>
                <c:pt idx="2776">
                  <c:v>1.2552099999999999</c:v>
                </c:pt>
                <c:pt idx="2777">
                  <c:v>1.24746</c:v>
                </c:pt>
                <c:pt idx="2778">
                  <c:v>1.23786</c:v>
                </c:pt>
                <c:pt idx="2779">
                  <c:v>1.24535</c:v>
                </c:pt>
                <c:pt idx="2780">
                  <c:v>1.2423500000000001</c:v>
                </c:pt>
                <c:pt idx="2781">
                  <c:v>1.2472799999999999</c:v>
                </c:pt>
                <c:pt idx="2782">
                  <c:v>1.2427900000000001</c:v>
                </c:pt>
                <c:pt idx="2783">
                  <c:v>1.2474700000000001</c:v>
                </c:pt>
                <c:pt idx="2784">
                  <c:v>1.2521500000000001</c:v>
                </c:pt>
                <c:pt idx="2785">
                  <c:v>1.24491</c:v>
                </c:pt>
                <c:pt idx="2786">
                  <c:v>1.2531099999999999</c:v>
                </c:pt>
                <c:pt idx="2787">
                  <c:v>1.2544599999999999</c:v>
                </c:pt>
                <c:pt idx="2788">
                  <c:v>1.25413</c:v>
                </c:pt>
                <c:pt idx="2789">
                  <c:v>1.23892</c:v>
                </c:pt>
                <c:pt idx="2790">
                  <c:v>1.2441</c:v>
                </c:pt>
                <c:pt idx="2791">
                  <c:v>1.24736</c:v>
                </c:pt>
                <c:pt idx="2792">
                  <c:v>1.25044</c:v>
                </c:pt>
                <c:pt idx="2793">
                  <c:v>1.24664</c:v>
                </c:pt>
                <c:pt idx="2794">
                  <c:v>1.24498</c:v>
                </c:pt>
                <c:pt idx="2795">
                  <c:v>1.24682</c:v>
                </c:pt>
                <c:pt idx="2796">
                  <c:v>1.2381800000000001</c:v>
                </c:pt>
                <c:pt idx="2797">
                  <c:v>1.23092</c:v>
                </c:pt>
                <c:pt idx="2798">
                  <c:v>1.23787</c:v>
                </c:pt>
                <c:pt idx="2799">
                  <c:v>1.22844</c:v>
                </c:pt>
                <c:pt idx="2800">
                  <c:v>1.2316199999999999</c:v>
                </c:pt>
                <c:pt idx="2801">
                  <c:v>1.23736</c:v>
                </c:pt>
                <c:pt idx="2802">
                  <c:v>1.2446699999999999</c:v>
                </c:pt>
                <c:pt idx="2803">
                  <c:v>1.2407999999999999</c:v>
                </c:pt>
                <c:pt idx="2804">
                  <c:v>1.246</c:v>
                </c:pt>
                <c:pt idx="2805">
                  <c:v>1.2434499999999999</c:v>
                </c:pt>
                <c:pt idx="2806">
                  <c:v>1.25102</c:v>
                </c:pt>
                <c:pt idx="2807">
                  <c:v>1.2340599999999999</c:v>
                </c:pt>
                <c:pt idx="2808">
                  <c:v>1.2285600000000001</c:v>
                </c:pt>
                <c:pt idx="2809">
                  <c:v>1.22224</c:v>
                </c:pt>
                <c:pt idx="2810">
                  <c:v>1.22285</c:v>
                </c:pt>
                <c:pt idx="2811">
                  <c:v>1.2172099999999999</c:v>
                </c:pt>
                <c:pt idx="2812">
                  <c:v>1.2189099999999999</c:v>
                </c:pt>
                <c:pt idx="2813">
                  <c:v>1.21773</c:v>
                </c:pt>
                <c:pt idx="2814">
                  <c:v>1.2150000000000001</c:v>
                </c:pt>
                <c:pt idx="2815">
                  <c:v>1.21546</c:v>
                </c:pt>
                <c:pt idx="2816">
                  <c:v>1.21018</c:v>
                </c:pt>
                <c:pt idx="2817">
                  <c:v>1.20014</c:v>
                </c:pt>
                <c:pt idx="2818">
                  <c:v>1.1931700000000001</c:v>
                </c:pt>
                <c:pt idx="2819">
                  <c:v>1.1888700000000001</c:v>
                </c:pt>
                <c:pt idx="2820">
                  <c:v>1.1838599999999999</c:v>
                </c:pt>
                <c:pt idx="2821">
                  <c:v>1.17899</c:v>
                </c:pt>
                <c:pt idx="2822">
                  <c:v>1.1840200000000001</c:v>
                </c:pt>
                <c:pt idx="2823">
                  <c:v>1.1832499999999999</c:v>
                </c:pt>
                <c:pt idx="2824">
                  <c:v>1.1771799999999999</c:v>
                </c:pt>
                <c:pt idx="2825">
                  <c:v>1.1788099999999999</c:v>
                </c:pt>
                <c:pt idx="2826">
                  <c:v>1.1629799999999999</c:v>
                </c:pt>
                <c:pt idx="2827">
                  <c:v>1.1565000000000001</c:v>
                </c:pt>
                <c:pt idx="2828">
                  <c:v>1.1606000000000001</c:v>
                </c:pt>
                <c:pt idx="2829">
                  <c:v>1.15479</c:v>
                </c:pt>
                <c:pt idx="2830">
                  <c:v>1.1608700000000001</c:v>
                </c:pt>
                <c:pt idx="2831">
                  <c:v>1.13642</c:v>
                </c:pt>
                <c:pt idx="2832">
                  <c:v>1.12032</c:v>
                </c:pt>
                <c:pt idx="2833">
                  <c:v>1.1237299999999999</c:v>
                </c:pt>
                <c:pt idx="2834">
                  <c:v>1.1380300000000001</c:v>
                </c:pt>
                <c:pt idx="2835">
                  <c:v>1.1286499999999999</c:v>
                </c:pt>
                <c:pt idx="2836">
                  <c:v>1.13185</c:v>
                </c:pt>
                <c:pt idx="2837">
                  <c:v>1.1284400000000001</c:v>
                </c:pt>
                <c:pt idx="2838">
                  <c:v>1.1341300000000001</c:v>
                </c:pt>
                <c:pt idx="2839">
                  <c:v>1.14781</c:v>
                </c:pt>
                <c:pt idx="2840">
                  <c:v>1.1343300000000001</c:v>
                </c:pt>
                <c:pt idx="2841">
                  <c:v>1.1476299999999999</c:v>
                </c:pt>
                <c:pt idx="2842">
                  <c:v>1.1310199999999999</c:v>
                </c:pt>
                <c:pt idx="2843">
                  <c:v>1.1323399999999999</c:v>
                </c:pt>
                <c:pt idx="2844">
                  <c:v>1.1319699999999999</c:v>
                </c:pt>
                <c:pt idx="2845">
                  <c:v>1.13351</c:v>
                </c:pt>
                <c:pt idx="2846">
                  <c:v>1.14022</c:v>
                </c:pt>
                <c:pt idx="2847">
                  <c:v>1.1391899999999999</c:v>
                </c:pt>
                <c:pt idx="2848">
                  <c:v>1.1352800000000001</c:v>
                </c:pt>
                <c:pt idx="2849">
                  <c:v>1.141</c:v>
                </c:pt>
                <c:pt idx="2850">
                  <c:v>1.1396200000000001</c:v>
                </c:pt>
                <c:pt idx="2851">
                  <c:v>1.1367400000000001</c:v>
                </c:pt>
                <c:pt idx="2852">
                  <c:v>1.13785</c:v>
                </c:pt>
                <c:pt idx="2853">
                  <c:v>1.1334</c:v>
                </c:pt>
                <c:pt idx="2854">
                  <c:v>1.1339699999999999</c:v>
                </c:pt>
                <c:pt idx="2855">
                  <c:v>1.1360600000000001</c:v>
                </c:pt>
                <c:pt idx="2856">
                  <c:v>1.11975</c:v>
                </c:pt>
                <c:pt idx="2857">
                  <c:v>1.11957</c:v>
                </c:pt>
                <c:pt idx="2858">
                  <c:v>1.1182399999999999</c:v>
                </c:pt>
                <c:pt idx="2859">
                  <c:v>1.1175200000000001</c:v>
                </c:pt>
                <c:pt idx="2860">
                  <c:v>1.1076699999999999</c:v>
                </c:pt>
                <c:pt idx="2861">
                  <c:v>1.1029100000000001</c:v>
                </c:pt>
                <c:pt idx="2862">
                  <c:v>1.08433</c:v>
                </c:pt>
                <c:pt idx="2863">
                  <c:v>1.08518</c:v>
                </c:pt>
                <c:pt idx="2864">
                  <c:v>1.06785</c:v>
                </c:pt>
                <c:pt idx="2865">
                  <c:v>1.05444</c:v>
                </c:pt>
                <c:pt idx="2866">
                  <c:v>1.0624100000000001</c:v>
                </c:pt>
                <c:pt idx="2867">
                  <c:v>1.0490999999999999</c:v>
                </c:pt>
                <c:pt idx="2868">
                  <c:v>1.0566899999999999</c:v>
                </c:pt>
                <c:pt idx="2869">
                  <c:v>1.05972</c:v>
                </c:pt>
                <c:pt idx="2870">
                  <c:v>1.08284</c:v>
                </c:pt>
                <c:pt idx="2871">
                  <c:v>1.0656099999999999</c:v>
                </c:pt>
                <c:pt idx="2872">
                  <c:v>1.08189</c:v>
                </c:pt>
                <c:pt idx="2873">
                  <c:v>1.0944100000000001</c:v>
                </c:pt>
                <c:pt idx="2874">
                  <c:v>1.0917600000000001</c:v>
                </c:pt>
                <c:pt idx="2875">
                  <c:v>1.0970800000000001</c:v>
                </c:pt>
                <c:pt idx="2876">
                  <c:v>1.0873999999999999</c:v>
                </c:pt>
                <c:pt idx="2877">
                  <c:v>1.0884100000000001</c:v>
                </c:pt>
                <c:pt idx="2878">
                  <c:v>1.0831999999999999</c:v>
                </c:pt>
                <c:pt idx="2879">
                  <c:v>1.07308</c:v>
                </c:pt>
                <c:pt idx="2880">
                  <c:v>1.0762400000000001</c:v>
                </c:pt>
                <c:pt idx="2881">
                  <c:v>1.08792</c:v>
                </c:pt>
                <c:pt idx="2882">
                  <c:v>1.0967899999999999</c:v>
                </c:pt>
                <c:pt idx="2883">
                  <c:v>1.09213</c:v>
                </c:pt>
                <c:pt idx="2884">
                  <c:v>1.0813699999999999</c:v>
                </c:pt>
                <c:pt idx="2885">
                  <c:v>1.07795</c:v>
                </c:pt>
                <c:pt idx="2886">
                  <c:v>1.0658399999999999</c:v>
                </c:pt>
                <c:pt idx="2887">
                  <c:v>1.0603</c:v>
                </c:pt>
                <c:pt idx="2888">
                  <c:v>1.0565899999999999</c:v>
                </c:pt>
                <c:pt idx="2889">
                  <c:v>1.0653900000000001</c:v>
                </c:pt>
                <c:pt idx="2890">
                  <c:v>1.0686899999999999</c:v>
                </c:pt>
                <c:pt idx="2891">
                  <c:v>1.07592</c:v>
                </c:pt>
                <c:pt idx="2892">
                  <c:v>1.0808899999999999</c:v>
                </c:pt>
                <c:pt idx="2893">
                  <c:v>1.07379</c:v>
                </c:pt>
                <c:pt idx="2894">
                  <c:v>1.0733299999999999</c:v>
                </c:pt>
                <c:pt idx="2895">
                  <c:v>1.07253</c:v>
                </c:pt>
                <c:pt idx="2896">
                  <c:v>1.0824499999999999</c:v>
                </c:pt>
                <c:pt idx="2897">
                  <c:v>1.087</c:v>
                </c:pt>
                <c:pt idx="2898">
                  <c:v>1.0886899999999999</c:v>
                </c:pt>
                <c:pt idx="2899">
                  <c:v>1.09788</c:v>
                </c:pt>
                <c:pt idx="2900">
                  <c:v>1.1126499999999999</c:v>
                </c:pt>
                <c:pt idx="2901">
                  <c:v>1.12222</c:v>
                </c:pt>
                <c:pt idx="2902">
                  <c:v>1.1196699999999999</c:v>
                </c:pt>
                <c:pt idx="2903">
                  <c:v>1.11469</c:v>
                </c:pt>
                <c:pt idx="2904">
                  <c:v>1.11849</c:v>
                </c:pt>
                <c:pt idx="2905">
                  <c:v>1.1344700000000001</c:v>
                </c:pt>
                <c:pt idx="2906">
                  <c:v>1.1265700000000001</c:v>
                </c:pt>
                <c:pt idx="2907">
                  <c:v>1.1208499999999999</c:v>
                </c:pt>
                <c:pt idx="2908">
                  <c:v>1.1154200000000001</c:v>
                </c:pt>
                <c:pt idx="2909">
                  <c:v>1.12127</c:v>
                </c:pt>
                <c:pt idx="2910">
                  <c:v>1.1354200000000001</c:v>
                </c:pt>
                <c:pt idx="2911">
                  <c:v>1.1409499999999999</c:v>
                </c:pt>
                <c:pt idx="2912">
                  <c:v>1.14466</c:v>
                </c:pt>
                <c:pt idx="2913">
                  <c:v>1.1314</c:v>
                </c:pt>
                <c:pt idx="2914">
                  <c:v>1.1149</c:v>
                </c:pt>
                <c:pt idx="2915">
                  <c:v>1.1093200000000001</c:v>
                </c:pt>
                <c:pt idx="2916">
                  <c:v>1.11113</c:v>
                </c:pt>
                <c:pt idx="2917">
                  <c:v>1.10141</c:v>
                </c:pt>
                <c:pt idx="2918">
                  <c:v>1.0976900000000001</c:v>
                </c:pt>
                <c:pt idx="2919">
                  <c:v>1.0872299999999999</c:v>
                </c:pt>
                <c:pt idx="2920">
                  <c:v>1.0903400000000001</c:v>
                </c:pt>
                <c:pt idx="2921">
                  <c:v>1.09473</c:v>
                </c:pt>
                <c:pt idx="2922">
                  <c:v>1.0989500000000001</c:v>
                </c:pt>
                <c:pt idx="2923">
                  <c:v>1.0925800000000001</c:v>
                </c:pt>
                <c:pt idx="2924">
                  <c:v>1.1150100000000001</c:v>
                </c:pt>
                <c:pt idx="2925">
                  <c:v>1.12737</c:v>
                </c:pt>
                <c:pt idx="2926">
                  <c:v>1.1237200000000001</c:v>
                </c:pt>
                <c:pt idx="2927">
                  <c:v>1.1116299999999999</c:v>
                </c:pt>
                <c:pt idx="2928">
                  <c:v>1.1290800000000001</c:v>
                </c:pt>
                <c:pt idx="2929">
                  <c:v>1.1281699999999999</c:v>
                </c:pt>
                <c:pt idx="2930">
                  <c:v>1.1323000000000001</c:v>
                </c:pt>
                <c:pt idx="2931">
                  <c:v>1.1256600000000001</c:v>
                </c:pt>
                <c:pt idx="2932">
                  <c:v>1.1262099999999999</c:v>
                </c:pt>
                <c:pt idx="2933">
                  <c:v>1.1282000000000001</c:v>
                </c:pt>
                <c:pt idx="2934">
                  <c:v>1.1246700000000001</c:v>
                </c:pt>
                <c:pt idx="2935">
                  <c:v>1.13365</c:v>
                </c:pt>
                <c:pt idx="2936">
                  <c:v>1.13595</c:v>
                </c:pt>
                <c:pt idx="2937">
                  <c:v>1.13483</c:v>
                </c:pt>
                <c:pt idx="2938">
                  <c:v>1.1339600000000001</c:v>
                </c:pt>
                <c:pt idx="2939">
                  <c:v>1.1167400000000001</c:v>
                </c:pt>
                <c:pt idx="2940">
                  <c:v>1.12033</c:v>
                </c:pt>
                <c:pt idx="2941">
                  <c:v>1.12035</c:v>
                </c:pt>
                <c:pt idx="2942">
                  <c:v>1.11713</c:v>
                </c:pt>
                <c:pt idx="2943">
                  <c:v>1.1234999999999999</c:v>
                </c:pt>
                <c:pt idx="2944">
                  <c:v>1.11453</c:v>
                </c:pt>
                <c:pt idx="2945">
                  <c:v>1.1051800000000001</c:v>
                </c:pt>
                <c:pt idx="2946">
                  <c:v>1.10826</c:v>
                </c:pt>
                <c:pt idx="2947">
                  <c:v>1.1103799999999999</c:v>
                </c:pt>
                <c:pt idx="2948">
                  <c:v>1.10551</c:v>
                </c:pt>
                <c:pt idx="2949">
                  <c:v>1.10103</c:v>
                </c:pt>
                <c:pt idx="2950">
                  <c:v>1.1075600000000001</c:v>
                </c:pt>
                <c:pt idx="2951">
                  <c:v>1.1035299999999999</c:v>
                </c:pt>
                <c:pt idx="2952">
                  <c:v>1.11541</c:v>
                </c:pt>
                <c:pt idx="2953">
                  <c:v>1.1000099999999999</c:v>
                </c:pt>
                <c:pt idx="2954">
                  <c:v>1.1008199999999999</c:v>
                </c:pt>
                <c:pt idx="2955">
                  <c:v>1.09477</c:v>
                </c:pt>
                <c:pt idx="2956">
                  <c:v>1.0872999999999999</c:v>
                </c:pt>
                <c:pt idx="2957">
                  <c:v>1.0829899999999999</c:v>
                </c:pt>
                <c:pt idx="2958">
                  <c:v>1.0824499999999999</c:v>
                </c:pt>
                <c:pt idx="2959">
                  <c:v>1.09324</c:v>
                </c:pt>
                <c:pt idx="2960">
                  <c:v>1.0927800000000001</c:v>
                </c:pt>
                <c:pt idx="2961">
                  <c:v>1.09826</c:v>
                </c:pt>
                <c:pt idx="2962">
                  <c:v>1.09762</c:v>
                </c:pt>
                <c:pt idx="2963">
                  <c:v>1.10866</c:v>
                </c:pt>
                <c:pt idx="2964">
                  <c:v>1.10592</c:v>
                </c:pt>
                <c:pt idx="2965">
                  <c:v>1.0982099999999999</c:v>
                </c:pt>
                <c:pt idx="2966">
                  <c:v>1.0931299999999999</c:v>
                </c:pt>
                <c:pt idx="2967">
                  <c:v>1.0983099999999999</c:v>
                </c:pt>
                <c:pt idx="2968">
                  <c:v>1.0950299999999999</c:v>
                </c:pt>
                <c:pt idx="2969">
                  <c:v>1.08809</c:v>
                </c:pt>
                <c:pt idx="2970">
                  <c:v>1.0905199999999999</c:v>
                </c:pt>
                <c:pt idx="2971">
                  <c:v>1.0923499999999999</c:v>
                </c:pt>
                <c:pt idx="2972">
                  <c:v>1.0964</c:v>
                </c:pt>
                <c:pt idx="2973">
                  <c:v>1.10154</c:v>
                </c:pt>
                <c:pt idx="2974">
                  <c:v>1.1036999999999999</c:v>
                </c:pt>
                <c:pt idx="2975">
                  <c:v>1.1155299999999999</c:v>
                </c:pt>
                <c:pt idx="2976">
                  <c:v>1.11476</c:v>
                </c:pt>
                <c:pt idx="2977">
                  <c:v>1.111</c:v>
                </c:pt>
                <c:pt idx="2978">
                  <c:v>1.10728</c:v>
                </c:pt>
                <c:pt idx="2979">
                  <c:v>1.1022799999999999</c:v>
                </c:pt>
                <c:pt idx="2980">
                  <c:v>1.1115999999999999</c:v>
                </c:pt>
                <c:pt idx="2981">
                  <c:v>1.12375</c:v>
                </c:pt>
                <c:pt idx="2982">
                  <c:v>1.1386499999999999</c:v>
                </c:pt>
                <c:pt idx="2983">
                  <c:v>1.1612899999999999</c:v>
                </c:pt>
                <c:pt idx="2984">
                  <c:v>1.15127</c:v>
                </c:pt>
                <c:pt idx="2985">
                  <c:v>1.1311500000000001</c:v>
                </c:pt>
                <c:pt idx="2986">
                  <c:v>1.1239300000000001</c:v>
                </c:pt>
                <c:pt idx="2987">
                  <c:v>1.1180300000000001</c:v>
                </c:pt>
                <c:pt idx="2988">
                  <c:v>1.1209</c:v>
                </c:pt>
                <c:pt idx="2989">
                  <c:v>1.1313299999999999</c:v>
                </c:pt>
                <c:pt idx="2990">
                  <c:v>1.1225799999999999</c:v>
                </c:pt>
                <c:pt idx="2991">
                  <c:v>1.11222</c:v>
                </c:pt>
                <c:pt idx="2992">
                  <c:v>1.11469</c:v>
                </c:pt>
                <c:pt idx="2993">
                  <c:v>1.1168400000000001</c:v>
                </c:pt>
                <c:pt idx="2994">
                  <c:v>1.12012</c:v>
                </c:pt>
                <c:pt idx="2995">
                  <c:v>1.1206</c:v>
                </c:pt>
                <c:pt idx="2996">
                  <c:v>1.1277600000000001</c:v>
                </c:pt>
                <c:pt idx="2997">
                  <c:v>1.13395</c:v>
                </c:pt>
                <c:pt idx="2998">
                  <c:v>1.1315</c:v>
                </c:pt>
                <c:pt idx="2999">
                  <c:v>1.12687</c:v>
                </c:pt>
                <c:pt idx="3000">
                  <c:v>1.1289</c:v>
                </c:pt>
                <c:pt idx="3001">
                  <c:v>1.1433599999999999</c:v>
                </c:pt>
                <c:pt idx="3002">
                  <c:v>1.12985</c:v>
                </c:pt>
                <c:pt idx="3003">
                  <c:v>1.1188800000000001</c:v>
                </c:pt>
                <c:pt idx="3004">
                  <c:v>1.11236</c:v>
                </c:pt>
                <c:pt idx="3005">
                  <c:v>1.1184400000000001</c:v>
                </c:pt>
                <c:pt idx="3006">
                  <c:v>1.12321</c:v>
                </c:pt>
                <c:pt idx="3007">
                  <c:v>1.1199399999999999</c:v>
                </c:pt>
                <c:pt idx="3008">
                  <c:v>1.12436</c:v>
                </c:pt>
                <c:pt idx="3009">
                  <c:v>1.1247799999999999</c:v>
                </c:pt>
                <c:pt idx="3010">
                  <c:v>1.1176299999999999</c:v>
                </c:pt>
                <c:pt idx="3011">
                  <c:v>1.1193900000000001</c:v>
                </c:pt>
                <c:pt idx="3012">
                  <c:v>1.1209499999999999</c:v>
                </c:pt>
                <c:pt idx="3013">
                  <c:v>1.1187100000000001</c:v>
                </c:pt>
                <c:pt idx="3014">
                  <c:v>1.12704</c:v>
                </c:pt>
                <c:pt idx="3015">
                  <c:v>1.12368</c:v>
                </c:pt>
                <c:pt idx="3016">
                  <c:v>1.1275599999999999</c:v>
                </c:pt>
                <c:pt idx="3017">
                  <c:v>1.1356900000000001</c:v>
                </c:pt>
                <c:pt idx="3018">
                  <c:v>1.13578</c:v>
                </c:pt>
                <c:pt idx="3019">
                  <c:v>1.1378200000000001</c:v>
                </c:pt>
                <c:pt idx="3020">
                  <c:v>1.1473</c:v>
                </c:pt>
                <c:pt idx="3021">
                  <c:v>1.1380300000000001</c:v>
                </c:pt>
                <c:pt idx="3022">
                  <c:v>1.1347400000000001</c:v>
                </c:pt>
                <c:pt idx="3023">
                  <c:v>1.13269</c:v>
                </c:pt>
                <c:pt idx="3024">
                  <c:v>1.13453</c:v>
                </c:pt>
                <c:pt idx="3025">
                  <c:v>1.1338200000000001</c:v>
                </c:pt>
                <c:pt idx="3026">
                  <c:v>1.11087</c:v>
                </c:pt>
                <c:pt idx="3027">
                  <c:v>1.1016900000000001</c:v>
                </c:pt>
                <c:pt idx="3028">
                  <c:v>1.1052900000000001</c:v>
                </c:pt>
                <c:pt idx="3029">
                  <c:v>1.1046199999999999</c:v>
                </c:pt>
                <c:pt idx="3030">
                  <c:v>1.09267</c:v>
                </c:pt>
                <c:pt idx="3031">
                  <c:v>1.0985799999999999</c:v>
                </c:pt>
                <c:pt idx="3032">
                  <c:v>1.1005</c:v>
                </c:pt>
                <c:pt idx="3033">
                  <c:v>1.1014999999999999</c:v>
                </c:pt>
                <c:pt idx="3034">
                  <c:v>1.0962700000000001</c:v>
                </c:pt>
                <c:pt idx="3035">
                  <c:v>1.08653</c:v>
                </c:pt>
                <c:pt idx="3036">
                  <c:v>1.0882799999999999</c:v>
                </c:pt>
                <c:pt idx="3037">
                  <c:v>1.0739000000000001</c:v>
                </c:pt>
                <c:pt idx="3038">
                  <c:v>1.0749899999999999</c:v>
                </c:pt>
                <c:pt idx="3039">
                  <c:v>1.0722700000000001</c:v>
                </c:pt>
                <c:pt idx="3040">
                  <c:v>1.0741700000000001</c:v>
                </c:pt>
                <c:pt idx="3041">
                  <c:v>1.0811999999999999</c:v>
                </c:pt>
                <c:pt idx="3042">
                  <c:v>1.0766800000000001</c:v>
                </c:pt>
                <c:pt idx="3043">
                  <c:v>1.06847</c:v>
                </c:pt>
                <c:pt idx="3044">
                  <c:v>1.0643</c:v>
                </c:pt>
                <c:pt idx="3045">
                  <c:v>1.0658300000000001</c:v>
                </c:pt>
                <c:pt idx="3046">
                  <c:v>1.07338</c:v>
                </c:pt>
                <c:pt idx="3047">
                  <c:v>1.0645100000000001</c:v>
                </c:pt>
                <c:pt idx="3048">
                  <c:v>1.0635399999999999</c:v>
                </c:pt>
                <c:pt idx="3049">
                  <c:v>1.06426</c:v>
                </c:pt>
                <c:pt idx="3050">
                  <c:v>1.0623800000000001</c:v>
                </c:pt>
                <c:pt idx="3051">
                  <c:v>1.0610200000000001</c:v>
                </c:pt>
                <c:pt idx="3052">
                  <c:v>1.05938</c:v>
                </c:pt>
                <c:pt idx="3053">
                  <c:v>1.05643</c:v>
                </c:pt>
                <c:pt idx="3054">
                  <c:v>1.06324</c:v>
                </c:pt>
                <c:pt idx="3055">
                  <c:v>1.06135</c:v>
                </c:pt>
                <c:pt idx="3056">
                  <c:v>1.09385</c:v>
                </c:pt>
                <c:pt idx="3057">
                  <c:v>1.08779</c:v>
                </c:pt>
                <c:pt idx="3058">
                  <c:v>1.0836600000000001</c:v>
                </c:pt>
                <c:pt idx="3059">
                  <c:v>1.0891999999999999</c:v>
                </c:pt>
                <c:pt idx="3060">
                  <c:v>1.1024400000000001</c:v>
                </c:pt>
                <c:pt idx="3061">
                  <c:v>1.0940099999999999</c:v>
                </c:pt>
                <c:pt idx="3062">
                  <c:v>1.09894</c:v>
                </c:pt>
                <c:pt idx="3063">
                  <c:v>1.0992200000000001</c:v>
                </c:pt>
                <c:pt idx="3064">
                  <c:v>1.0928500000000001</c:v>
                </c:pt>
                <c:pt idx="3065">
                  <c:v>1.09104</c:v>
                </c:pt>
                <c:pt idx="3066">
                  <c:v>1.0824499999999999</c:v>
                </c:pt>
                <c:pt idx="3067">
                  <c:v>1.08613</c:v>
                </c:pt>
                <c:pt idx="3068">
                  <c:v>1.0913900000000001</c:v>
                </c:pt>
                <c:pt idx="3069">
                  <c:v>1.09568</c:v>
                </c:pt>
                <c:pt idx="3070">
                  <c:v>1.0909899999999999</c:v>
                </c:pt>
                <c:pt idx="3071">
                  <c:v>1.0954200000000001</c:v>
                </c:pt>
                <c:pt idx="3072">
                  <c:v>1.0968100000000001</c:v>
                </c:pt>
                <c:pt idx="3073">
                  <c:v>1.0918000000000001</c:v>
                </c:pt>
                <c:pt idx="3074">
                  <c:v>1.0931200000000001</c:v>
                </c:pt>
                <c:pt idx="3075">
                  <c:v>1.0855300000000001</c:v>
                </c:pt>
                <c:pt idx="3076">
                  <c:v>1.0831900000000001</c:v>
                </c:pt>
                <c:pt idx="3077">
                  <c:v>1.07463</c:v>
                </c:pt>
                <c:pt idx="3078">
                  <c:v>1.07796</c:v>
                </c:pt>
                <c:pt idx="3079">
                  <c:v>1.09287</c:v>
                </c:pt>
                <c:pt idx="3080">
                  <c:v>1.0924499999999999</c:v>
                </c:pt>
                <c:pt idx="3081">
                  <c:v>1.0858099999999999</c:v>
                </c:pt>
                <c:pt idx="3082">
                  <c:v>1.0857000000000001</c:v>
                </c:pt>
                <c:pt idx="3083">
                  <c:v>1.0875699999999999</c:v>
                </c:pt>
                <c:pt idx="3084">
                  <c:v>1.0863400000000001</c:v>
                </c:pt>
                <c:pt idx="3085">
                  <c:v>1.0913200000000001</c:v>
                </c:pt>
                <c:pt idx="3086">
                  <c:v>1.08941</c:v>
                </c:pt>
                <c:pt idx="3087">
                  <c:v>1.0906499999999999</c:v>
                </c:pt>
                <c:pt idx="3088">
                  <c:v>1.08883</c:v>
                </c:pt>
                <c:pt idx="3089">
                  <c:v>1.0872599999999999</c:v>
                </c:pt>
                <c:pt idx="3090">
                  <c:v>1.07965</c:v>
                </c:pt>
                <c:pt idx="3091">
                  <c:v>1.0847500000000001</c:v>
                </c:pt>
                <c:pt idx="3092">
                  <c:v>1.08683</c:v>
                </c:pt>
                <c:pt idx="3093">
                  <c:v>1.0891999999999999</c:v>
                </c:pt>
                <c:pt idx="3094">
                  <c:v>1.0939000000000001</c:v>
                </c:pt>
                <c:pt idx="3095">
                  <c:v>1.083</c:v>
                </c:pt>
                <c:pt idx="3096">
                  <c:v>1.08873</c:v>
                </c:pt>
                <c:pt idx="3097">
                  <c:v>1.0917699999999999</c:v>
                </c:pt>
                <c:pt idx="3098">
                  <c:v>1.1101700000000001</c:v>
                </c:pt>
                <c:pt idx="3099">
                  <c:v>1.1206700000000001</c:v>
                </c:pt>
                <c:pt idx="3100">
                  <c:v>1.11578</c:v>
                </c:pt>
                <c:pt idx="3101">
                  <c:v>1.1191199999999999</c:v>
                </c:pt>
                <c:pt idx="3102">
                  <c:v>1.1294</c:v>
                </c:pt>
                <c:pt idx="3103">
                  <c:v>1.1288899999999999</c:v>
                </c:pt>
                <c:pt idx="3104">
                  <c:v>1.13218</c:v>
                </c:pt>
                <c:pt idx="3105">
                  <c:v>1.12503</c:v>
                </c:pt>
                <c:pt idx="3106">
                  <c:v>1.11531</c:v>
                </c:pt>
                <c:pt idx="3107">
                  <c:v>1.1142300000000001</c:v>
                </c:pt>
                <c:pt idx="3108">
                  <c:v>1.11267</c:v>
                </c:pt>
                <c:pt idx="3109">
                  <c:v>1.1105799999999999</c:v>
                </c:pt>
                <c:pt idx="3110">
                  <c:v>1.1127899999999999</c:v>
                </c:pt>
                <c:pt idx="3111">
                  <c:v>1.1028100000000001</c:v>
                </c:pt>
                <c:pt idx="3112">
                  <c:v>1.1017999999999999</c:v>
                </c:pt>
                <c:pt idx="3113">
                  <c:v>1.1011599999999999</c:v>
                </c:pt>
                <c:pt idx="3114">
                  <c:v>1.10168</c:v>
                </c:pt>
                <c:pt idx="3115">
                  <c:v>1.0928899999999999</c:v>
                </c:pt>
                <c:pt idx="3116">
                  <c:v>1.08718</c:v>
                </c:pt>
                <c:pt idx="3117">
                  <c:v>1.08656</c:v>
                </c:pt>
                <c:pt idx="3118">
                  <c:v>1.0867199999999999</c:v>
                </c:pt>
                <c:pt idx="3119">
                  <c:v>1.0955600000000001</c:v>
                </c:pt>
                <c:pt idx="3120">
                  <c:v>1.1006400000000001</c:v>
                </c:pt>
                <c:pt idx="3121">
                  <c:v>1.10121</c:v>
                </c:pt>
                <c:pt idx="3122">
                  <c:v>1.1009599999999999</c:v>
                </c:pt>
                <c:pt idx="3123">
                  <c:v>1.09981</c:v>
                </c:pt>
                <c:pt idx="3124">
                  <c:v>1.1175900000000001</c:v>
                </c:pt>
                <c:pt idx="3125">
                  <c:v>1.1146199999999999</c:v>
                </c:pt>
                <c:pt idx="3126">
                  <c:v>1.11012</c:v>
                </c:pt>
                <c:pt idx="3127">
                  <c:v>1.1104799999999999</c:v>
                </c:pt>
                <c:pt idx="3128">
                  <c:v>1.1212</c:v>
                </c:pt>
                <c:pt idx="3129">
                  <c:v>1.13151</c:v>
                </c:pt>
                <c:pt idx="3130">
                  <c:v>1.1268800000000001</c:v>
                </c:pt>
                <c:pt idx="3131">
                  <c:v>1.1238600000000001</c:v>
                </c:pt>
                <c:pt idx="3132">
                  <c:v>1.1214999999999999</c:v>
                </c:pt>
                <c:pt idx="3133">
                  <c:v>1.1179600000000001</c:v>
                </c:pt>
                <c:pt idx="3134">
                  <c:v>1.1178600000000001</c:v>
                </c:pt>
                <c:pt idx="3135">
                  <c:v>1.1161300000000001</c:v>
                </c:pt>
                <c:pt idx="3136">
                  <c:v>1.1195200000000001</c:v>
                </c:pt>
                <c:pt idx="3137">
                  <c:v>1.12893</c:v>
                </c:pt>
                <c:pt idx="3138">
                  <c:v>1.1338699999999999</c:v>
                </c:pt>
                <c:pt idx="3139">
                  <c:v>1.13788</c:v>
                </c:pt>
                <c:pt idx="3140">
                  <c:v>1.13897</c:v>
                </c:pt>
                <c:pt idx="3141">
                  <c:v>1.1388799999999999</c:v>
                </c:pt>
                <c:pt idx="3142">
                  <c:v>1.13826</c:v>
                </c:pt>
                <c:pt idx="3143">
                  <c:v>1.1397900000000001</c:v>
                </c:pt>
                <c:pt idx="3144">
                  <c:v>1.13767</c:v>
                </c:pt>
                <c:pt idx="3145">
                  <c:v>1.1394899999999999</c:v>
                </c:pt>
                <c:pt idx="3146">
                  <c:v>1.14097</c:v>
                </c:pt>
                <c:pt idx="3147">
                  <c:v>1.13835</c:v>
                </c:pt>
                <c:pt idx="3148">
                  <c:v>1.12723</c:v>
                </c:pt>
                <c:pt idx="3149">
                  <c:v>1.12663</c:v>
                </c:pt>
                <c:pt idx="3150">
                  <c:v>1.1282700000000001</c:v>
                </c:pt>
                <c:pt idx="3151">
                  <c:v>1.1311899999999999</c:v>
                </c:pt>
                <c:pt idx="3152">
                  <c:v>1.13575</c:v>
                </c:pt>
                <c:pt idx="3153">
                  <c:v>1.1295200000000001</c:v>
                </c:pt>
                <c:pt idx="3154">
                  <c:v>1.1286</c:v>
                </c:pt>
                <c:pt idx="3155">
                  <c:v>1.12154</c:v>
                </c:pt>
                <c:pt idx="3156">
                  <c:v>1.1266</c:v>
                </c:pt>
                <c:pt idx="3157">
                  <c:v>1.1294999999999999</c:v>
                </c:pt>
                <c:pt idx="3158">
                  <c:v>1.13191</c:v>
                </c:pt>
                <c:pt idx="3159">
                  <c:v>1.1350899999999999</c:v>
                </c:pt>
                <c:pt idx="3160">
                  <c:v>1.1450400000000001</c:v>
                </c:pt>
                <c:pt idx="3161">
                  <c:v>1.1533100000000001</c:v>
                </c:pt>
                <c:pt idx="3162">
                  <c:v>1.1494899999999999</c:v>
                </c:pt>
                <c:pt idx="3163">
                  <c:v>1.14855</c:v>
                </c:pt>
                <c:pt idx="3164">
                  <c:v>1.1404799999999999</c:v>
                </c:pt>
                <c:pt idx="3165">
                  <c:v>1.14009</c:v>
                </c:pt>
                <c:pt idx="3166">
                  <c:v>1.1380600000000001</c:v>
                </c:pt>
                <c:pt idx="3167">
                  <c:v>1.13717</c:v>
                </c:pt>
                <c:pt idx="3168">
                  <c:v>1.1425099999999999</c:v>
                </c:pt>
                <c:pt idx="3169">
                  <c:v>1.1376599999999999</c:v>
                </c:pt>
                <c:pt idx="3170">
                  <c:v>1.1308800000000001</c:v>
                </c:pt>
                <c:pt idx="3171">
                  <c:v>1.1319300000000001</c:v>
                </c:pt>
                <c:pt idx="3172">
                  <c:v>1.1311800000000001</c:v>
                </c:pt>
                <c:pt idx="3173">
                  <c:v>1.12158</c:v>
                </c:pt>
                <c:pt idx="3174">
                  <c:v>1.12019</c:v>
                </c:pt>
                <c:pt idx="3175">
                  <c:v>1.1221699999999999</c:v>
                </c:pt>
                <c:pt idx="3176">
                  <c:v>1.1218999999999999</c:v>
                </c:pt>
                <c:pt idx="3177">
                  <c:v>1.1139300000000001</c:v>
                </c:pt>
                <c:pt idx="3178">
                  <c:v>1.1153900000000001</c:v>
                </c:pt>
                <c:pt idx="3179">
                  <c:v>1.11927</c:v>
                </c:pt>
                <c:pt idx="3180">
                  <c:v>1.1113</c:v>
                </c:pt>
                <c:pt idx="3181">
                  <c:v>1.1137999999999999</c:v>
                </c:pt>
                <c:pt idx="3182">
                  <c:v>1.11303</c:v>
                </c:pt>
                <c:pt idx="3183">
                  <c:v>1.11869</c:v>
                </c:pt>
                <c:pt idx="3184">
                  <c:v>1.1151</c:v>
                </c:pt>
                <c:pt idx="3185">
                  <c:v>1.13662</c:v>
                </c:pt>
                <c:pt idx="3186">
                  <c:v>1.1352800000000001</c:v>
                </c:pt>
                <c:pt idx="3187">
                  <c:v>1.1355500000000001</c:v>
                </c:pt>
                <c:pt idx="3188">
                  <c:v>1.1393800000000001</c:v>
                </c:pt>
                <c:pt idx="3189">
                  <c:v>1.1312899999999999</c:v>
                </c:pt>
                <c:pt idx="3190">
                  <c:v>1.1253299999999999</c:v>
                </c:pt>
                <c:pt idx="3191">
                  <c:v>1.12893</c:v>
                </c:pt>
                <c:pt idx="3192">
                  <c:v>1.12056</c:v>
                </c:pt>
                <c:pt idx="3193">
                  <c:v>1.12602</c:v>
                </c:pt>
                <c:pt idx="3194">
                  <c:v>1.1223000000000001</c:v>
                </c:pt>
                <c:pt idx="3195">
                  <c:v>1.1275200000000001</c:v>
                </c:pt>
                <c:pt idx="3196">
                  <c:v>1.13121</c:v>
                </c:pt>
                <c:pt idx="3197">
                  <c:v>1.12439</c:v>
                </c:pt>
                <c:pt idx="3198">
                  <c:v>1.12947</c:v>
                </c:pt>
                <c:pt idx="3199">
                  <c:v>1.13791</c:v>
                </c:pt>
                <c:pt idx="3200">
                  <c:v>1.1091200000000001</c:v>
                </c:pt>
                <c:pt idx="3201">
                  <c:v>1.1023700000000001</c:v>
                </c:pt>
                <c:pt idx="3202">
                  <c:v>1.1064700000000001</c:v>
                </c:pt>
                <c:pt idx="3203">
                  <c:v>1.1123499999999999</c:v>
                </c:pt>
                <c:pt idx="3204">
                  <c:v>1.1104799999999999</c:v>
                </c:pt>
                <c:pt idx="3205">
                  <c:v>1.11361</c:v>
                </c:pt>
                <c:pt idx="3206">
                  <c:v>1.1153200000000001</c:v>
                </c:pt>
                <c:pt idx="3207">
                  <c:v>1.1074999999999999</c:v>
                </c:pt>
                <c:pt idx="3208">
                  <c:v>1.10989</c:v>
                </c:pt>
                <c:pt idx="3209">
                  <c:v>1.1060099999999999</c:v>
                </c:pt>
                <c:pt idx="3210">
                  <c:v>1.10497</c:v>
                </c:pt>
                <c:pt idx="3211">
                  <c:v>1.10568</c:v>
                </c:pt>
                <c:pt idx="3212">
                  <c:v>1.1060399999999999</c:v>
                </c:pt>
                <c:pt idx="3213">
                  <c:v>1.10883</c:v>
                </c:pt>
                <c:pt idx="3214">
                  <c:v>1.11191</c:v>
                </c:pt>
                <c:pt idx="3215">
                  <c:v>1.1024400000000001</c:v>
                </c:pt>
                <c:pt idx="3216">
                  <c:v>1.10748</c:v>
                </c:pt>
                <c:pt idx="3217">
                  <c:v>1.10189</c:v>
                </c:pt>
                <c:pt idx="3218">
                  <c:v>1.1012900000000001</c:v>
                </c:pt>
                <c:pt idx="3219">
                  <c:v>1.1023700000000001</c:v>
                </c:pt>
                <c:pt idx="3220">
                  <c:v>1.0974699999999999</c:v>
                </c:pt>
                <c:pt idx="3221">
                  <c:v>1.0994200000000001</c:v>
                </c:pt>
                <c:pt idx="3222">
                  <c:v>1.0985499999999999</c:v>
                </c:pt>
                <c:pt idx="3223">
                  <c:v>1.1058300000000001</c:v>
                </c:pt>
                <c:pt idx="3224">
                  <c:v>1.1075699999999999</c:v>
                </c:pt>
                <c:pt idx="3225">
                  <c:v>1.1174299999999999</c:v>
                </c:pt>
                <c:pt idx="3226">
                  <c:v>1.1161399999999999</c:v>
                </c:pt>
                <c:pt idx="3227">
                  <c:v>1.12209</c:v>
                </c:pt>
                <c:pt idx="3228">
                  <c:v>1.1147400000000001</c:v>
                </c:pt>
                <c:pt idx="3229">
                  <c:v>1.1128199999999999</c:v>
                </c:pt>
                <c:pt idx="3230">
                  <c:v>1.10867</c:v>
                </c:pt>
                <c:pt idx="3231">
                  <c:v>1.1087800000000001</c:v>
                </c:pt>
                <c:pt idx="3232">
                  <c:v>1.1116900000000001</c:v>
                </c:pt>
                <c:pt idx="3233">
                  <c:v>1.11744</c:v>
                </c:pt>
                <c:pt idx="3234">
                  <c:v>1.11354</c:v>
                </c:pt>
                <c:pt idx="3235">
                  <c:v>1.1163400000000001</c:v>
                </c:pt>
                <c:pt idx="3236">
                  <c:v>1.11825</c:v>
                </c:pt>
                <c:pt idx="3237">
                  <c:v>1.1277200000000001</c:v>
                </c:pt>
                <c:pt idx="3238">
                  <c:v>1.1287400000000001</c:v>
                </c:pt>
                <c:pt idx="3239">
                  <c:v>1.1353599999999999</c:v>
                </c:pt>
                <c:pt idx="3240">
                  <c:v>1.1323700000000001</c:v>
                </c:pt>
                <c:pt idx="3241">
                  <c:v>1.1318999999999999</c:v>
                </c:pt>
                <c:pt idx="3242">
                  <c:v>1.1304099999999999</c:v>
                </c:pt>
                <c:pt idx="3243">
                  <c:v>1.1262799999999999</c:v>
                </c:pt>
                <c:pt idx="3244">
                  <c:v>1.1283300000000001</c:v>
                </c:pt>
                <c:pt idx="3245">
                  <c:v>1.11856</c:v>
                </c:pt>
                <c:pt idx="3246">
                  <c:v>1.1188899999999999</c:v>
                </c:pt>
                <c:pt idx="3247">
                  <c:v>1.1141799999999999</c:v>
                </c:pt>
                <c:pt idx="3248">
                  <c:v>1.11571</c:v>
                </c:pt>
                <c:pt idx="3249">
                  <c:v>1.11957</c:v>
                </c:pt>
                <c:pt idx="3250">
                  <c:v>1.11449</c:v>
                </c:pt>
                <c:pt idx="3251">
                  <c:v>1.1145799999999999</c:v>
                </c:pt>
                <c:pt idx="3252">
                  <c:v>1.1255500000000001</c:v>
                </c:pt>
                <c:pt idx="3253">
                  <c:v>1.12385</c:v>
                </c:pt>
                <c:pt idx="3254">
                  <c:v>1.1260699999999999</c:v>
                </c:pt>
                <c:pt idx="3255">
                  <c:v>1.12235</c:v>
                </c:pt>
                <c:pt idx="3256">
                  <c:v>1.1234900000000001</c:v>
                </c:pt>
                <c:pt idx="3257">
                  <c:v>1.12182</c:v>
                </c:pt>
                <c:pt idx="3258">
                  <c:v>1.1249499999999999</c:v>
                </c:pt>
                <c:pt idx="3259">
                  <c:v>1.12435</c:v>
                </c:pt>
                <c:pt idx="3260">
                  <c:v>1.1153500000000001</c:v>
                </c:pt>
                <c:pt idx="3261">
                  <c:v>1.11731</c:v>
                </c:pt>
                <c:pt idx="3262">
                  <c:v>1.1150100000000001</c:v>
                </c:pt>
                <c:pt idx="3263">
                  <c:v>1.1187800000000001</c:v>
                </c:pt>
                <c:pt idx="3264">
                  <c:v>1.1206799999999999</c:v>
                </c:pt>
                <c:pt idx="3265">
                  <c:v>1.1214900000000001</c:v>
                </c:pt>
                <c:pt idx="3266">
                  <c:v>1.12524</c:v>
                </c:pt>
                <c:pt idx="3267">
                  <c:v>1.12137</c:v>
                </c:pt>
                <c:pt idx="3268">
                  <c:v>1.1216299999999999</c:v>
                </c:pt>
                <c:pt idx="3269">
                  <c:v>1.1221000000000001</c:v>
                </c:pt>
                <c:pt idx="3270">
                  <c:v>1.12399</c:v>
                </c:pt>
                <c:pt idx="3271">
                  <c:v>1.12096</c:v>
                </c:pt>
                <c:pt idx="3272">
                  <c:v>1.12042</c:v>
                </c:pt>
                <c:pt idx="3273">
                  <c:v>1.1203099999999999</c:v>
                </c:pt>
                <c:pt idx="3274">
                  <c:v>1.11493</c:v>
                </c:pt>
                <c:pt idx="3275">
                  <c:v>1.11931</c:v>
                </c:pt>
                <c:pt idx="3276">
                  <c:v>1.1138999999999999</c:v>
                </c:pt>
                <c:pt idx="3277">
                  <c:v>1.1052999999999999</c:v>
                </c:pt>
                <c:pt idx="3278">
                  <c:v>1.10046</c:v>
                </c:pt>
                <c:pt idx="3279">
                  <c:v>1.10547</c:v>
                </c:pt>
                <c:pt idx="3280">
                  <c:v>1.09711</c:v>
                </c:pt>
                <c:pt idx="3281">
                  <c:v>1.09985</c:v>
                </c:pt>
                <c:pt idx="3282">
                  <c:v>1.0979399999999999</c:v>
                </c:pt>
                <c:pt idx="3283">
                  <c:v>1.09735</c:v>
                </c:pt>
                <c:pt idx="3284">
                  <c:v>1.0928500000000001</c:v>
                </c:pt>
                <c:pt idx="3285">
                  <c:v>1.0873600000000001</c:v>
                </c:pt>
                <c:pt idx="3286">
                  <c:v>1.08812</c:v>
                </c:pt>
                <c:pt idx="3287">
                  <c:v>1.0888</c:v>
                </c:pt>
                <c:pt idx="3288">
                  <c:v>1.0906899999999999</c:v>
                </c:pt>
                <c:pt idx="3289">
                  <c:v>1.08945</c:v>
                </c:pt>
                <c:pt idx="3290">
                  <c:v>1.09745</c:v>
                </c:pt>
                <c:pt idx="3291">
                  <c:v>1.09762</c:v>
                </c:pt>
                <c:pt idx="3292">
                  <c:v>1.10564</c:v>
                </c:pt>
                <c:pt idx="3293">
                  <c:v>1.1094599999999999</c:v>
                </c:pt>
                <c:pt idx="3294">
                  <c:v>1.1105</c:v>
                </c:pt>
                <c:pt idx="3295">
                  <c:v>1.11375</c:v>
                </c:pt>
                <c:pt idx="3296">
                  <c:v>1.10395</c:v>
                </c:pt>
                <c:pt idx="3297">
                  <c:v>1.1025700000000001</c:v>
                </c:pt>
                <c:pt idx="3298">
                  <c:v>1.09077</c:v>
                </c:pt>
                <c:pt idx="3299">
                  <c:v>1.08907</c:v>
                </c:pt>
                <c:pt idx="3300">
                  <c:v>1.0850299999999999</c:v>
                </c:pt>
                <c:pt idx="3301">
                  <c:v>1.07358</c:v>
                </c:pt>
                <c:pt idx="3302">
                  <c:v>1.0721499999999999</c:v>
                </c:pt>
                <c:pt idx="3303">
                  <c:v>1.06898</c:v>
                </c:pt>
                <c:pt idx="3304">
                  <c:v>1.0624100000000001</c:v>
                </c:pt>
                <c:pt idx="3305">
                  <c:v>1.05826</c:v>
                </c:pt>
                <c:pt idx="3306">
                  <c:v>1.06264</c:v>
                </c:pt>
                <c:pt idx="3307">
                  <c:v>1.06243</c:v>
                </c:pt>
                <c:pt idx="3308">
                  <c:v>1.0551600000000001</c:v>
                </c:pt>
                <c:pt idx="3309">
                  <c:v>1.0551699999999999</c:v>
                </c:pt>
                <c:pt idx="3310">
                  <c:v>1.05772</c:v>
                </c:pt>
                <c:pt idx="3311">
                  <c:v>1.0612200000000001</c:v>
                </c:pt>
                <c:pt idx="3312">
                  <c:v>1.06487</c:v>
                </c:pt>
                <c:pt idx="3313">
                  <c:v>1.0587</c:v>
                </c:pt>
                <c:pt idx="3314">
                  <c:v>1.06596</c:v>
                </c:pt>
                <c:pt idx="3315">
                  <c:v>1.06538</c:v>
                </c:pt>
                <c:pt idx="3316">
                  <c:v>1.0763100000000001</c:v>
                </c:pt>
                <c:pt idx="3317">
                  <c:v>1.0717699999999999</c:v>
                </c:pt>
                <c:pt idx="3318">
                  <c:v>1.0751299999999999</c:v>
                </c:pt>
                <c:pt idx="3319">
                  <c:v>1.06121</c:v>
                </c:pt>
                <c:pt idx="3320">
                  <c:v>1.05515</c:v>
                </c:pt>
                <c:pt idx="3321">
                  <c:v>1.0633600000000001</c:v>
                </c:pt>
                <c:pt idx="3322">
                  <c:v>1.0624400000000001</c:v>
                </c:pt>
                <c:pt idx="3323">
                  <c:v>1.0533999999999999</c:v>
                </c:pt>
                <c:pt idx="3324">
                  <c:v>1.0412600000000001</c:v>
                </c:pt>
                <c:pt idx="3325">
                  <c:v>1.0440100000000001</c:v>
                </c:pt>
                <c:pt idx="3326">
                  <c:v>1.0401</c:v>
                </c:pt>
                <c:pt idx="3327">
                  <c:v>1.03867</c:v>
                </c:pt>
                <c:pt idx="3328">
                  <c:v>1.0422800000000001</c:v>
                </c:pt>
                <c:pt idx="3329">
                  <c:v>1.04355</c:v>
                </c:pt>
                <c:pt idx="3330">
                  <c:v>1.0469999999999999</c:v>
                </c:pt>
                <c:pt idx="3331">
                  <c:v>1.04491</c:v>
                </c:pt>
                <c:pt idx="3332">
                  <c:v>1.04566</c:v>
                </c:pt>
                <c:pt idx="3333">
                  <c:v>1.0410200000000001</c:v>
                </c:pt>
                <c:pt idx="3334">
                  <c:v>1.0489200000000001</c:v>
                </c:pt>
                <c:pt idx="3335">
                  <c:v>1.0512900000000001</c:v>
                </c:pt>
                <c:pt idx="3336">
                  <c:v>1.0451900000000001</c:v>
                </c:pt>
                <c:pt idx="3337">
                  <c:v>1.04044</c:v>
                </c:pt>
                <c:pt idx="3338">
                  <c:v>1.04871</c:v>
                </c:pt>
                <c:pt idx="3339">
                  <c:v>1.0605500000000001</c:v>
                </c:pt>
                <c:pt idx="3340">
                  <c:v>1.0523499999999999</c:v>
                </c:pt>
                <c:pt idx="3341">
                  <c:v>1.0572299999999999</c:v>
                </c:pt>
                <c:pt idx="3342">
                  <c:v>1.0553399999999999</c:v>
                </c:pt>
                <c:pt idx="3343">
                  <c:v>1.0581799999999999</c:v>
                </c:pt>
                <c:pt idx="3344">
                  <c:v>1.0610900000000001</c:v>
                </c:pt>
                <c:pt idx="3345">
                  <c:v>1.0642</c:v>
                </c:pt>
                <c:pt idx="3346">
                  <c:v>1.0594600000000001</c:v>
                </c:pt>
                <c:pt idx="3347">
                  <c:v>1.0711999999999999</c:v>
                </c:pt>
                <c:pt idx="3348">
                  <c:v>1.0628599999999999</c:v>
                </c:pt>
                <c:pt idx="3349">
                  <c:v>1.0662700000000001</c:v>
                </c:pt>
                <c:pt idx="3350">
                  <c:v>1.06982</c:v>
                </c:pt>
                <c:pt idx="3351">
                  <c:v>1.0763100000000001</c:v>
                </c:pt>
                <c:pt idx="3352">
                  <c:v>1.0730999999999999</c:v>
                </c:pt>
                <c:pt idx="3353">
                  <c:v>1.0746500000000001</c:v>
                </c:pt>
                <c:pt idx="3354">
                  <c:v>1.0681</c:v>
                </c:pt>
                <c:pt idx="3355">
                  <c:v>1.06968</c:v>
                </c:pt>
                <c:pt idx="3356">
                  <c:v>1.0691999999999999</c:v>
                </c:pt>
                <c:pt idx="3357">
                  <c:v>1.07968</c:v>
                </c:pt>
                <c:pt idx="3358">
                  <c:v>1.0767500000000001</c:v>
                </c:pt>
                <c:pt idx="3359">
                  <c:v>1.07569</c:v>
                </c:pt>
                <c:pt idx="3360">
                  <c:v>1.07789</c:v>
                </c:pt>
                <c:pt idx="3361">
                  <c:v>1.0748800000000001</c:v>
                </c:pt>
                <c:pt idx="3362">
                  <c:v>1.0682</c:v>
                </c:pt>
                <c:pt idx="3363">
                  <c:v>1.06969</c:v>
                </c:pt>
                <c:pt idx="3364">
                  <c:v>1.06541</c:v>
                </c:pt>
                <c:pt idx="3365">
                  <c:v>1.0637700000000001</c:v>
                </c:pt>
                <c:pt idx="3366">
                  <c:v>1.05972</c:v>
                </c:pt>
                <c:pt idx="3367">
                  <c:v>1.0576399999999999</c:v>
                </c:pt>
                <c:pt idx="3368">
                  <c:v>1.0599099999999999</c:v>
                </c:pt>
                <c:pt idx="3369">
                  <c:v>1.0672699999999999</c:v>
                </c:pt>
                <c:pt idx="3370">
                  <c:v>1.0605599999999999</c:v>
                </c:pt>
                <c:pt idx="3371">
                  <c:v>1.0610299999999999</c:v>
                </c:pt>
                <c:pt idx="3372">
                  <c:v>1.05349</c:v>
                </c:pt>
                <c:pt idx="3373">
                  <c:v>1.0557300000000001</c:v>
                </c:pt>
                <c:pt idx="3374">
                  <c:v>1.0580400000000001</c:v>
                </c:pt>
                <c:pt idx="3375">
                  <c:v>1.0551299999999999</c:v>
                </c:pt>
                <c:pt idx="3376">
                  <c:v>1.0585100000000001</c:v>
                </c:pt>
                <c:pt idx="3377">
                  <c:v>1.0575699999999999</c:v>
                </c:pt>
                <c:pt idx="3378">
                  <c:v>1.0545899999999999</c:v>
                </c:pt>
                <c:pt idx="3379">
                  <c:v>1.0505899999999999</c:v>
                </c:pt>
                <c:pt idx="3380">
                  <c:v>1.06166</c:v>
                </c:pt>
                <c:pt idx="3381">
                  <c:v>1.05803</c:v>
                </c:pt>
                <c:pt idx="3382">
                  <c:v>1.0565500000000001</c:v>
                </c:pt>
                <c:pt idx="3383">
                  <c:v>1.05392</c:v>
                </c:pt>
                <c:pt idx="3384">
                  <c:v>1.0575600000000001</c:v>
                </c:pt>
                <c:pt idx="3385">
                  <c:v>1.0671200000000001</c:v>
                </c:pt>
                <c:pt idx="3386">
                  <c:v>1.06535</c:v>
                </c:pt>
                <c:pt idx="3387">
                  <c:v>1.06077</c:v>
                </c:pt>
                <c:pt idx="3388">
                  <c:v>1.0736000000000001</c:v>
                </c:pt>
                <c:pt idx="3389">
                  <c:v>1.0771500000000001</c:v>
                </c:pt>
                <c:pt idx="3390">
                  <c:v>1.07362</c:v>
                </c:pt>
                <c:pt idx="3391">
                  <c:v>1.0736300000000001</c:v>
                </c:pt>
                <c:pt idx="3392">
                  <c:v>1.0806</c:v>
                </c:pt>
                <c:pt idx="3393">
                  <c:v>1.0791900000000001</c:v>
                </c:pt>
                <c:pt idx="3394">
                  <c:v>1.07822</c:v>
                </c:pt>
                <c:pt idx="3395">
                  <c:v>1.0795699999999999</c:v>
                </c:pt>
                <c:pt idx="3396">
                  <c:v>1.0863799999999999</c:v>
                </c:pt>
                <c:pt idx="3397">
                  <c:v>1.0812299999999999</c:v>
                </c:pt>
                <c:pt idx="3398">
                  <c:v>1.0764</c:v>
                </c:pt>
                <c:pt idx="3399">
                  <c:v>1.0673999999999999</c:v>
                </c:pt>
                <c:pt idx="3400">
                  <c:v>1.0646199999999999</c:v>
                </c:pt>
                <c:pt idx="3401">
                  <c:v>1.0668299999999999</c:v>
                </c:pt>
                <c:pt idx="3402">
                  <c:v>1.0671999999999999</c:v>
                </c:pt>
                <c:pt idx="3403">
                  <c:v>1.0662400000000001</c:v>
                </c:pt>
                <c:pt idx="3404">
                  <c:v>1.0643400000000001</c:v>
                </c:pt>
                <c:pt idx="3405">
                  <c:v>1.05884</c:v>
                </c:pt>
                <c:pt idx="3406">
                  <c:v>1.0594699999999999</c:v>
                </c:pt>
                <c:pt idx="3407">
                  <c:v>1.06037</c:v>
                </c:pt>
                <c:pt idx="3408">
                  <c:v>1.06633</c:v>
                </c:pt>
                <c:pt idx="3409">
                  <c:v>1.0612200000000001</c:v>
                </c:pt>
                <c:pt idx="3410">
                  <c:v>1.0609599999999999</c:v>
                </c:pt>
                <c:pt idx="3411">
                  <c:v>1.0641099999999999</c:v>
                </c:pt>
                <c:pt idx="3412">
                  <c:v>1.0730200000000001</c:v>
                </c:pt>
                <c:pt idx="3413">
                  <c:v>1.07094</c:v>
                </c:pt>
                <c:pt idx="3414">
                  <c:v>1.07161</c:v>
                </c:pt>
                <c:pt idx="3415">
                  <c:v>1.0726599999999999</c:v>
                </c:pt>
                <c:pt idx="3416">
                  <c:v>1.08667</c:v>
                </c:pt>
                <c:pt idx="3417">
                  <c:v>1.0924499999999999</c:v>
                </c:pt>
                <c:pt idx="3418">
                  <c:v>1.09033</c:v>
                </c:pt>
                <c:pt idx="3419">
                  <c:v>1.0871999999999999</c:v>
                </c:pt>
                <c:pt idx="3420">
                  <c:v>1.08921</c:v>
                </c:pt>
                <c:pt idx="3421">
                  <c:v>1.08985</c:v>
                </c:pt>
                <c:pt idx="3422">
                  <c:v>1.09317</c:v>
                </c:pt>
                <c:pt idx="3423">
                  <c:v>1.08839</c:v>
                </c:pt>
                <c:pt idx="3424">
                  <c:v>1.0983700000000001</c:v>
                </c:pt>
                <c:pt idx="3425">
                  <c:v>1.09863</c:v>
                </c:pt>
                <c:pt idx="3426">
                  <c:v>1.09236</c:v>
                </c:pt>
                <c:pt idx="3427">
                  <c:v>1.0872900000000001</c:v>
                </c:pt>
                <c:pt idx="3428">
                  <c:v>1.0867199999999999</c:v>
                </c:pt>
                <c:pt idx="3429">
                  <c:v>1.0861099999999999</c:v>
                </c:pt>
                <c:pt idx="3430">
                  <c:v>1.0926800000000001</c:v>
                </c:pt>
                <c:pt idx="3431">
                  <c:v>1.09748</c:v>
                </c:pt>
                <c:pt idx="3432">
                  <c:v>1.10825</c:v>
                </c:pt>
                <c:pt idx="3433">
                  <c:v>1.1158300000000001</c:v>
                </c:pt>
                <c:pt idx="3434">
                  <c:v>1.1102700000000001</c:v>
                </c:pt>
                <c:pt idx="3435">
                  <c:v>1.1173999999999999</c:v>
                </c:pt>
                <c:pt idx="3436">
                  <c:v>1.12371</c:v>
                </c:pt>
                <c:pt idx="3437">
                  <c:v>1.11825</c:v>
                </c:pt>
                <c:pt idx="3438">
                  <c:v>1.1218399999999999</c:v>
                </c:pt>
                <c:pt idx="3439">
                  <c:v>1.1210100000000001</c:v>
                </c:pt>
                <c:pt idx="3440">
                  <c:v>1.1173299999999999</c:v>
                </c:pt>
                <c:pt idx="3441">
                  <c:v>1.1162700000000001</c:v>
                </c:pt>
                <c:pt idx="3442">
                  <c:v>1.1185499999999999</c:v>
                </c:pt>
                <c:pt idx="3443">
                  <c:v>1.1243000000000001</c:v>
                </c:pt>
                <c:pt idx="3444">
                  <c:v>1.12121</c:v>
                </c:pt>
                <c:pt idx="3445">
                  <c:v>1.12784</c:v>
                </c:pt>
                <c:pt idx="3446">
                  <c:v>1.1253599999999999</c:v>
                </c:pt>
                <c:pt idx="3447">
                  <c:v>1.12764</c:v>
                </c:pt>
                <c:pt idx="3448">
                  <c:v>1.1256299999999999</c:v>
                </c:pt>
                <c:pt idx="3449">
                  <c:v>1.1212200000000001</c:v>
                </c:pt>
                <c:pt idx="3450">
                  <c:v>1.1193500000000001</c:v>
                </c:pt>
                <c:pt idx="3451">
                  <c:v>1.12039</c:v>
                </c:pt>
                <c:pt idx="3452">
                  <c:v>1.121</c:v>
                </c:pt>
                <c:pt idx="3453">
                  <c:v>1.1217299999999999</c:v>
                </c:pt>
                <c:pt idx="3454">
                  <c:v>1.11449</c:v>
                </c:pt>
                <c:pt idx="3455">
                  <c:v>1.11961</c:v>
                </c:pt>
                <c:pt idx="3456">
                  <c:v>1.11476</c:v>
                </c:pt>
                <c:pt idx="3457">
                  <c:v>1.11337</c:v>
                </c:pt>
                <c:pt idx="3458">
                  <c:v>1.1168199999999999</c:v>
                </c:pt>
                <c:pt idx="3459">
                  <c:v>1.1150899999999999</c:v>
                </c:pt>
                <c:pt idx="3460">
                  <c:v>1.1192800000000001</c:v>
                </c:pt>
                <c:pt idx="3461">
                  <c:v>1.1181000000000001</c:v>
                </c:pt>
                <c:pt idx="3462">
                  <c:v>1.1337900000000001</c:v>
                </c:pt>
                <c:pt idx="3463">
                  <c:v>1.1376200000000001</c:v>
                </c:pt>
                <c:pt idx="3464">
                  <c:v>1.1439600000000001</c:v>
                </c:pt>
                <c:pt idx="3465">
                  <c:v>1.1425399999999999</c:v>
                </c:pt>
                <c:pt idx="3466">
                  <c:v>1.1364099999999999</c:v>
                </c:pt>
                <c:pt idx="3467">
                  <c:v>1.1343799999999999</c:v>
                </c:pt>
                <c:pt idx="3468">
                  <c:v>1.1349499999999999</c:v>
                </c:pt>
                <c:pt idx="3469">
                  <c:v>1.1421600000000001</c:v>
                </c:pt>
                <c:pt idx="3470">
                  <c:v>1.13954</c:v>
                </c:pt>
                <c:pt idx="3471">
                  <c:v>1.13985</c:v>
                </c:pt>
                <c:pt idx="3472">
                  <c:v>1.14659</c:v>
                </c:pt>
                <c:pt idx="3473">
                  <c:v>1.14127</c:v>
                </c:pt>
                <c:pt idx="3474">
                  <c:v>1.1396599999999999</c:v>
                </c:pt>
                <c:pt idx="3475">
                  <c:v>1.14666</c:v>
                </c:pt>
                <c:pt idx="3476">
                  <c:v>1.14777</c:v>
                </c:pt>
                <c:pt idx="3477">
                  <c:v>1.1553800000000001</c:v>
                </c:pt>
                <c:pt idx="3478">
                  <c:v>1.1515200000000001</c:v>
                </c:pt>
                <c:pt idx="3479">
                  <c:v>1.16303</c:v>
                </c:pt>
                <c:pt idx="3480">
                  <c:v>1.1662300000000001</c:v>
                </c:pt>
                <c:pt idx="3481">
                  <c:v>1.1641699999999999</c:v>
                </c:pt>
                <c:pt idx="3482">
                  <c:v>1.1646399999999999</c:v>
                </c:pt>
                <c:pt idx="3483">
                  <c:v>1.17262</c:v>
                </c:pt>
                <c:pt idx="3484">
                  <c:v>1.16757</c:v>
                </c:pt>
                <c:pt idx="3485">
                  <c:v>1.1749400000000001</c:v>
                </c:pt>
                <c:pt idx="3486">
                  <c:v>1.18397</c:v>
                </c:pt>
                <c:pt idx="3487">
                  <c:v>1.18021</c:v>
                </c:pt>
                <c:pt idx="3488">
                  <c:v>1.1854499999999999</c:v>
                </c:pt>
                <c:pt idx="3489">
                  <c:v>1.18706</c:v>
                </c:pt>
                <c:pt idx="3490">
                  <c:v>1.17719</c:v>
                </c:pt>
                <c:pt idx="3491">
                  <c:v>1.1794899999999999</c:v>
                </c:pt>
                <c:pt idx="3492">
                  <c:v>1.17527</c:v>
                </c:pt>
                <c:pt idx="3493">
                  <c:v>1.17578</c:v>
                </c:pt>
                <c:pt idx="3494">
                  <c:v>1.1772499999999999</c:v>
                </c:pt>
                <c:pt idx="3495">
                  <c:v>1.1818900000000001</c:v>
                </c:pt>
                <c:pt idx="3496">
                  <c:v>1.17811</c:v>
                </c:pt>
                <c:pt idx="3497">
                  <c:v>1.1734100000000001</c:v>
                </c:pt>
                <c:pt idx="3498">
                  <c:v>1.1766700000000001</c:v>
                </c:pt>
                <c:pt idx="3499">
                  <c:v>1.17228</c:v>
                </c:pt>
                <c:pt idx="3500">
                  <c:v>1.17578</c:v>
                </c:pt>
                <c:pt idx="3501">
                  <c:v>1.1815100000000001</c:v>
                </c:pt>
                <c:pt idx="3502">
                  <c:v>1.17611</c:v>
                </c:pt>
                <c:pt idx="3503">
                  <c:v>1.18086</c:v>
                </c:pt>
                <c:pt idx="3504">
                  <c:v>1.1799299999999999</c:v>
                </c:pt>
                <c:pt idx="3505">
                  <c:v>1.1920900000000001</c:v>
                </c:pt>
                <c:pt idx="3506">
                  <c:v>1.1977500000000001</c:v>
                </c:pt>
                <c:pt idx="3507">
                  <c:v>1.1978599999999999</c:v>
                </c:pt>
                <c:pt idx="3508">
                  <c:v>1.1881900000000001</c:v>
                </c:pt>
                <c:pt idx="3509">
                  <c:v>1.1903900000000001</c:v>
                </c:pt>
                <c:pt idx="3510">
                  <c:v>1.1862699999999999</c:v>
                </c:pt>
                <c:pt idx="3511">
                  <c:v>1.1893400000000001</c:v>
                </c:pt>
                <c:pt idx="3512">
                  <c:v>1.1916500000000001</c:v>
                </c:pt>
                <c:pt idx="3513">
                  <c:v>1.19187</c:v>
                </c:pt>
                <c:pt idx="3514">
                  <c:v>1.2023299999999999</c:v>
                </c:pt>
                <c:pt idx="3515">
                  <c:v>1.2033700000000001</c:v>
                </c:pt>
                <c:pt idx="3516">
                  <c:v>1.1952400000000001</c:v>
                </c:pt>
                <c:pt idx="3517">
                  <c:v>1.19662</c:v>
                </c:pt>
                <c:pt idx="3518">
                  <c:v>1.18848</c:v>
                </c:pt>
                <c:pt idx="3519">
                  <c:v>1.19187</c:v>
                </c:pt>
                <c:pt idx="3520">
                  <c:v>1.1944699999999999</c:v>
                </c:pt>
                <c:pt idx="3521">
                  <c:v>1.1952100000000001</c:v>
                </c:pt>
                <c:pt idx="3522">
                  <c:v>1.1993499999999999</c:v>
                </c:pt>
                <c:pt idx="3523">
                  <c:v>1.18926</c:v>
                </c:pt>
                <c:pt idx="3524">
                  <c:v>1.19407</c:v>
                </c:pt>
                <c:pt idx="3525">
                  <c:v>1.19465</c:v>
                </c:pt>
                <c:pt idx="3526">
                  <c:v>1.18472</c:v>
                </c:pt>
                <c:pt idx="3527">
                  <c:v>1.1792499999999999</c:v>
                </c:pt>
                <c:pt idx="3528">
                  <c:v>1.1744399999999999</c:v>
                </c:pt>
                <c:pt idx="3529">
                  <c:v>1.17858</c:v>
                </c:pt>
                <c:pt idx="3530">
                  <c:v>1.1813100000000001</c:v>
                </c:pt>
                <c:pt idx="3531">
                  <c:v>1.17326</c:v>
                </c:pt>
                <c:pt idx="3532">
                  <c:v>1.1743399999999999</c:v>
                </c:pt>
                <c:pt idx="3533">
                  <c:v>1.1758900000000001</c:v>
                </c:pt>
                <c:pt idx="3534">
                  <c:v>1.17106</c:v>
                </c:pt>
                <c:pt idx="3535">
                  <c:v>1.1729000000000001</c:v>
                </c:pt>
                <c:pt idx="3536">
                  <c:v>1.1740200000000001</c:v>
                </c:pt>
                <c:pt idx="3537">
                  <c:v>1.1807700000000001</c:v>
                </c:pt>
                <c:pt idx="3538">
                  <c:v>1.18581</c:v>
                </c:pt>
                <c:pt idx="3539">
                  <c:v>1.1829400000000001</c:v>
                </c:pt>
                <c:pt idx="3540">
                  <c:v>1.1819500000000001</c:v>
                </c:pt>
                <c:pt idx="3541">
                  <c:v>1.1795199999999999</c:v>
                </c:pt>
                <c:pt idx="3542">
                  <c:v>1.17659</c:v>
                </c:pt>
                <c:pt idx="3543">
                  <c:v>1.17872</c:v>
                </c:pt>
                <c:pt idx="3544">
                  <c:v>1.1850799999999999</c:v>
                </c:pt>
                <c:pt idx="3545">
                  <c:v>1.17811</c:v>
                </c:pt>
                <c:pt idx="3546">
                  <c:v>1.1748700000000001</c:v>
                </c:pt>
                <c:pt idx="3547">
                  <c:v>1.1760600000000001</c:v>
                </c:pt>
                <c:pt idx="3548">
                  <c:v>1.18126</c:v>
                </c:pt>
                <c:pt idx="3549">
                  <c:v>1.16503</c:v>
                </c:pt>
                <c:pt idx="3550">
                  <c:v>1.1607499999999999</c:v>
                </c:pt>
                <c:pt idx="3551">
                  <c:v>1.1650499999999999</c:v>
                </c:pt>
                <c:pt idx="3552">
                  <c:v>1.1645700000000001</c:v>
                </c:pt>
                <c:pt idx="3553">
                  <c:v>1.16184</c:v>
                </c:pt>
                <c:pt idx="3554">
                  <c:v>1.1655899999999999</c:v>
                </c:pt>
                <c:pt idx="3555">
                  <c:v>1.16066</c:v>
                </c:pt>
                <c:pt idx="3556">
                  <c:v>1.16089</c:v>
                </c:pt>
                <c:pt idx="3557">
                  <c:v>1.1585399999999999</c:v>
                </c:pt>
                <c:pt idx="3558">
                  <c:v>1.15943</c:v>
                </c:pt>
                <c:pt idx="3559">
                  <c:v>1.16411</c:v>
                </c:pt>
                <c:pt idx="3560">
                  <c:v>1.1663699999999999</c:v>
                </c:pt>
                <c:pt idx="3561">
                  <c:v>1.1666700000000001</c:v>
                </c:pt>
                <c:pt idx="3562">
                  <c:v>1.17974</c:v>
                </c:pt>
                <c:pt idx="3563">
                  <c:v>1.17903</c:v>
                </c:pt>
                <c:pt idx="3564">
                  <c:v>1.1769499999999999</c:v>
                </c:pt>
                <c:pt idx="3565">
                  <c:v>1.1788400000000001</c:v>
                </c:pt>
                <c:pt idx="3566">
                  <c:v>1.1733</c:v>
                </c:pt>
                <c:pt idx="3567">
                  <c:v>1.17378</c:v>
                </c:pt>
                <c:pt idx="3568">
                  <c:v>1.18218</c:v>
                </c:pt>
                <c:pt idx="3569">
                  <c:v>1.18486</c:v>
                </c:pt>
                <c:pt idx="3570">
                  <c:v>1.1928700000000001</c:v>
                </c:pt>
                <c:pt idx="3571">
                  <c:v>1.1897800000000001</c:v>
                </c:pt>
                <c:pt idx="3572">
                  <c:v>1.1837200000000001</c:v>
                </c:pt>
                <c:pt idx="3573">
                  <c:v>1.18468</c:v>
                </c:pt>
                <c:pt idx="3574">
                  <c:v>1.19035</c:v>
                </c:pt>
                <c:pt idx="3575">
                  <c:v>1.18919</c:v>
                </c:pt>
                <c:pt idx="3576">
                  <c:v>1.1865600000000001</c:v>
                </c:pt>
                <c:pt idx="3577">
                  <c:v>1.1826099999999999</c:v>
                </c:pt>
                <c:pt idx="3578">
                  <c:v>1.1794800000000001</c:v>
                </c:pt>
                <c:pt idx="3579">
                  <c:v>1.17719</c:v>
                </c:pt>
                <c:pt idx="3580">
                  <c:v>1.1773100000000001</c:v>
                </c:pt>
                <c:pt idx="3581">
                  <c:v>1.17685</c:v>
                </c:pt>
                <c:pt idx="3582">
                  <c:v>1.1740999999999999</c:v>
                </c:pt>
                <c:pt idx="3583">
                  <c:v>1.1825699999999999</c:v>
                </c:pt>
                <c:pt idx="3584">
                  <c:v>1.1777299999999999</c:v>
                </c:pt>
                <c:pt idx="3585">
                  <c:v>1.1750499999999999</c:v>
                </c:pt>
                <c:pt idx="3586">
                  <c:v>1.1781200000000001</c:v>
                </c:pt>
                <c:pt idx="3587">
                  <c:v>1.1838500000000001</c:v>
                </c:pt>
                <c:pt idx="3588">
                  <c:v>1.18702</c:v>
                </c:pt>
                <c:pt idx="3589">
                  <c:v>1.1872400000000001</c:v>
                </c:pt>
                <c:pt idx="3590">
                  <c:v>1.1862999999999999</c:v>
                </c:pt>
                <c:pt idx="3591">
                  <c:v>1.1857899999999999</c:v>
                </c:pt>
                <c:pt idx="3592">
                  <c:v>1.18865</c:v>
                </c:pt>
                <c:pt idx="3593">
                  <c:v>1.1942200000000001</c:v>
                </c:pt>
                <c:pt idx="3594">
                  <c:v>1.1994100000000001</c:v>
                </c:pt>
                <c:pt idx="3595">
                  <c:v>1.2057899999999999</c:v>
                </c:pt>
                <c:pt idx="3596">
                  <c:v>1.2014199999999999</c:v>
                </c:pt>
                <c:pt idx="3597">
                  <c:v>1.20678</c:v>
                </c:pt>
                <c:pt idx="3598">
                  <c:v>1.2029799999999999</c:v>
                </c:pt>
                <c:pt idx="3599">
                  <c:v>1.19669</c:v>
                </c:pt>
                <c:pt idx="3600">
                  <c:v>1.19364</c:v>
                </c:pt>
                <c:pt idx="3601">
                  <c:v>1.1947399999999999</c:v>
                </c:pt>
                <c:pt idx="3602">
                  <c:v>1.2031400000000001</c:v>
                </c:pt>
                <c:pt idx="3603">
                  <c:v>1.22</c:v>
                </c:pt>
                <c:pt idx="3604">
                  <c:v>1.2262599999999999</c:v>
                </c:pt>
                <c:pt idx="3605">
                  <c:v>1.2259500000000001</c:v>
                </c:pt>
                <c:pt idx="3606">
                  <c:v>1.2184299999999999</c:v>
                </c:pt>
                <c:pt idx="3607">
                  <c:v>1.2236899999999999</c:v>
                </c:pt>
                <c:pt idx="3608">
                  <c:v>1.22224</c:v>
                </c:pt>
                <c:pt idx="3609">
                  <c:v>1.2261500000000001</c:v>
                </c:pt>
                <c:pt idx="3610">
                  <c:v>1.22983</c:v>
                </c:pt>
                <c:pt idx="3611">
                  <c:v>1.2406999999999999</c:v>
                </c:pt>
                <c:pt idx="3612">
                  <c:v>1.23926</c:v>
                </c:pt>
                <c:pt idx="3613">
                  <c:v>1.24264</c:v>
                </c:pt>
                <c:pt idx="3614">
                  <c:v>1.23813</c:v>
                </c:pt>
                <c:pt idx="3615">
                  <c:v>1.24021</c:v>
                </c:pt>
                <c:pt idx="3616">
                  <c:v>1.24132</c:v>
                </c:pt>
                <c:pt idx="3617">
                  <c:v>1.25078</c:v>
                </c:pt>
                <c:pt idx="3618">
                  <c:v>1.2456</c:v>
                </c:pt>
                <c:pt idx="3619">
                  <c:v>1.23665</c:v>
                </c:pt>
                <c:pt idx="3620">
                  <c:v>1.2376799999999999</c:v>
                </c:pt>
                <c:pt idx="3621">
                  <c:v>1.22627</c:v>
                </c:pt>
                <c:pt idx="3622">
                  <c:v>1.2246699999999999</c:v>
                </c:pt>
                <c:pt idx="3623">
                  <c:v>1.22498</c:v>
                </c:pt>
                <c:pt idx="3624">
                  <c:v>1.22906</c:v>
                </c:pt>
                <c:pt idx="3625">
                  <c:v>1.2350099999999999</c:v>
                </c:pt>
                <c:pt idx="3626">
                  <c:v>1.2449399999999999</c:v>
                </c:pt>
                <c:pt idx="3627">
                  <c:v>1.2506200000000001</c:v>
                </c:pt>
                <c:pt idx="3628">
                  <c:v>1.24105</c:v>
                </c:pt>
                <c:pt idx="3629">
                  <c:v>1.2406999999999999</c:v>
                </c:pt>
                <c:pt idx="3630">
                  <c:v>1.23367</c:v>
                </c:pt>
                <c:pt idx="3631">
                  <c:v>1.2282200000000001</c:v>
                </c:pt>
                <c:pt idx="3632">
                  <c:v>1.23292</c:v>
                </c:pt>
                <c:pt idx="3633">
                  <c:v>1.2293499999999999</c:v>
                </c:pt>
                <c:pt idx="3634">
                  <c:v>1.23167</c:v>
                </c:pt>
                <c:pt idx="3635">
                  <c:v>1.2232499999999999</c:v>
                </c:pt>
                <c:pt idx="3636">
                  <c:v>1.21929</c:v>
                </c:pt>
                <c:pt idx="3637">
                  <c:v>1.22651</c:v>
                </c:pt>
                <c:pt idx="3638">
                  <c:v>1.23184</c:v>
                </c:pt>
                <c:pt idx="3639">
                  <c:v>1.23353</c:v>
                </c:pt>
                <c:pt idx="3640">
                  <c:v>1.2403299999999999</c:v>
                </c:pt>
                <c:pt idx="3641">
                  <c:v>1.2410699999999999</c:v>
                </c:pt>
                <c:pt idx="3642">
                  <c:v>1.2310300000000001</c:v>
                </c:pt>
                <c:pt idx="3643">
                  <c:v>1.2305299999999999</c:v>
                </c:pt>
                <c:pt idx="3644">
                  <c:v>1.23346</c:v>
                </c:pt>
                <c:pt idx="3645">
                  <c:v>1.2391099999999999</c:v>
                </c:pt>
                <c:pt idx="3646">
                  <c:v>1.2367999999999999</c:v>
                </c:pt>
                <c:pt idx="3647">
                  <c:v>1.23044</c:v>
                </c:pt>
                <c:pt idx="3648">
                  <c:v>1.22889</c:v>
                </c:pt>
                <c:pt idx="3649">
                  <c:v>1.2334099999999999</c:v>
                </c:pt>
                <c:pt idx="3650">
                  <c:v>1.22435</c:v>
                </c:pt>
                <c:pt idx="3651">
                  <c:v>1.2338499999999999</c:v>
                </c:pt>
                <c:pt idx="3652">
                  <c:v>1.2305600000000001</c:v>
                </c:pt>
                <c:pt idx="3653">
                  <c:v>1.2351399999999999</c:v>
                </c:pt>
                <c:pt idx="3654">
                  <c:v>1.24431</c:v>
                </c:pt>
                <c:pt idx="3655">
                  <c:v>1.2402</c:v>
                </c:pt>
                <c:pt idx="3656">
                  <c:v>1.2307300000000001</c:v>
                </c:pt>
                <c:pt idx="3657">
                  <c:v>1.23001</c:v>
                </c:pt>
                <c:pt idx="3658">
                  <c:v>1.2321800000000001</c:v>
                </c:pt>
                <c:pt idx="3659">
                  <c:v>1.2301599999999999</c:v>
                </c:pt>
                <c:pt idx="3660">
                  <c:v>1.22699</c:v>
                </c:pt>
                <c:pt idx="3661">
                  <c:v>1.22777</c:v>
                </c:pt>
                <c:pt idx="3662">
                  <c:v>1.22401</c:v>
                </c:pt>
                <c:pt idx="3663">
                  <c:v>1.2280899999999999</c:v>
                </c:pt>
                <c:pt idx="3664">
                  <c:v>1.23204</c:v>
                </c:pt>
                <c:pt idx="3665">
                  <c:v>1.2355700000000001</c:v>
                </c:pt>
                <c:pt idx="3666">
                  <c:v>1.2366900000000001</c:v>
                </c:pt>
                <c:pt idx="3667">
                  <c:v>1.23261</c:v>
                </c:pt>
                <c:pt idx="3668">
                  <c:v>1.2329000000000001</c:v>
                </c:pt>
                <c:pt idx="3669">
                  <c:v>1.2379199999999999</c:v>
                </c:pt>
                <c:pt idx="3670">
                  <c:v>1.23692</c:v>
                </c:pt>
                <c:pt idx="3671">
                  <c:v>1.2373400000000001</c:v>
                </c:pt>
                <c:pt idx="3672">
                  <c:v>1.2345299999999999</c:v>
                </c:pt>
                <c:pt idx="3673">
                  <c:v>1.2287300000000001</c:v>
                </c:pt>
                <c:pt idx="3674">
                  <c:v>1.2208300000000001</c:v>
                </c:pt>
                <c:pt idx="3675">
                  <c:v>1.2231799999999999</c:v>
                </c:pt>
                <c:pt idx="3676">
                  <c:v>1.2160500000000001</c:v>
                </c:pt>
                <c:pt idx="3677">
                  <c:v>1.21031</c:v>
                </c:pt>
                <c:pt idx="3678">
                  <c:v>1.2129300000000001</c:v>
                </c:pt>
                <c:pt idx="3679">
                  <c:v>1.20774</c:v>
                </c:pt>
                <c:pt idx="3680">
                  <c:v>1.1992100000000001</c:v>
                </c:pt>
                <c:pt idx="3681">
                  <c:v>1.19503</c:v>
                </c:pt>
                <c:pt idx="3682">
                  <c:v>1.19878</c:v>
                </c:pt>
                <c:pt idx="3683">
                  <c:v>1.1960900000000001</c:v>
                </c:pt>
                <c:pt idx="3684">
                  <c:v>1.19218</c:v>
                </c:pt>
                <c:pt idx="3685">
                  <c:v>1.1863999999999999</c:v>
                </c:pt>
                <c:pt idx="3686">
                  <c:v>1.1850099999999999</c:v>
                </c:pt>
                <c:pt idx="3687">
                  <c:v>1.1914899999999999</c:v>
                </c:pt>
                <c:pt idx="3688">
                  <c:v>1.19417</c:v>
                </c:pt>
                <c:pt idx="3689">
                  <c:v>1.19262</c:v>
                </c:pt>
                <c:pt idx="3690">
                  <c:v>1.18374</c:v>
                </c:pt>
                <c:pt idx="3691">
                  <c:v>1.18069</c:v>
                </c:pt>
                <c:pt idx="3692">
                  <c:v>1.1793100000000001</c:v>
                </c:pt>
                <c:pt idx="3693">
                  <c:v>1.1770499999999999</c:v>
                </c:pt>
                <c:pt idx="3694">
                  <c:v>1.1791100000000001</c:v>
                </c:pt>
                <c:pt idx="3695">
                  <c:v>1.1778</c:v>
                </c:pt>
                <c:pt idx="3696">
                  <c:v>1.16951</c:v>
                </c:pt>
                <c:pt idx="3697">
                  <c:v>1.1719200000000001</c:v>
                </c:pt>
                <c:pt idx="3698">
                  <c:v>1.16492</c:v>
                </c:pt>
                <c:pt idx="3699">
                  <c:v>1.16238</c:v>
                </c:pt>
                <c:pt idx="3700">
                  <c:v>1.15391</c:v>
                </c:pt>
                <c:pt idx="3701">
                  <c:v>1.16622</c:v>
                </c:pt>
                <c:pt idx="3702">
                  <c:v>1.16906</c:v>
                </c:pt>
                <c:pt idx="3703">
                  <c:v>1.1659600000000001</c:v>
                </c:pt>
                <c:pt idx="3704">
                  <c:v>1.16978</c:v>
                </c:pt>
                <c:pt idx="3705">
                  <c:v>1.17167</c:v>
                </c:pt>
                <c:pt idx="3706">
                  <c:v>1.1773499999999999</c:v>
                </c:pt>
                <c:pt idx="3707">
                  <c:v>1.1797899999999999</c:v>
                </c:pt>
                <c:pt idx="3708">
                  <c:v>1.17693</c:v>
                </c:pt>
                <c:pt idx="3709">
                  <c:v>1.17828</c:v>
                </c:pt>
                <c:pt idx="3710">
                  <c:v>1.1745399999999999</c:v>
                </c:pt>
                <c:pt idx="3711">
                  <c:v>1.1791199999999999</c:v>
                </c:pt>
                <c:pt idx="3712">
                  <c:v>1.15659</c:v>
                </c:pt>
                <c:pt idx="3713">
                  <c:v>1.1607000000000001</c:v>
                </c:pt>
                <c:pt idx="3714">
                  <c:v>1.16222</c:v>
                </c:pt>
                <c:pt idx="3715">
                  <c:v>1.1587700000000001</c:v>
                </c:pt>
                <c:pt idx="3716">
                  <c:v>1.1570400000000001</c:v>
                </c:pt>
                <c:pt idx="3717">
                  <c:v>1.16025</c:v>
                </c:pt>
                <c:pt idx="3718">
                  <c:v>1.1653899999999999</c:v>
                </c:pt>
                <c:pt idx="3719">
                  <c:v>1.1702699999999999</c:v>
                </c:pt>
                <c:pt idx="3720">
                  <c:v>1.1646000000000001</c:v>
                </c:pt>
                <c:pt idx="3721">
                  <c:v>1.15524</c:v>
                </c:pt>
                <c:pt idx="3722">
                  <c:v>1.15679</c:v>
                </c:pt>
                <c:pt idx="3723">
                  <c:v>1.16831</c:v>
                </c:pt>
                <c:pt idx="3724">
                  <c:v>1.16388</c:v>
                </c:pt>
                <c:pt idx="3725">
                  <c:v>1.1655</c:v>
                </c:pt>
                <c:pt idx="3726">
                  <c:v>1.1655500000000001</c:v>
                </c:pt>
                <c:pt idx="3727">
                  <c:v>1.1689499999999999</c:v>
                </c:pt>
                <c:pt idx="3728">
                  <c:v>1.17435</c:v>
                </c:pt>
                <c:pt idx="3729">
                  <c:v>1.17496</c:v>
                </c:pt>
                <c:pt idx="3730">
                  <c:v>1.17438</c:v>
                </c:pt>
                <c:pt idx="3731">
                  <c:v>1.1671400000000001</c:v>
                </c:pt>
                <c:pt idx="3732">
                  <c:v>1.1670499999999999</c:v>
                </c:pt>
                <c:pt idx="3733">
                  <c:v>1.16856</c:v>
                </c:pt>
                <c:pt idx="3734">
                  <c:v>1.1710799999999999</c:v>
                </c:pt>
                <c:pt idx="3735">
                  <c:v>1.1660200000000001</c:v>
                </c:pt>
                <c:pt idx="3736">
                  <c:v>1.1637999999999999</c:v>
                </c:pt>
                <c:pt idx="3737">
                  <c:v>1.1640900000000001</c:v>
                </c:pt>
                <c:pt idx="3738">
                  <c:v>1.1720900000000001</c:v>
                </c:pt>
                <c:pt idx="3739">
                  <c:v>1.1691499999999999</c:v>
                </c:pt>
                <c:pt idx="3740">
                  <c:v>1.16856</c:v>
                </c:pt>
                <c:pt idx="3741">
                  <c:v>1.1728000000000001</c:v>
                </c:pt>
                <c:pt idx="3742">
                  <c:v>1.1642300000000001</c:v>
                </c:pt>
                <c:pt idx="3743">
                  <c:v>1.1656500000000001</c:v>
                </c:pt>
                <c:pt idx="3744">
                  <c:v>1.1705000000000001</c:v>
                </c:pt>
                <c:pt idx="3745">
                  <c:v>1.16906</c:v>
                </c:pt>
                <c:pt idx="3746">
                  <c:v>1.16594</c:v>
                </c:pt>
                <c:pt idx="3747">
                  <c:v>1.1584000000000001</c:v>
                </c:pt>
                <c:pt idx="3748">
                  <c:v>1.15672</c:v>
                </c:pt>
                <c:pt idx="3749">
                  <c:v>1.1553199999999999</c:v>
                </c:pt>
                <c:pt idx="3750">
                  <c:v>1.1597900000000001</c:v>
                </c:pt>
                <c:pt idx="3751">
                  <c:v>1.16096</c:v>
                </c:pt>
                <c:pt idx="3752">
                  <c:v>1.15265</c:v>
                </c:pt>
                <c:pt idx="3753">
                  <c:v>1.1411100000000001</c:v>
                </c:pt>
                <c:pt idx="3754">
                  <c:v>1.14096</c:v>
                </c:pt>
                <c:pt idx="3755">
                  <c:v>1.13436</c:v>
                </c:pt>
                <c:pt idx="3756">
                  <c:v>1.1344399999999999</c:v>
                </c:pt>
                <c:pt idx="3757">
                  <c:v>1.13758</c:v>
                </c:pt>
                <c:pt idx="3758">
                  <c:v>1.14381</c:v>
                </c:pt>
                <c:pt idx="3759">
                  <c:v>1.1480699999999999</c:v>
                </c:pt>
                <c:pt idx="3760">
                  <c:v>1.157</c:v>
                </c:pt>
                <c:pt idx="3761">
                  <c:v>1.1595800000000001</c:v>
                </c:pt>
                <c:pt idx="3762">
                  <c:v>1.15378</c:v>
                </c:pt>
                <c:pt idx="3763">
                  <c:v>1.16218</c:v>
                </c:pt>
                <c:pt idx="3764">
                  <c:v>1.16777</c:v>
                </c:pt>
                <c:pt idx="3765">
                  <c:v>1.1693899999999999</c:v>
                </c:pt>
                <c:pt idx="3766">
                  <c:v>1.1706300000000001</c:v>
                </c:pt>
                <c:pt idx="3767">
                  <c:v>1.1669700000000001</c:v>
                </c:pt>
                <c:pt idx="3768">
                  <c:v>1.16021</c:v>
                </c:pt>
                <c:pt idx="3769">
                  <c:v>1.1617999999999999</c:v>
                </c:pt>
                <c:pt idx="3770">
                  <c:v>1.15804</c:v>
                </c:pt>
                <c:pt idx="3771">
                  <c:v>1.16289</c:v>
                </c:pt>
                <c:pt idx="3772">
                  <c:v>1.1622600000000001</c:v>
                </c:pt>
                <c:pt idx="3773">
                  <c:v>1.15526</c:v>
                </c:pt>
                <c:pt idx="3774">
                  <c:v>1.1593</c:v>
                </c:pt>
                <c:pt idx="3775">
                  <c:v>1.16045</c:v>
                </c:pt>
                <c:pt idx="3776">
                  <c:v>1.16252</c:v>
                </c:pt>
                <c:pt idx="3777">
                  <c:v>1.1689700000000001</c:v>
                </c:pt>
                <c:pt idx="3778">
                  <c:v>1.1621900000000001</c:v>
                </c:pt>
                <c:pt idx="3779">
                  <c:v>1.1682900000000001</c:v>
                </c:pt>
                <c:pt idx="3780">
                  <c:v>1.1665000000000001</c:v>
                </c:pt>
                <c:pt idx="3781">
                  <c:v>1.1672</c:v>
                </c:pt>
                <c:pt idx="3782">
                  <c:v>1.1776500000000001</c:v>
                </c:pt>
                <c:pt idx="3783">
                  <c:v>1.17537</c:v>
                </c:pt>
                <c:pt idx="3784">
                  <c:v>1.17472</c:v>
                </c:pt>
                <c:pt idx="3785">
                  <c:v>1.17658</c:v>
                </c:pt>
                <c:pt idx="3786">
                  <c:v>1.1737899999999999</c:v>
                </c:pt>
                <c:pt idx="3787">
                  <c:v>1.1640699999999999</c:v>
                </c:pt>
                <c:pt idx="3788">
                  <c:v>1.1601999999999999</c:v>
                </c:pt>
                <c:pt idx="3789">
                  <c:v>1.15778</c:v>
                </c:pt>
                <c:pt idx="3790">
                  <c:v>1.1546000000000001</c:v>
                </c:pt>
                <c:pt idx="3791">
                  <c:v>1.1476599999999999</c:v>
                </c:pt>
                <c:pt idx="3792">
                  <c:v>1.15134</c:v>
                </c:pt>
                <c:pt idx="3793">
                  <c:v>1.1523399999999999</c:v>
                </c:pt>
                <c:pt idx="3794">
                  <c:v>1.14907</c:v>
                </c:pt>
                <c:pt idx="3795">
                  <c:v>1.14899</c:v>
                </c:pt>
                <c:pt idx="3796">
                  <c:v>1.1518200000000001</c:v>
                </c:pt>
                <c:pt idx="3797">
                  <c:v>1.1593</c:v>
                </c:pt>
                <c:pt idx="3798">
                  <c:v>1.15584</c:v>
                </c:pt>
                <c:pt idx="3799">
                  <c:v>1.15784</c:v>
                </c:pt>
                <c:pt idx="3800">
                  <c:v>1.15733</c:v>
                </c:pt>
                <c:pt idx="3801">
                  <c:v>1.1499900000000001</c:v>
                </c:pt>
                <c:pt idx="3802">
                  <c:v>1.14523</c:v>
                </c:pt>
                <c:pt idx="3803">
                  <c:v>1.15185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Sheet4!$F$1</c:f>
              <c:strCache>
                <c:ptCount val="1"/>
                <c:pt idx="0">
                  <c:v>PnL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Sheet4!$F$2:$F$3805</c:f>
              <c:numCache>
                <c:formatCode>General</c:formatCode>
                <c:ptCount val="38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1.21999999999999E-2</c:v>
                </c:pt>
                <c:pt idx="7">
                  <c:v>1.21999999999999E-2</c:v>
                </c:pt>
                <c:pt idx="8">
                  <c:v>1.21999999999999E-2</c:v>
                </c:pt>
                <c:pt idx="9">
                  <c:v>1.21999999999999E-2</c:v>
                </c:pt>
                <c:pt idx="10">
                  <c:v>1.21999999999999E-2</c:v>
                </c:pt>
                <c:pt idx="11">
                  <c:v>1.21999999999999E-2</c:v>
                </c:pt>
                <c:pt idx="12">
                  <c:v>1.21999999999999E-2</c:v>
                </c:pt>
                <c:pt idx="13">
                  <c:v>1.21999999999999E-2</c:v>
                </c:pt>
                <c:pt idx="14">
                  <c:v>1.1699999999999801E-2</c:v>
                </c:pt>
                <c:pt idx="15">
                  <c:v>1.1699999999999801E-2</c:v>
                </c:pt>
                <c:pt idx="16">
                  <c:v>1.1699999999999801E-2</c:v>
                </c:pt>
                <c:pt idx="17">
                  <c:v>1.1699999999999801E-2</c:v>
                </c:pt>
                <c:pt idx="18">
                  <c:v>1.1699999999999801E-2</c:v>
                </c:pt>
                <c:pt idx="19">
                  <c:v>1.0699999999999699E-2</c:v>
                </c:pt>
                <c:pt idx="20">
                  <c:v>-3.9000000000002301E-3</c:v>
                </c:pt>
                <c:pt idx="21">
                  <c:v>-3.9000000000002301E-3</c:v>
                </c:pt>
                <c:pt idx="22">
                  <c:v>-3.9000000000002301E-3</c:v>
                </c:pt>
                <c:pt idx="23">
                  <c:v>-3.9000000000002301E-3</c:v>
                </c:pt>
                <c:pt idx="24">
                  <c:v>-3.9000000000002301E-3</c:v>
                </c:pt>
                <c:pt idx="25">
                  <c:v>-3.9000000000002301E-3</c:v>
                </c:pt>
                <c:pt idx="26">
                  <c:v>4.9999999999998899E-3</c:v>
                </c:pt>
                <c:pt idx="27">
                  <c:v>5.8000000000000204E-3</c:v>
                </c:pt>
                <c:pt idx="28">
                  <c:v>5.8000000000000204E-3</c:v>
                </c:pt>
                <c:pt idx="29">
                  <c:v>5.8000000000000204E-3</c:v>
                </c:pt>
                <c:pt idx="30">
                  <c:v>5.8000000000000204E-3</c:v>
                </c:pt>
                <c:pt idx="31">
                  <c:v>5.8000000000000204E-3</c:v>
                </c:pt>
                <c:pt idx="32">
                  <c:v>5.8000000000000204E-3</c:v>
                </c:pt>
                <c:pt idx="33">
                  <c:v>5.8000000000000204E-3</c:v>
                </c:pt>
                <c:pt idx="34">
                  <c:v>2.1399999999999801E-2</c:v>
                </c:pt>
                <c:pt idx="35">
                  <c:v>2.1399999999999801E-2</c:v>
                </c:pt>
                <c:pt idx="36">
                  <c:v>2.1399999999999801E-2</c:v>
                </c:pt>
                <c:pt idx="37">
                  <c:v>2.1399999999999801E-2</c:v>
                </c:pt>
                <c:pt idx="38">
                  <c:v>2.32999999999998E-2</c:v>
                </c:pt>
                <c:pt idx="39">
                  <c:v>2.32999999999998E-2</c:v>
                </c:pt>
                <c:pt idx="40">
                  <c:v>2.32999999999998E-2</c:v>
                </c:pt>
                <c:pt idx="41">
                  <c:v>2.32999999999998E-2</c:v>
                </c:pt>
                <c:pt idx="42">
                  <c:v>2.32999999999998E-2</c:v>
                </c:pt>
                <c:pt idx="43">
                  <c:v>2.32999999999998E-2</c:v>
                </c:pt>
                <c:pt idx="44">
                  <c:v>2.32999999999998E-2</c:v>
                </c:pt>
                <c:pt idx="45">
                  <c:v>1.7899999999999801E-2</c:v>
                </c:pt>
                <c:pt idx="46">
                  <c:v>1.7899999999999801E-2</c:v>
                </c:pt>
                <c:pt idx="47">
                  <c:v>1.7899999999999801E-2</c:v>
                </c:pt>
                <c:pt idx="48">
                  <c:v>1.12999999999998E-2</c:v>
                </c:pt>
                <c:pt idx="49">
                  <c:v>1.12999999999998E-2</c:v>
                </c:pt>
                <c:pt idx="50">
                  <c:v>1.12999999999998E-2</c:v>
                </c:pt>
                <c:pt idx="51">
                  <c:v>2.1099999999999799E-2</c:v>
                </c:pt>
                <c:pt idx="52">
                  <c:v>2.9199999999999799E-2</c:v>
                </c:pt>
                <c:pt idx="53">
                  <c:v>2.9199999999999799E-2</c:v>
                </c:pt>
                <c:pt idx="54">
                  <c:v>2.9199999999999799E-2</c:v>
                </c:pt>
                <c:pt idx="55">
                  <c:v>3.6099999999999799E-2</c:v>
                </c:pt>
                <c:pt idx="56">
                  <c:v>4.16999999999998E-2</c:v>
                </c:pt>
                <c:pt idx="57">
                  <c:v>4.16999999999998E-2</c:v>
                </c:pt>
                <c:pt idx="58">
                  <c:v>4.0299999999999697E-2</c:v>
                </c:pt>
                <c:pt idx="59">
                  <c:v>4.94999999999996E-2</c:v>
                </c:pt>
                <c:pt idx="60">
                  <c:v>4.8099999999999497E-2</c:v>
                </c:pt>
                <c:pt idx="61">
                  <c:v>4.8099999999999497E-2</c:v>
                </c:pt>
                <c:pt idx="62">
                  <c:v>4.8099999999999497E-2</c:v>
                </c:pt>
                <c:pt idx="63">
                  <c:v>4.8099999999999497E-2</c:v>
                </c:pt>
                <c:pt idx="64">
                  <c:v>5.3299999999999403E-2</c:v>
                </c:pt>
                <c:pt idx="65">
                  <c:v>5.6799999999999198E-2</c:v>
                </c:pt>
                <c:pt idx="66">
                  <c:v>5.6799999999999198E-2</c:v>
                </c:pt>
                <c:pt idx="67">
                  <c:v>4.9999999999999302E-2</c:v>
                </c:pt>
                <c:pt idx="68">
                  <c:v>4.6499999999999299E-2</c:v>
                </c:pt>
                <c:pt idx="69">
                  <c:v>4.6499999999999299E-2</c:v>
                </c:pt>
                <c:pt idx="70">
                  <c:v>4.6499999999999299E-2</c:v>
                </c:pt>
                <c:pt idx="71">
                  <c:v>5.5099999999999198E-2</c:v>
                </c:pt>
                <c:pt idx="72">
                  <c:v>5.5099999999999198E-2</c:v>
                </c:pt>
                <c:pt idx="73">
                  <c:v>5.5099999999999198E-2</c:v>
                </c:pt>
                <c:pt idx="74">
                  <c:v>5.5099999999999198E-2</c:v>
                </c:pt>
                <c:pt idx="75">
                  <c:v>7.0599999999999094E-2</c:v>
                </c:pt>
                <c:pt idx="76">
                  <c:v>7.44999999999989E-2</c:v>
                </c:pt>
                <c:pt idx="77">
                  <c:v>7.44999999999989E-2</c:v>
                </c:pt>
                <c:pt idx="78">
                  <c:v>7.44999999999989E-2</c:v>
                </c:pt>
                <c:pt idx="79">
                  <c:v>7.5299999999998798E-2</c:v>
                </c:pt>
                <c:pt idx="80">
                  <c:v>7.8299999999998704E-2</c:v>
                </c:pt>
                <c:pt idx="81">
                  <c:v>8.7799999999998504E-2</c:v>
                </c:pt>
                <c:pt idx="82">
                  <c:v>8.8199999999998502E-2</c:v>
                </c:pt>
                <c:pt idx="83">
                  <c:v>8.8199999999998502E-2</c:v>
                </c:pt>
                <c:pt idx="84">
                  <c:v>8.8199999999998502E-2</c:v>
                </c:pt>
                <c:pt idx="85">
                  <c:v>9.86999999999984E-2</c:v>
                </c:pt>
                <c:pt idx="86">
                  <c:v>9.86999999999984E-2</c:v>
                </c:pt>
                <c:pt idx="87">
                  <c:v>9.86999999999984E-2</c:v>
                </c:pt>
                <c:pt idx="88">
                  <c:v>0.102299999999998</c:v>
                </c:pt>
                <c:pt idx="89">
                  <c:v>0.102299999999998</c:v>
                </c:pt>
                <c:pt idx="90">
                  <c:v>0.102299999999998</c:v>
                </c:pt>
                <c:pt idx="91">
                  <c:v>9.9699999999998498E-2</c:v>
                </c:pt>
                <c:pt idx="92">
                  <c:v>9.9699999999998498E-2</c:v>
                </c:pt>
                <c:pt idx="93">
                  <c:v>9.9699999999998498E-2</c:v>
                </c:pt>
                <c:pt idx="94">
                  <c:v>0.107099999999998</c:v>
                </c:pt>
                <c:pt idx="95">
                  <c:v>0.112199999999998</c:v>
                </c:pt>
                <c:pt idx="96">
                  <c:v>0.112199999999998</c:v>
                </c:pt>
                <c:pt idx="97">
                  <c:v>0.121999999999998</c:v>
                </c:pt>
                <c:pt idx="98">
                  <c:v>0.121999999999998</c:v>
                </c:pt>
                <c:pt idx="99">
                  <c:v>0.121999999999998</c:v>
                </c:pt>
                <c:pt idx="100">
                  <c:v>0.116799999999998</c:v>
                </c:pt>
                <c:pt idx="101">
                  <c:v>0.116799999999998</c:v>
                </c:pt>
                <c:pt idx="102">
                  <c:v>0.116799999999998</c:v>
                </c:pt>
                <c:pt idx="103">
                  <c:v>0.122199999999998</c:v>
                </c:pt>
                <c:pt idx="104">
                  <c:v>0.122199999999998</c:v>
                </c:pt>
                <c:pt idx="105">
                  <c:v>0.122199999999998</c:v>
                </c:pt>
                <c:pt idx="106">
                  <c:v>0.120699999999998</c:v>
                </c:pt>
                <c:pt idx="107">
                  <c:v>0.118299999999998</c:v>
                </c:pt>
                <c:pt idx="108">
                  <c:v>0.11889999999999799</c:v>
                </c:pt>
                <c:pt idx="109">
                  <c:v>0.11889999999999799</c:v>
                </c:pt>
                <c:pt idx="110">
                  <c:v>0.118999999999998</c:v>
                </c:pt>
                <c:pt idx="111">
                  <c:v>0.118099999999998</c:v>
                </c:pt>
                <c:pt idx="112">
                  <c:v>0.118099999999998</c:v>
                </c:pt>
                <c:pt idx="113">
                  <c:v>0.11979999999999801</c:v>
                </c:pt>
                <c:pt idx="114">
                  <c:v>0.11979999999999801</c:v>
                </c:pt>
                <c:pt idx="115">
                  <c:v>0.119499999999998</c:v>
                </c:pt>
                <c:pt idx="116">
                  <c:v>0.121899999999998</c:v>
                </c:pt>
                <c:pt idx="117">
                  <c:v>0.109099999999998</c:v>
                </c:pt>
                <c:pt idx="118">
                  <c:v>0.110899999999998</c:v>
                </c:pt>
                <c:pt idx="119">
                  <c:v>0.110899999999998</c:v>
                </c:pt>
                <c:pt idx="120">
                  <c:v>0.109899999999998</c:v>
                </c:pt>
                <c:pt idx="121">
                  <c:v>0.112899999999998</c:v>
                </c:pt>
                <c:pt idx="122">
                  <c:v>0.117799999999998</c:v>
                </c:pt>
                <c:pt idx="123">
                  <c:v>0.117799999999998</c:v>
                </c:pt>
                <c:pt idx="124">
                  <c:v>0.11209999999999801</c:v>
                </c:pt>
                <c:pt idx="125">
                  <c:v>0.11209999999999801</c:v>
                </c:pt>
                <c:pt idx="126">
                  <c:v>0.11209999999999801</c:v>
                </c:pt>
                <c:pt idx="127">
                  <c:v>0.121099999999998</c:v>
                </c:pt>
                <c:pt idx="128">
                  <c:v>0.124899999999998</c:v>
                </c:pt>
                <c:pt idx="129">
                  <c:v>0.124899999999998</c:v>
                </c:pt>
                <c:pt idx="130">
                  <c:v>0.123999999999998</c:v>
                </c:pt>
                <c:pt idx="131">
                  <c:v>0.123999999999998</c:v>
                </c:pt>
                <c:pt idx="132">
                  <c:v>0.123999999999998</c:v>
                </c:pt>
                <c:pt idx="133">
                  <c:v>0.124399999999998</c:v>
                </c:pt>
                <c:pt idx="134">
                  <c:v>0.124399999999998</c:v>
                </c:pt>
                <c:pt idx="135">
                  <c:v>0.11639999999999801</c:v>
                </c:pt>
                <c:pt idx="136">
                  <c:v>0.111499999999998</c:v>
                </c:pt>
                <c:pt idx="137">
                  <c:v>0.111499999999998</c:v>
                </c:pt>
                <c:pt idx="138">
                  <c:v>0.111499999999998</c:v>
                </c:pt>
                <c:pt idx="139">
                  <c:v>0.111499999999998</c:v>
                </c:pt>
                <c:pt idx="140">
                  <c:v>0.101999999999998</c:v>
                </c:pt>
                <c:pt idx="141">
                  <c:v>0.10529999999999801</c:v>
                </c:pt>
                <c:pt idx="142">
                  <c:v>0.10679999999999799</c:v>
                </c:pt>
                <c:pt idx="143">
                  <c:v>0.106999999999997</c:v>
                </c:pt>
                <c:pt idx="144">
                  <c:v>9.1199999999997894E-2</c:v>
                </c:pt>
                <c:pt idx="145">
                  <c:v>9.78999999999981E-2</c:v>
                </c:pt>
                <c:pt idx="146">
                  <c:v>9.78999999999981E-2</c:v>
                </c:pt>
                <c:pt idx="147">
                  <c:v>9.8799999999998195E-2</c:v>
                </c:pt>
                <c:pt idx="148">
                  <c:v>9.6499999999998198E-2</c:v>
                </c:pt>
                <c:pt idx="149">
                  <c:v>9.3899999999998304E-2</c:v>
                </c:pt>
                <c:pt idx="150">
                  <c:v>9.3199999999998104E-2</c:v>
                </c:pt>
                <c:pt idx="151">
                  <c:v>9.3199999999998104E-2</c:v>
                </c:pt>
                <c:pt idx="152">
                  <c:v>9.5799999999998095E-2</c:v>
                </c:pt>
                <c:pt idx="153">
                  <c:v>9.5799999999998095E-2</c:v>
                </c:pt>
                <c:pt idx="154">
                  <c:v>9.8199999999998205E-2</c:v>
                </c:pt>
                <c:pt idx="155">
                  <c:v>9.8199999999998205E-2</c:v>
                </c:pt>
                <c:pt idx="156">
                  <c:v>9.8199999999998205E-2</c:v>
                </c:pt>
                <c:pt idx="157">
                  <c:v>8.59999999999983E-2</c:v>
                </c:pt>
                <c:pt idx="158">
                  <c:v>8.8299999999998199E-2</c:v>
                </c:pt>
                <c:pt idx="159">
                  <c:v>8.8299999999998199E-2</c:v>
                </c:pt>
                <c:pt idx="160">
                  <c:v>8.9499999999998303E-2</c:v>
                </c:pt>
                <c:pt idx="161">
                  <c:v>8.5199999999998305E-2</c:v>
                </c:pt>
                <c:pt idx="162">
                  <c:v>7.5799999999998299E-2</c:v>
                </c:pt>
                <c:pt idx="163">
                  <c:v>7.5799999999998299E-2</c:v>
                </c:pt>
                <c:pt idx="164">
                  <c:v>7.5799999999998299E-2</c:v>
                </c:pt>
                <c:pt idx="165">
                  <c:v>8.2399999999998197E-2</c:v>
                </c:pt>
                <c:pt idx="166">
                  <c:v>7.9399999999998097E-2</c:v>
                </c:pt>
                <c:pt idx="167">
                  <c:v>7.9399999999998097E-2</c:v>
                </c:pt>
                <c:pt idx="168">
                  <c:v>6.7699999999998095E-2</c:v>
                </c:pt>
                <c:pt idx="169">
                  <c:v>6.7699999999998095E-2</c:v>
                </c:pt>
                <c:pt idx="170">
                  <c:v>6.7699999999998095E-2</c:v>
                </c:pt>
                <c:pt idx="171">
                  <c:v>7.1699999999998099E-2</c:v>
                </c:pt>
                <c:pt idx="172">
                  <c:v>6.7199999999998095E-2</c:v>
                </c:pt>
                <c:pt idx="173">
                  <c:v>6.7199999999998095E-2</c:v>
                </c:pt>
                <c:pt idx="174">
                  <c:v>6.7199999999998095E-2</c:v>
                </c:pt>
                <c:pt idx="175">
                  <c:v>7.5399999999998094E-2</c:v>
                </c:pt>
                <c:pt idx="176">
                  <c:v>7.0899999999998103E-2</c:v>
                </c:pt>
                <c:pt idx="177">
                  <c:v>7.0899999999998103E-2</c:v>
                </c:pt>
                <c:pt idx="178">
                  <c:v>7.0899999999998103E-2</c:v>
                </c:pt>
                <c:pt idx="179">
                  <c:v>7.0899999999998103E-2</c:v>
                </c:pt>
                <c:pt idx="180">
                  <c:v>7.0199999999998E-2</c:v>
                </c:pt>
                <c:pt idx="181">
                  <c:v>7.0199999999998E-2</c:v>
                </c:pt>
                <c:pt idx="182">
                  <c:v>6.3999999999998003E-2</c:v>
                </c:pt>
                <c:pt idx="183">
                  <c:v>6.6199999999997997E-2</c:v>
                </c:pt>
                <c:pt idx="184">
                  <c:v>6.6199999999997997E-2</c:v>
                </c:pt>
                <c:pt idx="185">
                  <c:v>5.8399999999998002E-2</c:v>
                </c:pt>
                <c:pt idx="186">
                  <c:v>6.7699999999998095E-2</c:v>
                </c:pt>
                <c:pt idx="187">
                  <c:v>6.7699999999998095E-2</c:v>
                </c:pt>
                <c:pt idx="188">
                  <c:v>6.8999999999997896E-2</c:v>
                </c:pt>
                <c:pt idx="189">
                  <c:v>6.8999999999997896E-2</c:v>
                </c:pt>
                <c:pt idx="190">
                  <c:v>6.8999999999997896E-2</c:v>
                </c:pt>
                <c:pt idx="191">
                  <c:v>6.8999999999997896E-2</c:v>
                </c:pt>
                <c:pt idx="192">
                  <c:v>6.8999999999997896E-2</c:v>
                </c:pt>
                <c:pt idx="193">
                  <c:v>6.8999999999997896E-2</c:v>
                </c:pt>
                <c:pt idx="194">
                  <c:v>7.0899999999997895E-2</c:v>
                </c:pt>
                <c:pt idx="195">
                  <c:v>6.5799999999997805E-2</c:v>
                </c:pt>
                <c:pt idx="196">
                  <c:v>7.3099999999997903E-2</c:v>
                </c:pt>
                <c:pt idx="197">
                  <c:v>7.3099999999997903E-2</c:v>
                </c:pt>
                <c:pt idx="198">
                  <c:v>7.8299999999997802E-2</c:v>
                </c:pt>
                <c:pt idx="199">
                  <c:v>7.8299999999997802E-2</c:v>
                </c:pt>
                <c:pt idx="200">
                  <c:v>8.5299999999997905E-2</c:v>
                </c:pt>
                <c:pt idx="201">
                  <c:v>8.5299999999997905E-2</c:v>
                </c:pt>
                <c:pt idx="202">
                  <c:v>8.5299999999997905E-2</c:v>
                </c:pt>
                <c:pt idx="203">
                  <c:v>8.5299999999997905E-2</c:v>
                </c:pt>
                <c:pt idx="204">
                  <c:v>8.5299999999997905E-2</c:v>
                </c:pt>
                <c:pt idx="205">
                  <c:v>9.6199999999997995E-2</c:v>
                </c:pt>
                <c:pt idx="206">
                  <c:v>0.110799999999998</c:v>
                </c:pt>
                <c:pt idx="207">
                  <c:v>0.110799999999998</c:v>
                </c:pt>
                <c:pt idx="208">
                  <c:v>0.110799999999998</c:v>
                </c:pt>
                <c:pt idx="209">
                  <c:v>0.11409999999999799</c:v>
                </c:pt>
                <c:pt idx="210">
                  <c:v>0.11409999999999799</c:v>
                </c:pt>
                <c:pt idx="211">
                  <c:v>0.102699999999998</c:v>
                </c:pt>
                <c:pt idx="212">
                  <c:v>0.102699999999998</c:v>
                </c:pt>
                <c:pt idx="213">
                  <c:v>0.102699999999998</c:v>
                </c:pt>
                <c:pt idx="214">
                  <c:v>0.102699999999998</c:v>
                </c:pt>
                <c:pt idx="215">
                  <c:v>0.102699999999998</c:v>
                </c:pt>
                <c:pt idx="216">
                  <c:v>0.10479999999999801</c:v>
                </c:pt>
                <c:pt idx="217">
                  <c:v>0.111999999999997</c:v>
                </c:pt>
                <c:pt idx="218">
                  <c:v>0.102799999999997</c:v>
                </c:pt>
                <c:pt idx="219">
                  <c:v>0.102799999999997</c:v>
                </c:pt>
                <c:pt idx="220">
                  <c:v>0.102799999999997</c:v>
                </c:pt>
                <c:pt idx="221">
                  <c:v>0.102799999999997</c:v>
                </c:pt>
                <c:pt idx="222">
                  <c:v>0.102799999999997</c:v>
                </c:pt>
                <c:pt idx="223">
                  <c:v>0.105599999999997</c:v>
                </c:pt>
                <c:pt idx="224">
                  <c:v>0.105599999999997</c:v>
                </c:pt>
                <c:pt idx="225">
                  <c:v>9.2399999999997998E-2</c:v>
                </c:pt>
                <c:pt idx="226">
                  <c:v>9.6099999999998006E-2</c:v>
                </c:pt>
                <c:pt idx="227">
                  <c:v>9.6099999999998006E-2</c:v>
                </c:pt>
                <c:pt idx="228">
                  <c:v>9.1199999999997894E-2</c:v>
                </c:pt>
                <c:pt idx="229">
                  <c:v>9.1199999999997894E-2</c:v>
                </c:pt>
                <c:pt idx="230">
                  <c:v>9.1199999999997894E-2</c:v>
                </c:pt>
                <c:pt idx="231">
                  <c:v>9.6299999999997804E-2</c:v>
                </c:pt>
                <c:pt idx="232">
                  <c:v>0.10139999999999701</c:v>
                </c:pt>
                <c:pt idx="233">
                  <c:v>9.7699999999997594E-2</c:v>
                </c:pt>
                <c:pt idx="234">
                  <c:v>0.10479999999999701</c:v>
                </c:pt>
                <c:pt idx="235">
                  <c:v>0.10479999999999701</c:v>
                </c:pt>
                <c:pt idx="236">
                  <c:v>0.10479999999999701</c:v>
                </c:pt>
                <c:pt idx="237">
                  <c:v>0.10479999999999701</c:v>
                </c:pt>
                <c:pt idx="238">
                  <c:v>0.105899999999997</c:v>
                </c:pt>
                <c:pt idx="239">
                  <c:v>0.10579999999999699</c:v>
                </c:pt>
                <c:pt idx="240">
                  <c:v>0.106899999999997</c:v>
                </c:pt>
                <c:pt idx="241">
                  <c:v>0.101199999999997</c:v>
                </c:pt>
                <c:pt idx="242">
                  <c:v>8.9999999999997804E-2</c:v>
                </c:pt>
                <c:pt idx="243">
                  <c:v>8.9999999999997804E-2</c:v>
                </c:pt>
                <c:pt idx="244">
                  <c:v>8.9999999999997804E-2</c:v>
                </c:pt>
                <c:pt idx="245">
                  <c:v>8.9999999999997804E-2</c:v>
                </c:pt>
                <c:pt idx="246">
                  <c:v>8.3499999999997604E-2</c:v>
                </c:pt>
                <c:pt idx="247">
                  <c:v>8.4599999999997705E-2</c:v>
                </c:pt>
                <c:pt idx="248">
                  <c:v>8.4599999999997705E-2</c:v>
                </c:pt>
                <c:pt idx="249">
                  <c:v>7.9999999999997601E-2</c:v>
                </c:pt>
                <c:pt idx="250">
                  <c:v>7.9999999999997601E-2</c:v>
                </c:pt>
                <c:pt idx="251">
                  <c:v>7.9999999999997601E-2</c:v>
                </c:pt>
                <c:pt idx="252">
                  <c:v>8.0999999999997505E-2</c:v>
                </c:pt>
                <c:pt idx="253">
                  <c:v>8.0999999999997505E-2</c:v>
                </c:pt>
                <c:pt idx="254">
                  <c:v>0.10049999999999699</c:v>
                </c:pt>
                <c:pt idx="255">
                  <c:v>0.10529999999999699</c:v>
                </c:pt>
                <c:pt idx="256">
                  <c:v>0.10529999999999699</c:v>
                </c:pt>
                <c:pt idx="257">
                  <c:v>0.10529999999999699</c:v>
                </c:pt>
                <c:pt idx="258">
                  <c:v>0.108099999999997</c:v>
                </c:pt>
                <c:pt idx="259">
                  <c:v>0.108099999999997</c:v>
                </c:pt>
                <c:pt idx="260">
                  <c:v>0.103199999999997</c:v>
                </c:pt>
                <c:pt idx="261">
                  <c:v>0.10039999999999701</c:v>
                </c:pt>
                <c:pt idx="262">
                  <c:v>0.113699999999997</c:v>
                </c:pt>
                <c:pt idx="263">
                  <c:v>0.113699999999997</c:v>
                </c:pt>
                <c:pt idx="264">
                  <c:v>0.113699999999997</c:v>
                </c:pt>
                <c:pt idx="265">
                  <c:v>0.113699999999997</c:v>
                </c:pt>
                <c:pt idx="266">
                  <c:v>0.113699999999997</c:v>
                </c:pt>
                <c:pt idx="267">
                  <c:v>0.113699999999997</c:v>
                </c:pt>
                <c:pt idx="268">
                  <c:v>0.122899999999997</c:v>
                </c:pt>
                <c:pt idx="269">
                  <c:v>0.117299999999997</c:v>
                </c:pt>
                <c:pt idx="270">
                  <c:v>0.12799999999999701</c:v>
                </c:pt>
                <c:pt idx="271">
                  <c:v>0.12799999999999701</c:v>
                </c:pt>
                <c:pt idx="272">
                  <c:v>0.12219999999999701</c:v>
                </c:pt>
                <c:pt idx="273">
                  <c:v>0.10679999999999699</c:v>
                </c:pt>
                <c:pt idx="274">
                  <c:v>0.10679999999999699</c:v>
                </c:pt>
                <c:pt idx="275">
                  <c:v>0.10679999999999699</c:v>
                </c:pt>
                <c:pt idx="276">
                  <c:v>0.10679999999999699</c:v>
                </c:pt>
                <c:pt idx="277">
                  <c:v>0.105499999999997</c:v>
                </c:pt>
                <c:pt idx="278">
                  <c:v>0.105499999999997</c:v>
                </c:pt>
                <c:pt idx="279">
                  <c:v>0.108499999999997</c:v>
                </c:pt>
                <c:pt idx="280">
                  <c:v>0.108499999999997</c:v>
                </c:pt>
                <c:pt idx="281">
                  <c:v>0.113399999999997</c:v>
                </c:pt>
                <c:pt idx="282">
                  <c:v>0.119099999999997</c:v>
                </c:pt>
                <c:pt idx="283">
                  <c:v>0.119099999999997</c:v>
                </c:pt>
                <c:pt idx="284">
                  <c:v>0.119099999999997</c:v>
                </c:pt>
                <c:pt idx="285">
                  <c:v>0.120999999999996</c:v>
                </c:pt>
                <c:pt idx="286">
                  <c:v>0.123099999999996</c:v>
                </c:pt>
                <c:pt idx="287">
                  <c:v>0.129799999999997</c:v>
                </c:pt>
                <c:pt idx="288">
                  <c:v>0.12419999999999599</c:v>
                </c:pt>
                <c:pt idx="289">
                  <c:v>0.12419999999999599</c:v>
                </c:pt>
                <c:pt idx="290">
                  <c:v>0.12419999999999599</c:v>
                </c:pt>
                <c:pt idx="291">
                  <c:v>0.13619999999999699</c:v>
                </c:pt>
                <c:pt idx="292">
                  <c:v>0.14629999999999699</c:v>
                </c:pt>
                <c:pt idx="293">
                  <c:v>0.14629999999999699</c:v>
                </c:pt>
                <c:pt idx="294">
                  <c:v>0.143399999999996</c:v>
                </c:pt>
                <c:pt idx="295">
                  <c:v>0.143399999999996</c:v>
                </c:pt>
                <c:pt idx="296">
                  <c:v>0.143399999999996</c:v>
                </c:pt>
                <c:pt idx="297">
                  <c:v>0.143399999999996</c:v>
                </c:pt>
                <c:pt idx="298">
                  <c:v>0.150699999999996</c:v>
                </c:pt>
                <c:pt idx="299">
                  <c:v>0.150999999999996</c:v>
                </c:pt>
                <c:pt idx="300">
                  <c:v>0.150999999999996</c:v>
                </c:pt>
                <c:pt idx="301">
                  <c:v>0.14859999999999601</c:v>
                </c:pt>
                <c:pt idx="302">
                  <c:v>0.14859999999999601</c:v>
                </c:pt>
                <c:pt idx="303">
                  <c:v>0.14859999999999601</c:v>
                </c:pt>
                <c:pt idx="304">
                  <c:v>0.14639999999999601</c:v>
                </c:pt>
                <c:pt idx="305">
                  <c:v>0.13829999999999601</c:v>
                </c:pt>
                <c:pt idx="306">
                  <c:v>0.13799999999999599</c:v>
                </c:pt>
                <c:pt idx="307">
                  <c:v>0.13799999999999599</c:v>
                </c:pt>
                <c:pt idx="308">
                  <c:v>0.14049999999999599</c:v>
                </c:pt>
                <c:pt idx="309">
                  <c:v>0.14049999999999599</c:v>
                </c:pt>
                <c:pt idx="310">
                  <c:v>0.14779999999999599</c:v>
                </c:pt>
                <c:pt idx="311">
                  <c:v>0.14779999999999599</c:v>
                </c:pt>
                <c:pt idx="312">
                  <c:v>0.14779999999999599</c:v>
                </c:pt>
                <c:pt idx="313">
                  <c:v>0.14779999999999599</c:v>
                </c:pt>
                <c:pt idx="314">
                  <c:v>0.14559999999999601</c:v>
                </c:pt>
                <c:pt idx="315">
                  <c:v>0.15229999999999599</c:v>
                </c:pt>
                <c:pt idx="316">
                  <c:v>0.15609999999999599</c:v>
                </c:pt>
                <c:pt idx="317">
                  <c:v>0.14709999999999601</c:v>
                </c:pt>
                <c:pt idx="318">
                  <c:v>0.148999999999996</c:v>
                </c:pt>
                <c:pt idx="319">
                  <c:v>0.148999999999996</c:v>
                </c:pt>
                <c:pt idx="320">
                  <c:v>0.14689999999999601</c:v>
                </c:pt>
                <c:pt idx="321">
                  <c:v>0.155999999999996</c:v>
                </c:pt>
                <c:pt idx="322">
                  <c:v>0.162799999999996</c:v>
                </c:pt>
                <c:pt idx="323">
                  <c:v>0.162799999999996</c:v>
                </c:pt>
                <c:pt idx="324">
                  <c:v>0.146199999999996</c:v>
                </c:pt>
                <c:pt idx="325">
                  <c:v>0.146199999999996</c:v>
                </c:pt>
                <c:pt idx="326">
                  <c:v>0.146199999999996</c:v>
                </c:pt>
                <c:pt idx="327">
                  <c:v>0.146199999999996</c:v>
                </c:pt>
                <c:pt idx="328">
                  <c:v>0.148999999999996</c:v>
                </c:pt>
                <c:pt idx="329">
                  <c:v>0.148999999999996</c:v>
                </c:pt>
                <c:pt idx="330">
                  <c:v>0.15409999999999599</c:v>
                </c:pt>
                <c:pt idx="331">
                  <c:v>0.15409999999999599</c:v>
                </c:pt>
                <c:pt idx="332">
                  <c:v>0.15409999999999599</c:v>
                </c:pt>
                <c:pt idx="333">
                  <c:v>0.15409999999999599</c:v>
                </c:pt>
                <c:pt idx="334">
                  <c:v>0.15409999999999599</c:v>
                </c:pt>
                <c:pt idx="335">
                  <c:v>0.15409999999999599</c:v>
                </c:pt>
                <c:pt idx="336">
                  <c:v>0.15409999999999599</c:v>
                </c:pt>
                <c:pt idx="337">
                  <c:v>0.171899999999996</c:v>
                </c:pt>
                <c:pt idx="338">
                  <c:v>0.18469999999999601</c:v>
                </c:pt>
                <c:pt idx="339">
                  <c:v>0.18469999999999601</c:v>
                </c:pt>
                <c:pt idx="340">
                  <c:v>0.18869999999999601</c:v>
                </c:pt>
                <c:pt idx="341">
                  <c:v>0.17879999999999599</c:v>
                </c:pt>
                <c:pt idx="342">
                  <c:v>0.18489999999999601</c:v>
                </c:pt>
                <c:pt idx="343">
                  <c:v>0.18489999999999601</c:v>
                </c:pt>
                <c:pt idx="344">
                  <c:v>0.195299999999996</c:v>
                </c:pt>
                <c:pt idx="345">
                  <c:v>0.195599999999996</c:v>
                </c:pt>
                <c:pt idx="346">
                  <c:v>0.195599999999996</c:v>
                </c:pt>
                <c:pt idx="347">
                  <c:v>0.195599999999996</c:v>
                </c:pt>
                <c:pt idx="348">
                  <c:v>0.19189999999999499</c:v>
                </c:pt>
                <c:pt idx="349">
                  <c:v>0.19189999999999499</c:v>
                </c:pt>
                <c:pt idx="350">
                  <c:v>0.19189999999999499</c:v>
                </c:pt>
                <c:pt idx="351">
                  <c:v>0.190299999999995</c:v>
                </c:pt>
                <c:pt idx="352">
                  <c:v>0.187999999999995</c:v>
                </c:pt>
                <c:pt idx="353">
                  <c:v>0.177999999999995</c:v>
                </c:pt>
                <c:pt idx="354">
                  <c:v>0.16139999999999599</c:v>
                </c:pt>
                <c:pt idx="355">
                  <c:v>0.16139999999999599</c:v>
                </c:pt>
                <c:pt idx="356">
                  <c:v>0.16139999999999599</c:v>
                </c:pt>
                <c:pt idx="357">
                  <c:v>0.16139999999999599</c:v>
                </c:pt>
                <c:pt idx="358">
                  <c:v>0.16219999999999599</c:v>
                </c:pt>
                <c:pt idx="359">
                  <c:v>0.164099999999996</c:v>
                </c:pt>
                <c:pt idx="360">
                  <c:v>0.175899999999996</c:v>
                </c:pt>
                <c:pt idx="361">
                  <c:v>0.175899999999996</c:v>
                </c:pt>
                <c:pt idx="362">
                  <c:v>0.175899999999996</c:v>
                </c:pt>
                <c:pt idx="363">
                  <c:v>0.175899999999996</c:v>
                </c:pt>
                <c:pt idx="364">
                  <c:v>0.18039999999999601</c:v>
                </c:pt>
                <c:pt idx="365">
                  <c:v>0.18419999999999601</c:v>
                </c:pt>
                <c:pt idx="366">
                  <c:v>0.18419999999999601</c:v>
                </c:pt>
                <c:pt idx="367">
                  <c:v>0.18459999999999599</c:v>
                </c:pt>
                <c:pt idx="368">
                  <c:v>0.18459999999999599</c:v>
                </c:pt>
                <c:pt idx="369">
                  <c:v>0.18259999999999599</c:v>
                </c:pt>
                <c:pt idx="370">
                  <c:v>0.18259999999999599</c:v>
                </c:pt>
                <c:pt idx="371">
                  <c:v>0.177199999999996</c:v>
                </c:pt>
                <c:pt idx="372">
                  <c:v>0.177199999999996</c:v>
                </c:pt>
                <c:pt idx="373">
                  <c:v>0.177199999999996</c:v>
                </c:pt>
                <c:pt idx="374">
                  <c:v>0.18039999999999601</c:v>
                </c:pt>
                <c:pt idx="375">
                  <c:v>0.179499999999996</c:v>
                </c:pt>
                <c:pt idx="376">
                  <c:v>0.179499999999996</c:v>
                </c:pt>
                <c:pt idx="377">
                  <c:v>0.182499999999996</c:v>
                </c:pt>
                <c:pt idx="378">
                  <c:v>0.182499999999996</c:v>
                </c:pt>
                <c:pt idx="379">
                  <c:v>0.18159999999999599</c:v>
                </c:pt>
                <c:pt idx="380">
                  <c:v>0.18159999999999599</c:v>
                </c:pt>
                <c:pt idx="381">
                  <c:v>0.18159999999999599</c:v>
                </c:pt>
                <c:pt idx="382">
                  <c:v>0.18159999999999599</c:v>
                </c:pt>
                <c:pt idx="383">
                  <c:v>0.18159999999999599</c:v>
                </c:pt>
                <c:pt idx="384">
                  <c:v>0.181199999999996</c:v>
                </c:pt>
                <c:pt idx="385">
                  <c:v>0.17699999999999599</c:v>
                </c:pt>
                <c:pt idx="386">
                  <c:v>0.17409999999999601</c:v>
                </c:pt>
                <c:pt idx="387">
                  <c:v>0.17409999999999601</c:v>
                </c:pt>
                <c:pt idx="388">
                  <c:v>0.17409999999999601</c:v>
                </c:pt>
                <c:pt idx="389">
                  <c:v>0.17349999999999599</c:v>
                </c:pt>
                <c:pt idx="390">
                  <c:v>0.17349999999999599</c:v>
                </c:pt>
                <c:pt idx="391">
                  <c:v>0.17349999999999599</c:v>
                </c:pt>
                <c:pt idx="392">
                  <c:v>0.17349999999999599</c:v>
                </c:pt>
                <c:pt idx="393">
                  <c:v>0.17349999999999599</c:v>
                </c:pt>
                <c:pt idx="394">
                  <c:v>0.16579999999999601</c:v>
                </c:pt>
                <c:pt idx="395">
                  <c:v>0.16039999999999599</c:v>
                </c:pt>
                <c:pt idx="396">
                  <c:v>0.15889999999999599</c:v>
                </c:pt>
                <c:pt idx="397">
                  <c:v>0.15889999999999599</c:v>
                </c:pt>
                <c:pt idx="398">
                  <c:v>0.15889999999999599</c:v>
                </c:pt>
                <c:pt idx="399">
                  <c:v>0.157999999999996</c:v>
                </c:pt>
                <c:pt idx="400">
                  <c:v>0.157999999999996</c:v>
                </c:pt>
                <c:pt idx="401">
                  <c:v>0.157999999999996</c:v>
                </c:pt>
                <c:pt idx="402">
                  <c:v>0.15949999999999601</c:v>
                </c:pt>
                <c:pt idx="403">
                  <c:v>0.15949999999999601</c:v>
                </c:pt>
                <c:pt idx="404">
                  <c:v>0.157799999999996</c:v>
                </c:pt>
                <c:pt idx="405">
                  <c:v>0.157799999999996</c:v>
                </c:pt>
                <c:pt idx="406">
                  <c:v>0.157799999999996</c:v>
                </c:pt>
                <c:pt idx="407">
                  <c:v>0.14639999999999601</c:v>
                </c:pt>
                <c:pt idx="408">
                  <c:v>0.14979999999999599</c:v>
                </c:pt>
                <c:pt idx="409">
                  <c:v>0.14979999999999599</c:v>
                </c:pt>
                <c:pt idx="410">
                  <c:v>0.152499999999996</c:v>
                </c:pt>
                <c:pt idx="411">
                  <c:v>0.152499999999996</c:v>
                </c:pt>
                <c:pt idx="412">
                  <c:v>0.15539999999999601</c:v>
                </c:pt>
                <c:pt idx="413">
                  <c:v>0.16999999999999599</c:v>
                </c:pt>
                <c:pt idx="414">
                  <c:v>0.170099999999996</c:v>
                </c:pt>
                <c:pt idx="415">
                  <c:v>0.170099999999996</c:v>
                </c:pt>
                <c:pt idx="416">
                  <c:v>0.170099999999996</c:v>
                </c:pt>
                <c:pt idx="417">
                  <c:v>0.17559999999999601</c:v>
                </c:pt>
                <c:pt idx="418">
                  <c:v>0.17559999999999601</c:v>
                </c:pt>
                <c:pt idx="419">
                  <c:v>0.167599999999996</c:v>
                </c:pt>
                <c:pt idx="420">
                  <c:v>0.17149999999999599</c:v>
                </c:pt>
                <c:pt idx="421">
                  <c:v>0.17149999999999599</c:v>
                </c:pt>
                <c:pt idx="422">
                  <c:v>0.176199999999996</c:v>
                </c:pt>
                <c:pt idx="423">
                  <c:v>0.18179999999999599</c:v>
                </c:pt>
                <c:pt idx="424">
                  <c:v>0.18179999999999599</c:v>
                </c:pt>
                <c:pt idx="425">
                  <c:v>0.18469999999999601</c:v>
                </c:pt>
                <c:pt idx="426">
                  <c:v>0.18469999999999601</c:v>
                </c:pt>
                <c:pt idx="427">
                  <c:v>0.19099999999999601</c:v>
                </c:pt>
                <c:pt idx="428">
                  <c:v>0.19339999999999599</c:v>
                </c:pt>
                <c:pt idx="429">
                  <c:v>0.19339999999999599</c:v>
                </c:pt>
                <c:pt idx="430">
                  <c:v>0.198599999999996</c:v>
                </c:pt>
                <c:pt idx="431">
                  <c:v>0.198599999999996</c:v>
                </c:pt>
                <c:pt idx="432">
                  <c:v>0.20579999999999599</c:v>
                </c:pt>
                <c:pt idx="433">
                  <c:v>0.20579999999999599</c:v>
                </c:pt>
                <c:pt idx="434">
                  <c:v>0.21109999999999601</c:v>
                </c:pt>
                <c:pt idx="435">
                  <c:v>0.21109999999999601</c:v>
                </c:pt>
                <c:pt idx="436">
                  <c:v>0.22419999999999601</c:v>
                </c:pt>
                <c:pt idx="437">
                  <c:v>0.210999999999996</c:v>
                </c:pt>
                <c:pt idx="438">
                  <c:v>0.210999999999996</c:v>
                </c:pt>
                <c:pt idx="439">
                  <c:v>0.210999999999996</c:v>
                </c:pt>
                <c:pt idx="440">
                  <c:v>0.21209999999999599</c:v>
                </c:pt>
                <c:pt idx="441">
                  <c:v>0.204399999999996</c:v>
                </c:pt>
                <c:pt idx="442">
                  <c:v>0.20909999999999601</c:v>
                </c:pt>
                <c:pt idx="443">
                  <c:v>0.20909999999999601</c:v>
                </c:pt>
                <c:pt idx="444">
                  <c:v>0.211499999999996</c:v>
                </c:pt>
                <c:pt idx="445">
                  <c:v>0.211499999999996</c:v>
                </c:pt>
                <c:pt idx="446">
                  <c:v>0.21869999999999601</c:v>
                </c:pt>
                <c:pt idx="447">
                  <c:v>0.21869999999999601</c:v>
                </c:pt>
                <c:pt idx="448">
                  <c:v>0.21869999999999601</c:v>
                </c:pt>
                <c:pt idx="449">
                  <c:v>0.21869999999999601</c:v>
                </c:pt>
                <c:pt idx="450">
                  <c:v>0.21959999999999599</c:v>
                </c:pt>
                <c:pt idx="451">
                  <c:v>0.21959999999999599</c:v>
                </c:pt>
                <c:pt idx="452">
                  <c:v>0.21959999999999599</c:v>
                </c:pt>
                <c:pt idx="453">
                  <c:v>0.23249999999999599</c:v>
                </c:pt>
                <c:pt idx="454">
                  <c:v>0.23249999999999599</c:v>
                </c:pt>
                <c:pt idx="455">
                  <c:v>0.23249999999999599</c:v>
                </c:pt>
                <c:pt idx="456">
                  <c:v>0.23759999999999601</c:v>
                </c:pt>
                <c:pt idx="457">
                  <c:v>0.234699999999996</c:v>
                </c:pt>
                <c:pt idx="458">
                  <c:v>0.234699999999996</c:v>
                </c:pt>
                <c:pt idx="459">
                  <c:v>0.234699999999996</c:v>
                </c:pt>
                <c:pt idx="460">
                  <c:v>0.234699999999996</c:v>
                </c:pt>
                <c:pt idx="461">
                  <c:v>0.245199999999996</c:v>
                </c:pt>
                <c:pt idx="462">
                  <c:v>0.245199999999996</c:v>
                </c:pt>
                <c:pt idx="463">
                  <c:v>0.245199999999996</c:v>
                </c:pt>
                <c:pt idx="464">
                  <c:v>0.245199999999996</c:v>
                </c:pt>
                <c:pt idx="465">
                  <c:v>0.245199999999996</c:v>
                </c:pt>
                <c:pt idx="466">
                  <c:v>0.24759999999999599</c:v>
                </c:pt>
                <c:pt idx="467">
                  <c:v>0.24759999999999599</c:v>
                </c:pt>
                <c:pt idx="468">
                  <c:v>0.24889999999999601</c:v>
                </c:pt>
                <c:pt idx="469">
                  <c:v>0.24889999999999601</c:v>
                </c:pt>
                <c:pt idx="470">
                  <c:v>0.24609999999999599</c:v>
                </c:pt>
                <c:pt idx="471">
                  <c:v>0.24609999999999599</c:v>
                </c:pt>
                <c:pt idx="472">
                  <c:v>0.24609999999999599</c:v>
                </c:pt>
                <c:pt idx="473">
                  <c:v>0.244699999999997</c:v>
                </c:pt>
                <c:pt idx="474">
                  <c:v>0.243199999999996</c:v>
                </c:pt>
                <c:pt idx="475">
                  <c:v>0.243699999999996</c:v>
                </c:pt>
                <c:pt idx="476">
                  <c:v>0.243699999999996</c:v>
                </c:pt>
                <c:pt idx="477">
                  <c:v>0.243999999999996</c:v>
                </c:pt>
                <c:pt idx="478">
                  <c:v>0.24229999999999599</c:v>
                </c:pt>
                <c:pt idx="479">
                  <c:v>0.26169999999999599</c:v>
                </c:pt>
                <c:pt idx="480">
                  <c:v>0.26169999999999599</c:v>
                </c:pt>
                <c:pt idx="481">
                  <c:v>0.26169999999999599</c:v>
                </c:pt>
                <c:pt idx="482">
                  <c:v>0.26169999999999599</c:v>
                </c:pt>
                <c:pt idx="483">
                  <c:v>0.26169999999999599</c:v>
                </c:pt>
                <c:pt idx="484">
                  <c:v>0.25969999999999599</c:v>
                </c:pt>
                <c:pt idx="485">
                  <c:v>0.25969999999999599</c:v>
                </c:pt>
                <c:pt idx="486">
                  <c:v>0.27049999999999602</c:v>
                </c:pt>
                <c:pt idx="487">
                  <c:v>0.27049999999999602</c:v>
                </c:pt>
                <c:pt idx="488">
                  <c:v>0.27049999999999602</c:v>
                </c:pt>
                <c:pt idx="489">
                  <c:v>0.27049999999999602</c:v>
                </c:pt>
                <c:pt idx="490">
                  <c:v>0.270699999999996</c:v>
                </c:pt>
                <c:pt idx="491">
                  <c:v>0.27349999999999602</c:v>
                </c:pt>
                <c:pt idx="492">
                  <c:v>0.27799999999999597</c:v>
                </c:pt>
                <c:pt idx="493">
                  <c:v>0.26189999999999602</c:v>
                </c:pt>
                <c:pt idx="494">
                  <c:v>0.26189999999999602</c:v>
                </c:pt>
                <c:pt idx="495">
                  <c:v>0.26189999999999602</c:v>
                </c:pt>
                <c:pt idx="496">
                  <c:v>0.25789999999999602</c:v>
                </c:pt>
                <c:pt idx="497">
                  <c:v>0.24739999999999601</c:v>
                </c:pt>
                <c:pt idx="498">
                  <c:v>0.24709999999999599</c:v>
                </c:pt>
                <c:pt idx="499">
                  <c:v>0.24709999999999599</c:v>
                </c:pt>
                <c:pt idx="500">
                  <c:v>0.25599999999999601</c:v>
                </c:pt>
                <c:pt idx="501">
                  <c:v>0.25889999999999702</c:v>
                </c:pt>
                <c:pt idx="502">
                  <c:v>0.25889999999999702</c:v>
                </c:pt>
                <c:pt idx="503">
                  <c:v>0.25339999999999702</c:v>
                </c:pt>
                <c:pt idx="504">
                  <c:v>0.25339999999999702</c:v>
                </c:pt>
                <c:pt idx="505">
                  <c:v>0.25339999999999702</c:v>
                </c:pt>
                <c:pt idx="506">
                  <c:v>0.25629999999999697</c:v>
                </c:pt>
                <c:pt idx="507">
                  <c:v>0.26419999999999699</c:v>
                </c:pt>
                <c:pt idx="508">
                  <c:v>0.263599999999997</c:v>
                </c:pt>
                <c:pt idx="509">
                  <c:v>0.263599999999997</c:v>
                </c:pt>
                <c:pt idx="510">
                  <c:v>0.263599999999997</c:v>
                </c:pt>
                <c:pt idx="511">
                  <c:v>0.264599999999997</c:v>
                </c:pt>
                <c:pt idx="512">
                  <c:v>0.264599999999997</c:v>
                </c:pt>
                <c:pt idx="513">
                  <c:v>0.264099999999997</c:v>
                </c:pt>
                <c:pt idx="514">
                  <c:v>0.26689999999999697</c:v>
                </c:pt>
                <c:pt idx="515">
                  <c:v>0.26689999999999697</c:v>
                </c:pt>
                <c:pt idx="516">
                  <c:v>0.26629999999999698</c:v>
                </c:pt>
                <c:pt idx="517">
                  <c:v>0.27089999999999698</c:v>
                </c:pt>
                <c:pt idx="518">
                  <c:v>0.26839999999999697</c:v>
                </c:pt>
                <c:pt idx="519">
                  <c:v>0.26839999999999697</c:v>
                </c:pt>
                <c:pt idx="520">
                  <c:v>0.26839999999999697</c:v>
                </c:pt>
                <c:pt idx="521">
                  <c:v>0.26839999999999697</c:v>
                </c:pt>
                <c:pt idx="522">
                  <c:v>0.26799999999999702</c:v>
                </c:pt>
                <c:pt idx="523">
                  <c:v>0.26799999999999702</c:v>
                </c:pt>
                <c:pt idx="524">
                  <c:v>0.28019999999999701</c:v>
                </c:pt>
                <c:pt idx="525">
                  <c:v>0.284299999999997</c:v>
                </c:pt>
                <c:pt idx="526">
                  <c:v>0.284299999999997</c:v>
                </c:pt>
                <c:pt idx="527">
                  <c:v>0.28519999999999701</c:v>
                </c:pt>
                <c:pt idx="528">
                  <c:v>0.28069999999999701</c:v>
                </c:pt>
                <c:pt idx="529">
                  <c:v>0.275199999999997</c:v>
                </c:pt>
                <c:pt idx="530">
                  <c:v>0.275199999999997</c:v>
                </c:pt>
                <c:pt idx="531">
                  <c:v>0.275199999999997</c:v>
                </c:pt>
                <c:pt idx="532">
                  <c:v>0.275199999999997</c:v>
                </c:pt>
                <c:pt idx="533">
                  <c:v>0.275199999999997</c:v>
                </c:pt>
                <c:pt idx="534">
                  <c:v>0.26999999999999702</c:v>
                </c:pt>
                <c:pt idx="535">
                  <c:v>0.267199999999997</c:v>
                </c:pt>
                <c:pt idx="536">
                  <c:v>0.25599999999999701</c:v>
                </c:pt>
                <c:pt idx="537">
                  <c:v>0.25599999999999701</c:v>
                </c:pt>
                <c:pt idx="538">
                  <c:v>0.25599999999999701</c:v>
                </c:pt>
                <c:pt idx="539">
                  <c:v>0.254599999999997</c:v>
                </c:pt>
                <c:pt idx="540">
                  <c:v>0.257099999999997</c:v>
                </c:pt>
                <c:pt idx="541">
                  <c:v>0.24339999999999601</c:v>
                </c:pt>
                <c:pt idx="542">
                  <c:v>0.247999999999996</c:v>
                </c:pt>
                <c:pt idx="543">
                  <c:v>0.247999999999996</c:v>
                </c:pt>
                <c:pt idx="544">
                  <c:v>0.235199999999996</c:v>
                </c:pt>
                <c:pt idx="545">
                  <c:v>0.235199999999996</c:v>
                </c:pt>
                <c:pt idx="546">
                  <c:v>0.235199999999996</c:v>
                </c:pt>
                <c:pt idx="547">
                  <c:v>0.235199999999996</c:v>
                </c:pt>
                <c:pt idx="548">
                  <c:v>0.23729999999999599</c:v>
                </c:pt>
                <c:pt idx="549">
                  <c:v>0.23479999999999701</c:v>
                </c:pt>
                <c:pt idx="550">
                  <c:v>0.238199999999997</c:v>
                </c:pt>
                <c:pt idx="551">
                  <c:v>0.238399999999997</c:v>
                </c:pt>
                <c:pt idx="552">
                  <c:v>0.238399999999997</c:v>
                </c:pt>
                <c:pt idx="553">
                  <c:v>0.22389999999999699</c:v>
                </c:pt>
                <c:pt idx="554">
                  <c:v>0.21279999999999699</c:v>
                </c:pt>
                <c:pt idx="555">
                  <c:v>0.21279999999999699</c:v>
                </c:pt>
                <c:pt idx="556">
                  <c:v>0.21279999999999699</c:v>
                </c:pt>
                <c:pt idx="557">
                  <c:v>0.21279999999999699</c:v>
                </c:pt>
                <c:pt idx="558">
                  <c:v>0.21279999999999699</c:v>
                </c:pt>
                <c:pt idx="559">
                  <c:v>0.208399999999997</c:v>
                </c:pt>
                <c:pt idx="560">
                  <c:v>0.20649999999999699</c:v>
                </c:pt>
                <c:pt idx="561">
                  <c:v>0.21459999999999699</c:v>
                </c:pt>
                <c:pt idx="562">
                  <c:v>0.203899999999997</c:v>
                </c:pt>
                <c:pt idx="563">
                  <c:v>0.203899999999997</c:v>
                </c:pt>
                <c:pt idx="564">
                  <c:v>0.203899999999997</c:v>
                </c:pt>
                <c:pt idx="565">
                  <c:v>0.20219999999999699</c:v>
                </c:pt>
                <c:pt idx="566">
                  <c:v>0.20219999999999699</c:v>
                </c:pt>
                <c:pt idx="567">
                  <c:v>0.20219999999999699</c:v>
                </c:pt>
                <c:pt idx="568">
                  <c:v>0.20219999999999699</c:v>
                </c:pt>
                <c:pt idx="569">
                  <c:v>0.20219999999999699</c:v>
                </c:pt>
                <c:pt idx="570">
                  <c:v>0.20029999999999701</c:v>
                </c:pt>
                <c:pt idx="571">
                  <c:v>0.20029999999999701</c:v>
                </c:pt>
                <c:pt idx="572">
                  <c:v>0.20029999999999701</c:v>
                </c:pt>
                <c:pt idx="573">
                  <c:v>0.20029999999999701</c:v>
                </c:pt>
                <c:pt idx="574">
                  <c:v>0.20029999999999701</c:v>
                </c:pt>
                <c:pt idx="575">
                  <c:v>0.21379999999999699</c:v>
                </c:pt>
                <c:pt idx="576">
                  <c:v>0.226799999999997</c:v>
                </c:pt>
                <c:pt idx="577">
                  <c:v>0.226799999999997</c:v>
                </c:pt>
                <c:pt idx="578">
                  <c:v>0.226799999999997</c:v>
                </c:pt>
                <c:pt idx="579">
                  <c:v>0.23399999999999699</c:v>
                </c:pt>
                <c:pt idx="580">
                  <c:v>0.23399999999999699</c:v>
                </c:pt>
                <c:pt idx="581">
                  <c:v>0.24059999999999701</c:v>
                </c:pt>
                <c:pt idx="582">
                  <c:v>0.24059999999999701</c:v>
                </c:pt>
                <c:pt idx="583">
                  <c:v>0.24179999999999699</c:v>
                </c:pt>
                <c:pt idx="584">
                  <c:v>0.24179999999999699</c:v>
                </c:pt>
                <c:pt idx="585">
                  <c:v>0.24179999999999699</c:v>
                </c:pt>
                <c:pt idx="586">
                  <c:v>0.24179999999999699</c:v>
                </c:pt>
                <c:pt idx="587">
                  <c:v>0.24179999999999699</c:v>
                </c:pt>
                <c:pt idx="588">
                  <c:v>0.243499999999997</c:v>
                </c:pt>
                <c:pt idx="589">
                  <c:v>0.243499999999997</c:v>
                </c:pt>
                <c:pt idx="590">
                  <c:v>0.24129999999999699</c:v>
                </c:pt>
                <c:pt idx="591">
                  <c:v>0.24129999999999699</c:v>
                </c:pt>
                <c:pt idx="592">
                  <c:v>0.24129999999999699</c:v>
                </c:pt>
                <c:pt idx="593">
                  <c:v>0.24129999999999699</c:v>
                </c:pt>
                <c:pt idx="594">
                  <c:v>0.24509999999999699</c:v>
                </c:pt>
                <c:pt idx="595">
                  <c:v>0.238699999999997</c:v>
                </c:pt>
                <c:pt idx="596">
                  <c:v>0.23629999999999701</c:v>
                </c:pt>
                <c:pt idx="597">
                  <c:v>0.23469999999999699</c:v>
                </c:pt>
                <c:pt idx="598">
                  <c:v>0.24189999999999701</c:v>
                </c:pt>
                <c:pt idx="599">
                  <c:v>0.242699999999997</c:v>
                </c:pt>
                <c:pt idx="600">
                  <c:v>0.23429999999999701</c:v>
                </c:pt>
                <c:pt idx="601">
                  <c:v>0.243999999999997</c:v>
                </c:pt>
                <c:pt idx="602">
                  <c:v>0.243999999999997</c:v>
                </c:pt>
                <c:pt idx="603">
                  <c:v>0.243999999999997</c:v>
                </c:pt>
                <c:pt idx="604">
                  <c:v>0.243999999999997</c:v>
                </c:pt>
                <c:pt idx="605">
                  <c:v>0.241199999999997</c:v>
                </c:pt>
                <c:pt idx="606">
                  <c:v>0.25319999999999698</c:v>
                </c:pt>
                <c:pt idx="607">
                  <c:v>0.25319999999999698</c:v>
                </c:pt>
                <c:pt idx="608">
                  <c:v>0.25319999999999698</c:v>
                </c:pt>
                <c:pt idx="609">
                  <c:v>0.25319999999999698</c:v>
                </c:pt>
                <c:pt idx="610">
                  <c:v>0.24659999999999699</c:v>
                </c:pt>
                <c:pt idx="611">
                  <c:v>0.25209999999999699</c:v>
                </c:pt>
                <c:pt idx="612">
                  <c:v>0.248999999999997</c:v>
                </c:pt>
                <c:pt idx="613">
                  <c:v>0.25599999999999701</c:v>
                </c:pt>
                <c:pt idx="614">
                  <c:v>0.25599999999999701</c:v>
                </c:pt>
                <c:pt idx="615">
                  <c:v>0.25599999999999701</c:v>
                </c:pt>
                <c:pt idx="616">
                  <c:v>0.25529999999999697</c:v>
                </c:pt>
                <c:pt idx="617">
                  <c:v>0.25529999999999697</c:v>
                </c:pt>
                <c:pt idx="618">
                  <c:v>0.242499999999997</c:v>
                </c:pt>
                <c:pt idx="619">
                  <c:v>0.24109999999999701</c:v>
                </c:pt>
                <c:pt idx="620">
                  <c:v>0.24109999999999701</c:v>
                </c:pt>
                <c:pt idx="621">
                  <c:v>0.24109999999999701</c:v>
                </c:pt>
                <c:pt idx="622">
                  <c:v>0.233899999999997</c:v>
                </c:pt>
                <c:pt idx="623">
                  <c:v>0.24049999999999699</c:v>
                </c:pt>
                <c:pt idx="624">
                  <c:v>0.24049999999999699</c:v>
                </c:pt>
                <c:pt idx="625">
                  <c:v>0.25369999999999698</c:v>
                </c:pt>
                <c:pt idx="626">
                  <c:v>0.25369999999999698</c:v>
                </c:pt>
                <c:pt idx="627">
                  <c:v>0.25369999999999698</c:v>
                </c:pt>
                <c:pt idx="628">
                  <c:v>0.25369999999999698</c:v>
                </c:pt>
                <c:pt idx="629">
                  <c:v>0.25369999999999698</c:v>
                </c:pt>
                <c:pt idx="630">
                  <c:v>0.25689999999999702</c:v>
                </c:pt>
                <c:pt idx="631">
                  <c:v>0.25689999999999702</c:v>
                </c:pt>
                <c:pt idx="632">
                  <c:v>0.249799999999997</c:v>
                </c:pt>
                <c:pt idx="633">
                  <c:v>0.25539999999999702</c:v>
                </c:pt>
                <c:pt idx="634">
                  <c:v>0.25539999999999702</c:v>
                </c:pt>
                <c:pt idx="635">
                  <c:v>0.25119999999999698</c:v>
                </c:pt>
                <c:pt idx="636">
                  <c:v>0.25829999999999698</c:v>
                </c:pt>
                <c:pt idx="637">
                  <c:v>0.25829999999999698</c:v>
                </c:pt>
                <c:pt idx="638">
                  <c:v>0.25829999999999698</c:v>
                </c:pt>
                <c:pt idx="639">
                  <c:v>0.25829999999999698</c:v>
                </c:pt>
                <c:pt idx="640">
                  <c:v>0.252499999999997</c:v>
                </c:pt>
                <c:pt idx="641">
                  <c:v>0.25429999999999697</c:v>
                </c:pt>
                <c:pt idx="642">
                  <c:v>0.25429999999999697</c:v>
                </c:pt>
                <c:pt idx="643">
                  <c:v>0.26039999999999702</c:v>
                </c:pt>
                <c:pt idx="644">
                  <c:v>0.268199999999997</c:v>
                </c:pt>
                <c:pt idx="645">
                  <c:v>0.268199999999997</c:v>
                </c:pt>
                <c:pt idx="646">
                  <c:v>0.268199999999997</c:v>
                </c:pt>
                <c:pt idx="647">
                  <c:v>0.268199999999997</c:v>
                </c:pt>
                <c:pt idx="648">
                  <c:v>0.268199999999997</c:v>
                </c:pt>
                <c:pt idx="649">
                  <c:v>0.26379999999999698</c:v>
                </c:pt>
                <c:pt idx="650">
                  <c:v>0.263099999999997</c:v>
                </c:pt>
                <c:pt idx="651">
                  <c:v>0.263099999999997</c:v>
                </c:pt>
                <c:pt idx="652">
                  <c:v>0.26609999999999701</c:v>
                </c:pt>
                <c:pt idx="653">
                  <c:v>0.26369999999999699</c:v>
                </c:pt>
                <c:pt idx="654">
                  <c:v>0.26369999999999699</c:v>
                </c:pt>
                <c:pt idx="655">
                  <c:v>0.26369999999999699</c:v>
                </c:pt>
                <c:pt idx="656">
                  <c:v>0.256599999999997</c:v>
                </c:pt>
                <c:pt idx="657">
                  <c:v>0.256599999999997</c:v>
                </c:pt>
                <c:pt idx="658">
                  <c:v>0.256599999999997</c:v>
                </c:pt>
                <c:pt idx="659">
                  <c:v>0.256599999999997</c:v>
                </c:pt>
                <c:pt idx="660">
                  <c:v>0.256599999999997</c:v>
                </c:pt>
                <c:pt idx="661">
                  <c:v>0.25429999999999697</c:v>
                </c:pt>
                <c:pt idx="662">
                  <c:v>0.26069999999999699</c:v>
                </c:pt>
                <c:pt idx="663">
                  <c:v>0.26069999999999699</c:v>
                </c:pt>
                <c:pt idx="664">
                  <c:v>0.26069999999999699</c:v>
                </c:pt>
                <c:pt idx="665">
                  <c:v>0.26239999999999702</c:v>
                </c:pt>
                <c:pt idx="666">
                  <c:v>0.26239999999999702</c:v>
                </c:pt>
                <c:pt idx="667">
                  <c:v>0.262099999999997</c:v>
                </c:pt>
                <c:pt idx="668">
                  <c:v>0.262099999999997</c:v>
                </c:pt>
                <c:pt idx="669">
                  <c:v>0.262099999999997</c:v>
                </c:pt>
                <c:pt idx="670">
                  <c:v>0.262099999999997</c:v>
                </c:pt>
                <c:pt idx="671">
                  <c:v>0.26279999999999698</c:v>
                </c:pt>
                <c:pt idx="672">
                  <c:v>0.26069999999999699</c:v>
                </c:pt>
                <c:pt idx="673">
                  <c:v>0.26699999999999702</c:v>
                </c:pt>
                <c:pt idx="674">
                  <c:v>0.26699999999999702</c:v>
                </c:pt>
                <c:pt idx="675">
                  <c:v>0.26519999999999699</c:v>
                </c:pt>
                <c:pt idx="676">
                  <c:v>0.26519999999999699</c:v>
                </c:pt>
                <c:pt idx="677">
                  <c:v>0.25589999999999702</c:v>
                </c:pt>
                <c:pt idx="678">
                  <c:v>0.25529999999999697</c:v>
                </c:pt>
                <c:pt idx="679">
                  <c:v>0.25529999999999697</c:v>
                </c:pt>
                <c:pt idx="680">
                  <c:v>0.25529999999999697</c:v>
                </c:pt>
                <c:pt idx="681">
                  <c:v>0.25179999999999703</c:v>
                </c:pt>
                <c:pt idx="682">
                  <c:v>0.25639999999999702</c:v>
                </c:pt>
                <c:pt idx="683">
                  <c:v>0.25839999999999702</c:v>
                </c:pt>
                <c:pt idx="684">
                  <c:v>0.25839999999999702</c:v>
                </c:pt>
                <c:pt idx="685">
                  <c:v>0.25869999999999699</c:v>
                </c:pt>
                <c:pt idx="686">
                  <c:v>0.26749999999999702</c:v>
                </c:pt>
                <c:pt idx="687">
                  <c:v>0.26799999999999702</c:v>
                </c:pt>
                <c:pt idx="688">
                  <c:v>0.26799999999999702</c:v>
                </c:pt>
                <c:pt idx="689">
                  <c:v>0.26839999999999697</c:v>
                </c:pt>
                <c:pt idx="690">
                  <c:v>0.26289999999999702</c:v>
                </c:pt>
                <c:pt idx="691">
                  <c:v>0.25499999999999701</c:v>
                </c:pt>
                <c:pt idx="692">
                  <c:v>0.25499999999999701</c:v>
                </c:pt>
                <c:pt idx="693">
                  <c:v>0.25499999999999701</c:v>
                </c:pt>
                <c:pt idx="694">
                  <c:v>0.25499999999999701</c:v>
                </c:pt>
                <c:pt idx="695">
                  <c:v>0.256099999999997</c:v>
                </c:pt>
                <c:pt idx="696">
                  <c:v>0.256099999999997</c:v>
                </c:pt>
                <c:pt idx="697">
                  <c:v>0.26229999999999698</c:v>
                </c:pt>
                <c:pt idx="698">
                  <c:v>0.26229999999999698</c:v>
                </c:pt>
                <c:pt idx="699">
                  <c:v>0.25719999999999699</c:v>
                </c:pt>
                <c:pt idx="700">
                  <c:v>0.25979999999999698</c:v>
                </c:pt>
                <c:pt idx="701">
                  <c:v>0.25979999999999698</c:v>
                </c:pt>
                <c:pt idx="702">
                  <c:v>0.25949999999999701</c:v>
                </c:pt>
                <c:pt idx="703">
                  <c:v>0.25949999999999701</c:v>
                </c:pt>
                <c:pt idx="704">
                  <c:v>0.25949999999999701</c:v>
                </c:pt>
                <c:pt idx="705">
                  <c:v>0.25749999999999701</c:v>
                </c:pt>
                <c:pt idx="706">
                  <c:v>0.26079999999999698</c:v>
                </c:pt>
                <c:pt idx="707">
                  <c:v>0.26079999999999698</c:v>
                </c:pt>
                <c:pt idx="708">
                  <c:v>0.26169999999999699</c:v>
                </c:pt>
                <c:pt idx="709">
                  <c:v>0.26169999999999699</c:v>
                </c:pt>
                <c:pt idx="710">
                  <c:v>0.25219999999999698</c:v>
                </c:pt>
                <c:pt idx="711">
                  <c:v>0.25219999999999698</c:v>
                </c:pt>
                <c:pt idx="712">
                  <c:v>0.25219999999999698</c:v>
                </c:pt>
                <c:pt idx="713">
                  <c:v>0.248299999999997</c:v>
                </c:pt>
                <c:pt idx="714">
                  <c:v>0.248299999999997</c:v>
                </c:pt>
                <c:pt idx="715">
                  <c:v>0.25229999999999703</c:v>
                </c:pt>
                <c:pt idx="716">
                  <c:v>0.26089999999999702</c:v>
                </c:pt>
                <c:pt idx="717">
                  <c:v>0.25109999999999699</c:v>
                </c:pt>
                <c:pt idx="718">
                  <c:v>0.25109999999999699</c:v>
                </c:pt>
                <c:pt idx="719">
                  <c:v>0.25109999999999699</c:v>
                </c:pt>
                <c:pt idx="720">
                  <c:v>0.247499999999997</c:v>
                </c:pt>
                <c:pt idx="721">
                  <c:v>0.24789999999999701</c:v>
                </c:pt>
                <c:pt idx="722">
                  <c:v>0.25599999999999701</c:v>
                </c:pt>
                <c:pt idx="723">
                  <c:v>0.25599999999999701</c:v>
                </c:pt>
                <c:pt idx="724">
                  <c:v>0.25599999999999701</c:v>
                </c:pt>
                <c:pt idx="725">
                  <c:v>0.26349999999999701</c:v>
                </c:pt>
                <c:pt idx="726">
                  <c:v>0.25799999999999701</c:v>
                </c:pt>
                <c:pt idx="727">
                  <c:v>0.25799999999999701</c:v>
                </c:pt>
                <c:pt idx="728">
                  <c:v>0.25799999999999701</c:v>
                </c:pt>
                <c:pt idx="729">
                  <c:v>0.25799999999999701</c:v>
                </c:pt>
                <c:pt idx="730">
                  <c:v>0.260099999999998</c:v>
                </c:pt>
                <c:pt idx="731">
                  <c:v>0.260099999999998</c:v>
                </c:pt>
                <c:pt idx="732">
                  <c:v>0.25489999999999702</c:v>
                </c:pt>
                <c:pt idx="733">
                  <c:v>0.25219999999999798</c:v>
                </c:pt>
                <c:pt idx="734">
                  <c:v>0.254599999999997</c:v>
                </c:pt>
                <c:pt idx="735">
                  <c:v>0.254599999999997</c:v>
                </c:pt>
                <c:pt idx="736">
                  <c:v>0.24869999999999701</c:v>
                </c:pt>
                <c:pt idx="737">
                  <c:v>0.25019999999999798</c:v>
                </c:pt>
                <c:pt idx="738">
                  <c:v>0.25899999999999801</c:v>
                </c:pt>
                <c:pt idx="739">
                  <c:v>0.27039999999999798</c:v>
                </c:pt>
                <c:pt idx="740">
                  <c:v>0.27039999999999798</c:v>
                </c:pt>
                <c:pt idx="741">
                  <c:v>0.26149999999999801</c:v>
                </c:pt>
                <c:pt idx="742">
                  <c:v>0.26149999999999801</c:v>
                </c:pt>
                <c:pt idx="743">
                  <c:v>0.26149999999999801</c:v>
                </c:pt>
                <c:pt idx="744">
                  <c:v>0.25619999999999798</c:v>
                </c:pt>
                <c:pt idx="745">
                  <c:v>0.25159999999999799</c:v>
                </c:pt>
                <c:pt idx="746">
                  <c:v>0.25449999999999801</c:v>
                </c:pt>
                <c:pt idx="747">
                  <c:v>0.25449999999999801</c:v>
                </c:pt>
                <c:pt idx="748">
                  <c:v>0.25629999999999797</c:v>
                </c:pt>
                <c:pt idx="749">
                  <c:v>0.25849999999999801</c:v>
                </c:pt>
                <c:pt idx="750">
                  <c:v>0.25649999999999801</c:v>
                </c:pt>
                <c:pt idx="751">
                  <c:v>0.25629999999999797</c:v>
                </c:pt>
                <c:pt idx="752">
                  <c:v>0.25629999999999797</c:v>
                </c:pt>
                <c:pt idx="753">
                  <c:v>0.264099999999998</c:v>
                </c:pt>
                <c:pt idx="754">
                  <c:v>0.26979999999999799</c:v>
                </c:pt>
                <c:pt idx="755">
                  <c:v>0.26979999999999799</c:v>
                </c:pt>
                <c:pt idx="756">
                  <c:v>0.268699999999998</c:v>
                </c:pt>
                <c:pt idx="757">
                  <c:v>0.268699999999998</c:v>
                </c:pt>
                <c:pt idx="758">
                  <c:v>0.268699999999998</c:v>
                </c:pt>
                <c:pt idx="759">
                  <c:v>0.26299999999999801</c:v>
                </c:pt>
                <c:pt idx="760">
                  <c:v>0.26299999999999801</c:v>
                </c:pt>
                <c:pt idx="761">
                  <c:v>0.269199999999998</c:v>
                </c:pt>
                <c:pt idx="762">
                  <c:v>0.266099999999998</c:v>
                </c:pt>
                <c:pt idx="763">
                  <c:v>0.266099999999998</c:v>
                </c:pt>
                <c:pt idx="764">
                  <c:v>0.266099999999998</c:v>
                </c:pt>
                <c:pt idx="765">
                  <c:v>0.26389999999999803</c:v>
                </c:pt>
                <c:pt idx="766">
                  <c:v>0.26389999999999803</c:v>
                </c:pt>
                <c:pt idx="767">
                  <c:v>0.26389999999999803</c:v>
                </c:pt>
                <c:pt idx="768">
                  <c:v>0.27129999999999799</c:v>
                </c:pt>
                <c:pt idx="769">
                  <c:v>0.27129999999999799</c:v>
                </c:pt>
                <c:pt idx="770">
                  <c:v>0.27129999999999799</c:v>
                </c:pt>
                <c:pt idx="771">
                  <c:v>0.27129999999999799</c:v>
                </c:pt>
                <c:pt idx="772">
                  <c:v>0.27259999999999701</c:v>
                </c:pt>
                <c:pt idx="773">
                  <c:v>0.27399999999999802</c:v>
                </c:pt>
                <c:pt idx="774">
                  <c:v>0.27459999999999801</c:v>
                </c:pt>
                <c:pt idx="775">
                  <c:v>0.276199999999998</c:v>
                </c:pt>
                <c:pt idx="776">
                  <c:v>0.28039999999999798</c:v>
                </c:pt>
                <c:pt idx="777">
                  <c:v>0.28039999999999798</c:v>
                </c:pt>
                <c:pt idx="778">
                  <c:v>0.28039999999999798</c:v>
                </c:pt>
                <c:pt idx="779">
                  <c:v>0.28039999999999798</c:v>
                </c:pt>
                <c:pt idx="780">
                  <c:v>0.28039999999999798</c:v>
                </c:pt>
                <c:pt idx="781">
                  <c:v>0.28209999999999802</c:v>
                </c:pt>
                <c:pt idx="782">
                  <c:v>0.29309999999999797</c:v>
                </c:pt>
                <c:pt idx="783">
                  <c:v>0.29779999999999801</c:v>
                </c:pt>
                <c:pt idx="784">
                  <c:v>0.29779999999999801</c:v>
                </c:pt>
                <c:pt idx="785">
                  <c:v>0.30229999999999801</c:v>
                </c:pt>
                <c:pt idx="786">
                  <c:v>0.30049999999999799</c:v>
                </c:pt>
                <c:pt idx="787">
                  <c:v>0.30779999999999802</c:v>
                </c:pt>
                <c:pt idx="788">
                  <c:v>0.30779999999999802</c:v>
                </c:pt>
                <c:pt idx="789">
                  <c:v>0.30779999999999802</c:v>
                </c:pt>
                <c:pt idx="790">
                  <c:v>0.30779999999999802</c:v>
                </c:pt>
                <c:pt idx="791">
                  <c:v>0.30779999999999802</c:v>
                </c:pt>
                <c:pt idx="792">
                  <c:v>0.30879999999999802</c:v>
                </c:pt>
                <c:pt idx="793">
                  <c:v>0.30879999999999802</c:v>
                </c:pt>
                <c:pt idx="794">
                  <c:v>0.30169999999999803</c:v>
                </c:pt>
                <c:pt idx="795">
                  <c:v>0.307999999999998</c:v>
                </c:pt>
                <c:pt idx="796">
                  <c:v>0.307999999999998</c:v>
                </c:pt>
                <c:pt idx="797">
                  <c:v>0.31279999999999802</c:v>
                </c:pt>
                <c:pt idx="798">
                  <c:v>0.309999999999998</c:v>
                </c:pt>
                <c:pt idx="799">
                  <c:v>0.314499999999998</c:v>
                </c:pt>
                <c:pt idx="800">
                  <c:v>0.314499999999998</c:v>
                </c:pt>
                <c:pt idx="801">
                  <c:v>0.31219999999999798</c:v>
                </c:pt>
                <c:pt idx="802">
                  <c:v>0.310999999999998</c:v>
                </c:pt>
                <c:pt idx="803">
                  <c:v>0.310999999999998</c:v>
                </c:pt>
                <c:pt idx="804">
                  <c:v>0.310999999999998</c:v>
                </c:pt>
                <c:pt idx="805">
                  <c:v>0.30499999999999799</c:v>
                </c:pt>
                <c:pt idx="806">
                  <c:v>0.30499999999999799</c:v>
                </c:pt>
                <c:pt idx="807">
                  <c:v>0.30499999999999799</c:v>
                </c:pt>
                <c:pt idx="808">
                  <c:v>0.31259999999999799</c:v>
                </c:pt>
                <c:pt idx="809">
                  <c:v>0.31239999999999801</c:v>
                </c:pt>
                <c:pt idx="810">
                  <c:v>0.31239999999999801</c:v>
                </c:pt>
                <c:pt idx="811">
                  <c:v>0.30829999999999802</c:v>
                </c:pt>
                <c:pt idx="812">
                  <c:v>0.30829999999999802</c:v>
                </c:pt>
                <c:pt idx="813">
                  <c:v>0.30829999999999802</c:v>
                </c:pt>
                <c:pt idx="814">
                  <c:v>0.30459999999999798</c:v>
                </c:pt>
                <c:pt idx="815">
                  <c:v>0.30459999999999798</c:v>
                </c:pt>
                <c:pt idx="816">
                  <c:v>0.30179999999999801</c:v>
                </c:pt>
                <c:pt idx="817">
                  <c:v>0.30049999999999799</c:v>
                </c:pt>
                <c:pt idx="818">
                  <c:v>0.306499999999998</c:v>
                </c:pt>
                <c:pt idx="819">
                  <c:v>0.30589999999999801</c:v>
                </c:pt>
                <c:pt idx="820">
                  <c:v>0.30589999999999801</c:v>
                </c:pt>
                <c:pt idx="821">
                  <c:v>0.30589999999999801</c:v>
                </c:pt>
                <c:pt idx="822">
                  <c:v>0.30679999999999702</c:v>
                </c:pt>
                <c:pt idx="823">
                  <c:v>0.30679999999999702</c:v>
                </c:pt>
                <c:pt idx="824">
                  <c:v>0.30679999999999702</c:v>
                </c:pt>
                <c:pt idx="825">
                  <c:v>0.30369999999999697</c:v>
                </c:pt>
                <c:pt idx="826">
                  <c:v>0.30369999999999697</c:v>
                </c:pt>
                <c:pt idx="827">
                  <c:v>0.30369999999999697</c:v>
                </c:pt>
                <c:pt idx="828">
                  <c:v>0.30909999999999699</c:v>
                </c:pt>
                <c:pt idx="829">
                  <c:v>0.30739999999999701</c:v>
                </c:pt>
                <c:pt idx="830">
                  <c:v>0.30739999999999701</c:v>
                </c:pt>
                <c:pt idx="831">
                  <c:v>0.30739999999999701</c:v>
                </c:pt>
                <c:pt idx="832">
                  <c:v>0.30739999999999701</c:v>
                </c:pt>
                <c:pt idx="833">
                  <c:v>0.30219999999999703</c:v>
                </c:pt>
                <c:pt idx="834">
                  <c:v>0.31009999999999699</c:v>
                </c:pt>
                <c:pt idx="835">
                  <c:v>0.31009999999999699</c:v>
                </c:pt>
                <c:pt idx="836">
                  <c:v>0.310999999999997</c:v>
                </c:pt>
                <c:pt idx="837">
                  <c:v>0.310999999999997</c:v>
                </c:pt>
                <c:pt idx="838">
                  <c:v>0.30979999999999702</c:v>
                </c:pt>
                <c:pt idx="839">
                  <c:v>0.30979999999999702</c:v>
                </c:pt>
                <c:pt idx="840">
                  <c:v>0.30979999999999702</c:v>
                </c:pt>
                <c:pt idx="841">
                  <c:v>0.31089999999999701</c:v>
                </c:pt>
                <c:pt idx="842">
                  <c:v>0.31089999999999701</c:v>
                </c:pt>
                <c:pt idx="843">
                  <c:v>0.310999999999997</c:v>
                </c:pt>
                <c:pt idx="844">
                  <c:v>0.310999999999997</c:v>
                </c:pt>
                <c:pt idx="845">
                  <c:v>0.31319999999999698</c:v>
                </c:pt>
                <c:pt idx="846">
                  <c:v>0.31319999999999698</c:v>
                </c:pt>
                <c:pt idx="847">
                  <c:v>0.31769999999999698</c:v>
                </c:pt>
                <c:pt idx="848">
                  <c:v>0.31529999999999703</c:v>
                </c:pt>
                <c:pt idx="849">
                  <c:v>0.31529999999999703</c:v>
                </c:pt>
                <c:pt idx="850">
                  <c:v>0.31529999999999703</c:v>
                </c:pt>
                <c:pt idx="851">
                  <c:v>0.30989999999999701</c:v>
                </c:pt>
                <c:pt idx="852">
                  <c:v>0.30989999999999701</c:v>
                </c:pt>
                <c:pt idx="853">
                  <c:v>0.30989999999999701</c:v>
                </c:pt>
                <c:pt idx="854">
                  <c:v>0.31059999999999699</c:v>
                </c:pt>
                <c:pt idx="855">
                  <c:v>0.31059999999999699</c:v>
                </c:pt>
                <c:pt idx="856">
                  <c:v>0.31059999999999699</c:v>
                </c:pt>
                <c:pt idx="857">
                  <c:v>0.307999999999997</c:v>
                </c:pt>
                <c:pt idx="858">
                  <c:v>0.30709999999999699</c:v>
                </c:pt>
                <c:pt idx="859">
                  <c:v>0.30709999999999699</c:v>
                </c:pt>
                <c:pt idx="860">
                  <c:v>0.30569999999999697</c:v>
                </c:pt>
                <c:pt idx="861">
                  <c:v>0.313999999999997</c:v>
                </c:pt>
                <c:pt idx="862">
                  <c:v>0.31469999999999698</c:v>
                </c:pt>
                <c:pt idx="863">
                  <c:v>0.31469999999999698</c:v>
                </c:pt>
                <c:pt idx="864">
                  <c:v>0.31409999999999699</c:v>
                </c:pt>
                <c:pt idx="865">
                  <c:v>0.313499999999997</c:v>
                </c:pt>
                <c:pt idx="866">
                  <c:v>0.32289999999999702</c:v>
                </c:pt>
                <c:pt idx="867">
                  <c:v>0.31379999999999703</c:v>
                </c:pt>
                <c:pt idx="868">
                  <c:v>0.31379999999999703</c:v>
                </c:pt>
                <c:pt idx="869">
                  <c:v>0.31379999999999703</c:v>
                </c:pt>
                <c:pt idx="870">
                  <c:v>0.31589999999999702</c:v>
                </c:pt>
                <c:pt idx="871">
                  <c:v>0.319099999999997</c:v>
                </c:pt>
                <c:pt idx="872">
                  <c:v>0.31879999999999697</c:v>
                </c:pt>
                <c:pt idx="873">
                  <c:v>0.31879999999999697</c:v>
                </c:pt>
                <c:pt idx="874">
                  <c:v>0.31879999999999697</c:v>
                </c:pt>
                <c:pt idx="875">
                  <c:v>0.31879999999999697</c:v>
                </c:pt>
                <c:pt idx="876">
                  <c:v>0.31879999999999697</c:v>
                </c:pt>
                <c:pt idx="877">
                  <c:v>0.31779999999999697</c:v>
                </c:pt>
                <c:pt idx="878">
                  <c:v>0.31879999999999697</c:v>
                </c:pt>
                <c:pt idx="879">
                  <c:v>0.31649999999999701</c:v>
                </c:pt>
                <c:pt idx="880">
                  <c:v>0.31729999999999697</c:v>
                </c:pt>
                <c:pt idx="881">
                  <c:v>0.31729999999999697</c:v>
                </c:pt>
                <c:pt idx="882">
                  <c:v>0.31929999999999698</c:v>
                </c:pt>
                <c:pt idx="883">
                  <c:v>0.31929999999999698</c:v>
                </c:pt>
                <c:pt idx="884">
                  <c:v>0.32959999999999701</c:v>
                </c:pt>
                <c:pt idx="885">
                  <c:v>0.32959999999999701</c:v>
                </c:pt>
                <c:pt idx="886">
                  <c:v>0.32959999999999701</c:v>
                </c:pt>
                <c:pt idx="887">
                  <c:v>0.33579999999999699</c:v>
                </c:pt>
                <c:pt idx="888">
                  <c:v>0.33579999999999699</c:v>
                </c:pt>
                <c:pt idx="889">
                  <c:v>0.335699999999997</c:v>
                </c:pt>
                <c:pt idx="890">
                  <c:v>0.335699999999997</c:v>
                </c:pt>
                <c:pt idx="891">
                  <c:v>0.32839999999999703</c:v>
                </c:pt>
                <c:pt idx="892">
                  <c:v>0.32839999999999703</c:v>
                </c:pt>
                <c:pt idx="893">
                  <c:v>0.32839999999999703</c:v>
                </c:pt>
                <c:pt idx="894">
                  <c:v>0.32839999999999703</c:v>
                </c:pt>
                <c:pt idx="895">
                  <c:v>0.34009999999999702</c:v>
                </c:pt>
                <c:pt idx="896">
                  <c:v>0.34009999999999702</c:v>
                </c:pt>
                <c:pt idx="897">
                  <c:v>0.34009999999999702</c:v>
                </c:pt>
                <c:pt idx="898">
                  <c:v>0.33289999999999698</c:v>
                </c:pt>
                <c:pt idx="899">
                  <c:v>0.33289999999999698</c:v>
                </c:pt>
                <c:pt idx="900">
                  <c:v>0.33289999999999698</c:v>
                </c:pt>
                <c:pt idx="901">
                  <c:v>0.33289999999999698</c:v>
                </c:pt>
                <c:pt idx="902">
                  <c:v>0.33279999999999699</c:v>
                </c:pt>
                <c:pt idx="903">
                  <c:v>0.33409999999999701</c:v>
                </c:pt>
                <c:pt idx="904">
                  <c:v>0.33409999999999701</c:v>
                </c:pt>
                <c:pt idx="905">
                  <c:v>0.33229999999999699</c:v>
                </c:pt>
                <c:pt idx="906">
                  <c:v>0.32149999999999701</c:v>
                </c:pt>
                <c:pt idx="907">
                  <c:v>0.32149999999999701</c:v>
                </c:pt>
                <c:pt idx="908">
                  <c:v>0.32149999999999701</c:v>
                </c:pt>
                <c:pt idx="909">
                  <c:v>0.32889999999999697</c:v>
                </c:pt>
                <c:pt idx="910">
                  <c:v>0.333199999999997</c:v>
                </c:pt>
                <c:pt idx="911">
                  <c:v>0.333199999999997</c:v>
                </c:pt>
                <c:pt idx="912">
                  <c:v>0.33259999999999701</c:v>
                </c:pt>
                <c:pt idx="913">
                  <c:v>0.331199999999997</c:v>
                </c:pt>
                <c:pt idx="914">
                  <c:v>0.33529999999999699</c:v>
                </c:pt>
                <c:pt idx="915">
                  <c:v>0.33529999999999699</c:v>
                </c:pt>
                <c:pt idx="916">
                  <c:v>0.33529999999999699</c:v>
                </c:pt>
                <c:pt idx="917">
                  <c:v>0.33529999999999699</c:v>
                </c:pt>
                <c:pt idx="918">
                  <c:v>0.33529999999999699</c:v>
                </c:pt>
                <c:pt idx="919">
                  <c:v>0.33529999999999699</c:v>
                </c:pt>
                <c:pt idx="920">
                  <c:v>0.33929999999999699</c:v>
                </c:pt>
                <c:pt idx="921">
                  <c:v>0.340199999999997</c:v>
                </c:pt>
                <c:pt idx="922">
                  <c:v>0.341799999999997</c:v>
                </c:pt>
                <c:pt idx="923">
                  <c:v>0.341799999999997</c:v>
                </c:pt>
                <c:pt idx="924">
                  <c:v>0.34339999999999699</c:v>
                </c:pt>
                <c:pt idx="925">
                  <c:v>0.34339999999999699</c:v>
                </c:pt>
                <c:pt idx="926">
                  <c:v>0.34119999999999701</c:v>
                </c:pt>
                <c:pt idx="927">
                  <c:v>0.34119999999999701</c:v>
                </c:pt>
                <c:pt idx="928">
                  <c:v>0.34119999999999701</c:v>
                </c:pt>
                <c:pt idx="929">
                  <c:v>0.342799999999997</c:v>
                </c:pt>
                <c:pt idx="930">
                  <c:v>0.342799999999997</c:v>
                </c:pt>
                <c:pt idx="931">
                  <c:v>0.33079999999999699</c:v>
                </c:pt>
                <c:pt idx="932">
                  <c:v>0.334199999999997</c:v>
                </c:pt>
                <c:pt idx="933">
                  <c:v>0.334199999999997</c:v>
                </c:pt>
                <c:pt idx="934">
                  <c:v>0.32839999999999703</c:v>
                </c:pt>
                <c:pt idx="935">
                  <c:v>0.33289999999999698</c:v>
                </c:pt>
                <c:pt idx="936">
                  <c:v>0.33289999999999698</c:v>
                </c:pt>
                <c:pt idx="937">
                  <c:v>0.33289999999999698</c:v>
                </c:pt>
                <c:pt idx="938">
                  <c:v>0.33789999999999698</c:v>
                </c:pt>
                <c:pt idx="939">
                  <c:v>0.33789999999999698</c:v>
                </c:pt>
                <c:pt idx="940">
                  <c:v>0.33199999999999702</c:v>
                </c:pt>
                <c:pt idx="941">
                  <c:v>0.334199999999997</c:v>
                </c:pt>
                <c:pt idx="942">
                  <c:v>0.334199999999997</c:v>
                </c:pt>
                <c:pt idx="943">
                  <c:v>0.338199999999997</c:v>
                </c:pt>
                <c:pt idx="944">
                  <c:v>0.338199999999997</c:v>
                </c:pt>
                <c:pt idx="945">
                  <c:v>0.331199999999997</c:v>
                </c:pt>
                <c:pt idx="946">
                  <c:v>0.331199999999997</c:v>
                </c:pt>
                <c:pt idx="947">
                  <c:v>0.331199999999997</c:v>
                </c:pt>
                <c:pt idx="948">
                  <c:v>0.331199999999997</c:v>
                </c:pt>
                <c:pt idx="949">
                  <c:v>0.331199999999997</c:v>
                </c:pt>
                <c:pt idx="950">
                  <c:v>0.33809999999999701</c:v>
                </c:pt>
                <c:pt idx="951">
                  <c:v>0.33189999999999698</c:v>
                </c:pt>
                <c:pt idx="952">
                  <c:v>0.33189999999999698</c:v>
                </c:pt>
                <c:pt idx="953">
                  <c:v>0.33189999999999698</c:v>
                </c:pt>
                <c:pt idx="954">
                  <c:v>0.33189999999999698</c:v>
                </c:pt>
                <c:pt idx="955">
                  <c:v>0.33649999999999702</c:v>
                </c:pt>
                <c:pt idx="956">
                  <c:v>0.34439999999999699</c:v>
                </c:pt>
                <c:pt idx="957">
                  <c:v>0.34439999999999699</c:v>
                </c:pt>
                <c:pt idx="958">
                  <c:v>0.34439999999999699</c:v>
                </c:pt>
                <c:pt idx="959">
                  <c:v>0.33799999999999703</c:v>
                </c:pt>
                <c:pt idx="960">
                  <c:v>0.33799999999999703</c:v>
                </c:pt>
                <c:pt idx="961">
                  <c:v>0.33799999999999703</c:v>
                </c:pt>
                <c:pt idx="962">
                  <c:v>0.323099999999997</c:v>
                </c:pt>
                <c:pt idx="963">
                  <c:v>0.331699999999997</c:v>
                </c:pt>
                <c:pt idx="964">
                  <c:v>0.331699999999997</c:v>
                </c:pt>
                <c:pt idx="965">
                  <c:v>0.335199999999997</c:v>
                </c:pt>
                <c:pt idx="966">
                  <c:v>0.33989999999999698</c:v>
                </c:pt>
                <c:pt idx="967">
                  <c:v>0.33929999999999699</c:v>
                </c:pt>
                <c:pt idx="968">
                  <c:v>0.33929999999999699</c:v>
                </c:pt>
                <c:pt idx="969">
                  <c:v>0.33929999999999699</c:v>
                </c:pt>
                <c:pt idx="970">
                  <c:v>0.33929999999999699</c:v>
                </c:pt>
                <c:pt idx="971">
                  <c:v>0.33929999999999699</c:v>
                </c:pt>
                <c:pt idx="972">
                  <c:v>0.34209999999999702</c:v>
                </c:pt>
                <c:pt idx="973">
                  <c:v>0.34569999999999701</c:v>
                </c:pt>
                <c:pt idx="974">
                  <c:v>0.34569999999999701</c:v>
                </c:pt>
                <c:pt idx="975">
                  <c:v>0.34569999999999701</c:v>
                </c:pt>
                <c:pt idx="976">
                  <c:v>0.33479999999999699</c:v>
                </c:pt>
                <c:pt idx="977">
                  <c:v>0.33479999999999699</c:v>
                </c:pt>
                <c:pt idx="978">
                  <c:v>0.33479999999999699</c:v>
                </c:pt>
                <c:pt idx="979">
                  <c:v>0.34969999999999701</c:v>
                </c:pt>
                <c:pt idx="980">
                  <c:v>0.35199999999999698</c:v>
                </c:pt>
                <c:pt idx="981">
                  <c:v>0.35199999999999698</c:v>
                </c:pt>
                <c:pt idx="982">
                  <c:v>0.35199999999999698</c:v>
                </c:pt>
                <c:pt idx="983">
                  <c:v>0.35849999999999699</c:v>
                </c:pt>
                <c:pt idx="984">
                  <c:v>0.35849999999999699</c:v>
                </c:pt>
                <c:pt idx="985">
                  <c:v>0.35849999999999699</c:v>
                </c:pt>
                <c:pt idx="986">
                  <c:v>0.339699999999997</c:v>
                </c:pt>
                <c:pt idx="987">
                  <c:v>0.339699999999997</c:v>
                </c:pt>
                <c:pt idx="988">
                  <c:v>0.339699999999997</c:v>
                </c:pt>
                <c:pt idx="989">
                  <c:v>0.33599999999999702</c:v>
                </c:pt>
                <c:pt idx="990">
                  <c:v>0.33089999999999697</c:v>
                </c:pt>
                <c:pt idx="991">
                  <c:v>0.33699999999999702</c:v>
                </c:pt>
                <c:pt idx="992">
                  <c:v>0.33699999999999702</c:v>
                </c:pt>
                <c:pt idx="993">
                  <c:v>0.32939999999999697</c:v>
                </c:pt>
                <c:pt idx="994">
                  <c:v>0.31669999999999698</c:v>
                </c:pt>
                <c:pt idx="995">
                  <c:v>0.31669999999999698</c:v>
                </c:pt>
                <c:pt idx="996">
                  <c:v>0.31669999999999698</c:v>
                </c:pt>
                <c:pt idx="997">
                  <c:v>0.31669999999999698</c:v>
                </c:pt>
                <c:pt idx="998">
                  <c:v>0.31459999999999699</c:v>
                </c:pt>
                <c:pt idx="999">
                  <c:v>0.31459999999999699</c:v>
                </c:pt>
                <c:pt idx="1000">
                  <c:v>0.31459999999999699</c:v>
                </c:pt>
                <c:pt idx="1001">
                  <c:v>0.31699999999999701</c:v>
                </c:pt>
                <c:pt idx="1002">
                  <c:v>0.322099999999997</c:v>
                </c:pt>
                <c:pt idx="1003">
                  <c:v>0.33689999999999698</c:v>
                </c:pt>
                <c:pt idx="1004">
                  <c:v>0.33689999999999698</c:v>
                </c:pt>
                <c:pt idx="1005">
                  <c:v>0.33689999999999698</c:v>
                </c:pt>
                <c:pt idx="1006">
                  <c:v>0.33689999999999698</c:v>
                </c:pt>
                <c:pt idx="1007">
                  <c:v>0.33689999999999698</c:v>
                </c:pt>
                <c:pt idx="1008">
                  <c:v>0.33589999999999698</c:v>
                </c:pt>
                <c:pt idx="1009">
                  <c:v>0.33589999999999698</c:v>
                </c:pt>
                <c:pt idx="1010">
                  <c:v>0.35499999999999698</c:v>
                </c:pt>
                <c:pt idx="1011">
                  <c:v>0.37899999999999701</c:v>
                </c:pt>
                <c:pt idx="1012">
                  <c:v>0.37899999999999701</c:v>
                </c:pt>
                <c:pt idx="1013">
                  <c:v>0.39149999999999702</c:v>
                </c:pt>
                <c:pt idx="1014">
                  <c:v>0.39899999999999702</c:v>
                </c:pt>
                <c:pt idx="1015">
                  <c:v>0.39899999999999702</c:v>
                </c:pt>
                <c:pt idx="1016">
                  <c:v>0.40109999999999701</c:v>
                </c:pt>
                <c:pt idx="1017">
                  <c:v>0.40109999999999701</c:v>
                </c:pt>
                <c:pt idx="1018">
                  <c:v>0.401699999999997</c:v>
                </c:pt>
                <c:pt idx="1019">
                  <c:v>0.401699999999997</c:v>
                </c:pt>
                <c:pt idx="1020">
                  <c:v>0.40439999999999698</c:v>
                </c:pt>
                <c:pt idx="1021">
                  <c:v>0.42249999999999699</c:v>
                </c:pt>
                <c:pt idx="1022">
                  <c:v>0.419899999999997</c:v>
                </c:pt>
                <c:pt idx="1023">
                  <c:v>0.419899999999997</c:v>
                </c:pt>
                <c:pt idx="1024">
                  <c:v>0.419899999999997</c:v>
                </c:pt>
                <c:pt idx="1025">
                  <c:v>0.419899999999997</c:v>
                </c:pt>
                <c:pt idx="1026">
                  <c:v>0.41419999999999702</c:v>
                </c:pt>
                <c:pt idx="1027">
                  <c:v>0.41449999999999698</c:v>
                </c:pt>
                <c:pt idx="1028">
                  <c:v>0.41449999999999698</c:v>
                </c:pt>
                <c:pt idx="1029">
                  <c:v>0.410299999999997</c:v>
                </c:pt>
                <c:pt idx="1030">
                  <c:v>0.410299999999997</c:v>
                </c:pt>
                <c:pt idx="1031">
                  <c:v>0.410299999999997</c:v>
                </c:pt>
                <c:pt idx="1032">
                  <c:v>0.411799999999997</c:v>
                </c:pt>
                <c:pt idx="1033">
                  <c:v>0.411799999999997</c:v>
                </c:pt>
                <c:pt idx="1034">
                  <c:v>0.41099999999999698</c:v>
                </c:pt>
                <c:pt idx="1035">
                  <c:v>0.41099999999999698</c:v>
                </c:pt>
                <c:pt idx="1036">
                  <c:v>0.39279999999999698</c:v>
                </c:pt>
                <c:pt idx="1037">
                  <c:v>0.382099999999997</c:v>
                </c:pt>
                <c:pt idx="1038">
                  <c:v>0.382099999999997</c:v>
                </c:pt>
                <c:pt idx="1039">
                  <c:v>0.382099999999997</c:v>
                </c:pt>
                <c:pt idx="1040">
                  <c:v>0.382099999999997</c:v>
                </c:pt>
                <c:pt idx="1041">
                  <c:v>0.381599999999997</c:v>
                </c:pt>
                <c:pt idx="1042">
                  <c:v>0.38889999999999703</c:v>
                </c:pt>
                <c:pt idx="1043">
                  <c:v>0.37739999999999702</c:v>
                </c:pt>
                <c:pt idx="1044">
                  <c:v>0.37739999999999702</c:v>
                </c:pt>
                <c:pt idx="1045">
                  <c:v>0.37739999999999702</c:v>
                </c:pt>
                <c:pt idx="1046">
                  <c:v>0.37979999999999697</c:v>
                </c:pt>
                <c:pt idx="1047">
                  <c:v>0.39849999999999702</c:v>
                </c:pt>
                <c:pt idx="1048">
                  <c:v>0.390099999999997</c:v>
                </c:pt>
                <c:pt idx="1049">
                  <c:v>0.390099999999997</c:v>
                </c:pt>
                <c:pt idx="1050">
                  <c:v>0.390099999999997</c:v>
                </c:pt>
                <c:pt idx="1051">
                  <c:v>0.390099999999997</c:v>
                </c:pt>
                <c:pt idx="1052">
                  <c:v>0.39039999999999703</c:v>
                </c:pt>
                <c:pt idx="1053">
                  <c:v>0.40999999999999698</c:v>
                </c:pt>
                <c:pt idx="1054">
                  <c:v>0.40869999999999701</c:v>
                </c:pt>
                <c:pt idx="1055">
                  <c:v>0.40869999999999701</c:v>
                </c:pt>
                <c:pt idx="1056">
                  <c:v>0.40869999999999701</c:v>
                </c:pt>
                <c:pt idx="1057">
                  <c:v>0.38849999999999701</c:v>
                </c:pt>
                <c:pt idx="1058">
                  <c:v>0.38849999999999701</c:v>
                </c:pt>
                <c:pt idx="1059">
                  <c:v>0.38849999999999701</c:v>
                </c:pt>
                <c:pt idx="1060">
                  <c:v>0.39179999999999698</c:v>
                </c:pt>
                <c:pt idx="1061">
                  <c:v>0.37789999999999702</c:v>
                </c:pt>
                <c:pt idx="1062">
                  <c:v>0.38449999999999701</c:v>
                </c:pt>
                <c:pt idx="1063">
                  <c:v>0.385099999999997</c:v>
                </c:pt>
                <c:pt idx="1064">
                  <c:v>0.39059999999999701</c:v>
                </c:pt>
                <c:pt idx="1065">
                  <c:v>0.39059999999999701</c:v>
                </c:pt>
                <c:pt idx="1066">
                  <c:v>0.39059999999999701</c:v>
                </c:pt>
                <c:pt idx="1067">
                  <c:v>0.39059999999999701</c:v>
                </c:pt>
                <c:pt idx="1068">
                  <c:v>0.39989999999999698</c:v>
                </c:pt>
                <c:pt idx="1069">
                  <c:v>0.39989999999999698</c:v>
                </c:pt>
                <c:pt idx="1070">
                  <c:v>0.39709999999999701</c:v>
                </c:pt>
                <c:pt idx="1071">
                  <c:v>0.39709999999999701</c:v>
                </c:pt>
                <c:pt idx="1072">
                  <c:v>0.39709999999999701</c:v>
                </c:pt>
                <c:pt idx="1073">
                  <c:v>0.40209999999999702</c:v>
                </c:pt>
                <c:pt idx="1074">
                  <c:v>0.40209999999999702</c:v>
                </c:pt>
                <c:pt idx="1075">
                  <c:v>0.41119999999999701</c:v>
                </c:pt>
                <c:pt idx="1076">
                  <c:v>0.402199999999997</c:v>
                </c:pt>
                <c:pt idx="1077">
                  <c:v>0.402199999999997</c:v>
                </c:pt>
                <c:pt idx="1078">
                  <c:v>0.402199999999997</c:v>
                </c:pt>
                <c:pt idx="1079">
                  <c:v>0.39709999999999701</c:v>
                </c:pt>
                <c:pt idx="1080">
                  <c:v>0.39709999999999701</c:v>
                </c:pt>
                <c:pt idx="1081">
                  <c:v>0.39709999999999701</c:v>
                </c:pt>
                <c:pt idx="1082">
                  <c:v>0.40249999999999703</c:v>
                </c:pt>
                <c:pt idx="1083">
                  <c:v>0.40249999999999703</c:v>
                </c:pt>
                <c:pt idx="1084">
                  <c:v>0.39809999999999701</c:v>
                </c:pt>
                <c:pt idx="1085">
                  <c:v>0.39809999999999701</c:v>
                </c:pt>
                <c:pt idx="1086">
                  <c:v>0.39809999999999701</c:v>
                </c:pt>
                <c:pt idx="1087">
                  <c:v>0.41159999999999702</c:v>
                </c:pt>
                <c:pt idx="1088">
                  <c:v>0.412299999999997</c:v>
                </c:pt>
                <c:pt idx="1089">
                  <c:v>0.412299999999997</c:v>
                </c:pt>
                <c:pt idx="1090">
                  <c:v>0.412299999999997</c:v>
                </c:pt>
                <c:pt idx="1091">
                  <c:v>0.419399999999997</c:v>
                </c:pt>
                <c:pt idx="1092">
                  <c:v>0.419399999999997</c:v>
                </c:pt>
                <c:pt idx="1093">
                  <c:v>0.422899999999997</c:v>
                </c:pt>
                <c:pt idx="1094">
                  <c:v>0.43629999999999702</c:v>
                </c:pt>
                <c:pt idx="1095">
                  <c:v>0.43629999999999702</c:v>
                </c:pt>
                <c:pt idx="1096">
                  <c:v>0.43629999999999702</c:v>
                </c:pt>
                <c:pt idx="1097">
                  <c:v>0.42219999999999702</c:v>
                </c:pt>
                <c:pt idx="1098">
                  <c:v>0.42219999999999702</c:v>
                </c:pt>
                <c:pt idx="1099">
                  <c:v>0.42219999999999702</c:v>
                </c:pt>
                <c:pt idx="1100">
                  <c:v>0.42099999999999699</c:v>
                </c:pt>
                <c:pt idx="1101">
                  <c:v>0.42099999999999699</c:v>
                </c:pt>
                <c:pt idx="1102">
                  <c:v>0.41779999999999701</c:v>
                </c:pt>
                <c:pt idx="1103">
                  <c:v>0.41779999999999701</c:v>
                </c:pt>
                <c:pt idx="1104">
                  <c:v>0.42209999999999698</c:v>
                </c:pt>
                <c:pt idx="1105">
                  <c:v>0.42209999999999698</c:v>
                </c:pt>
                <c:pt idx="1106">
                  <c:v>0.41139999999999699</c:v>
                </c:pt>
                <c:pt idx="1107">
                  <c:v>0.41139999999999699</c:v>
                </c:pt>
                <c:pt idx="1108">
                  <c:v>0.41139999999999699</c:v>
                </c:pt>
                <c:pt idx="1109">
                  <c:v>0.41139999999999699</c:v>
                </c:pt>
                <c:pt idx="1110">
                  <c:v>0.41139999999999699</c:v>
                </c:pt>
                <c:pt idx="1111">
                  <c:v>0.41139999999999699</c:v>
                </c:pt>
                <c:pt idx="1112">
                  <c:v>0.42149999999999699</c:v>
                </c:pt>
                <c:pt idx="1113">
                  <c:v>0.42149999999999699</c:v>
                </c:pt>
                <c:pt idx="1114">
                  <c:v>0.41439999999999699</c:v>
                </c:pt>
                <c:pt idx="1115">
                  <c:v>0.41439999999999699</c:v>
                </c:pt>
                <c:pt idx="1116">
                  <c:v>0.41439999999999699</c:v>
                </c:pt>
                <c:pt idx="1117">
                  <c:v>0.41219999999999701</c:v>
                </c:pt>
                <c:pt idx="1118">
                  <c:v>0.41219999999999701</c:v>
                </c:pt>
                <c:pt idx="1119">
                  <c:v>0.41219999999999701</c:v>
                </c:pt>
                <c:pt idx="1120">
                  <c:v>0.42129999999999701</c:v>
                </c:pt>
                <c:pt idx="1121">
                  <c:v>0.42129999999999701</c:v>
                </c:pt>
                <c:pt idx="1122">
                  <c:v>0.41169999999999701</c:v>
                </c:pt>
                <c:pt idx="1123">
                  <c:v>0.41169999999999701</c:v>
                </c:pt>
                <c:pt idx="1124">
                  <c:v>0.41169999999999701</c:v>
                </c:pt>
                <c:pt idx="1125">
                  <c:v>0.41169999999999701</c:v>
                </c:pt>
                <c:pt idx="1126">
                  <c:v>0.41579999999999701</c:v>
                </c:pt>
                <c:pt idx="1127">
                  <c:v>0.406299999999997</c:v>
                </c:pt>
                <c:pt idx="1128">
                  <c:v>0.406299999999997</c:v>
                </c:pt>
                <c:pt idx="1129">
                  <c:v>0.406299999999997</c:v>
                </c:pt>
                <c:pt idx="1130">
                  <c:v>0.406299999999997</c:v>
                </c:pt>
                <c:pt idx="1131">
                  <c:v>0.406299999999997</c:v>
                </c:pt>
                <c:pt idx="1132">
                  <c:v>0.41359999999999703</c:v>
                </c:pt>
                <c:pt idx="1133">
                  <c:v>0.41359999999999703</c:v>
                </c:pt>
                <c:pt idx="1134">
                  <c:v>0.398199999999997</c:v>
                </c:pt>
                <c:pt idx="1135">
                  <c:v>0.398199999999997</c:v>
                </c:pt>
                <c:pt idx="1136">
                  <c:v>0.398199999999997</c:v>
                </c:pt>
                <c:pt idx="1137">
                  <c:v>0.40749999999999698</c:v>
                </c:pt>
                <c:pt idx="1138">
                  <c:v>0.41139999999999699</c:v>
                </c:pt>
                <c:pt idx="1139">
                  <c:v>0.41249999999999698</c:v>
                </c:pt>
                <c:pt idx="1140">
                  <c:v>0.42029999999999701</c:v>
                </c:pt>
                <c:pt idx="1141">
                  <c:v>0.42029999999999701</c:v>
                </c:pt>
                <c:pt idx="1142">
                  <c:v>0.42029999999999701</c:v>
                </c:pt>
                <c:pt idx="1143">
                  <c:v>0.42029999999999701</c:v>
                </c:pt>
                <c:pt idx="1144">
                  <c:v>0.42029999999999701</c:v>
                </c:pt>
                <c:pt idx="1145">
                  <c:v>0.42029999999999701</c:v>
                </c:pt>
                <c:pt idx="1146">
                  <c:v>0.43569999999999698</c:v>
                </c:pt>
                <c:pt idx="1147">
                  <c:v>0.43509999999999699</c:v>
                </c:pt>
                <c:pt idx="1148">
                  <c:v>0.43509999999999699</c:v>
                </c:pt>
                <c:pt idx="1149">
                  <c:v>0.43509999999999699</c:v>
                </c:pt>
                <c:pt idx="1150">
                  <c:v>0.43579999999999702</c:v>
                </c:pt>
                <c:pt idx="1151">
                  <c:v>0.43579999999999702</c:v>
                </c:pt>
                <c:pt idx="1152">
                  <c:v>0.43229999999999702</c:v>
                </c:pt>
                <c:pt idx="1153">
                  <c:v>0.43229999999999702</c:v>
                </c:pt>
                <c:pt idx="1154">
                  <c:v>0.43229999999999702</c:v>
                </c:pt>
                <c:pt idx="1155">
                  <c:v>0.43229999999999702</c:v>
                </c:pt>
                <c:pt idx="1156">
                  <c:v>0.43229999999999702</c:v>
                </c:pt>
                <c:pt idx="1157">
                  <c:v>0.43229999999999702</c:v>
                </c:pt>
                <c:pt idx="1158">
                  <c:v>0.44419999999999699</c:v>
                </c:pt>
                <c:pt idx="1159">
                  <c:v>0.43289999999999701</c:v>
                </c:pt>
                <c:pt idx="1160">
                  <c:v>0.43289999999999701</c:v>
                </c:pt>
                <c:pt idx="1161">
                  <c:v>0.43289999999999701</c:v>
                </c:pt>
                <c:pt idx="1162">
                  <c:v>0.43669999999999698</c:v>
                </c:pt>
                <c:pt idx="1163">
                  <c:v>0.45199999999999702</c:v>
                </c:pt>
                <c:pt idx="1164">
                  <c:v>0.46229999999999699</c:v>
                </c:pt>
                <c:pt idx="1165">
                  <c:v>0.45829999999999699</c:v>
                </c:pt>
                <c:pt idx="1166">
                  <c:v>0.45829999999999699</c:v>
                </c:pt>
                <c:pt idx="1167">
                  <c:v>0.46549999999999803</c:v>
                </c:pt>
                <c:pt idx="1168">
                  <c:v>0.46549999999999803</c:v>
                </c:pt>
                <c:pt idx="1169">
                  <c:v>0.46399999999999703</c:v>
                </c:pt>
                <c:pt idx="1170">
                  <c:v>0.46399999999999703</c:v>
                </c:pt>
                <c:pt idx="1171">
                  <c:v>0.456699999999998</c:v>
                </c:pt>
                <c:pt idx="1172">
                  <c:v>0.456699999999998</c:v>
                </c:pt>
                <c:pt idx="1173">
                  <c:v>0.456699999999998</c:v>
                </c:pt>
                <c:pt idx="1174">
                  <c:v>0.45939999999999798</c:v>
                </c:pt>
                <c:pt idx="1175">
                  <c:v>0.47439999999999799</c:v>
                </c:pt>
                <c:pt idx="1176">
                  <c:v>0.473299999999998</c:v>
                </c:pt>
                <c:pt idx="1177">
                  <c:v>0.473299999999998</c:v>
                </c:pt>
                <c:pt idx="1178">
                  <c:v>0.47869999999999802</c:v>
                </c:pt>
                <c:pt idx="1179">
                  <c:v>0.47869999999999802</c:v>
                </c:pt>
                <c:pt idx="1180">
                  <c:v>0.47359999999999802</c:v>
                </c:pt>
                <c:pt idx="1181">
                  <c:v>0.47359999999999802</c:v>
                </c:pt>
                <c:pt idx="1182">
                  <c:v>0.47359999999999802</c:v>
                </c:pt>
                <c:pt idx="1183">
                  <c:v>0.47189999999999799</c:v>
                </c:pt>
                <c:pt idx="1184">
                  <c:v>0.47189999999999799</c:v>
                </c:pt>
                <c:pt idx="1185">
                  <c:v>0.47189999999999799</c:v>
                </c:pt>
                <c:pt idx="1186">
                  <c:v>0.47189999999999799</c:v>
                </c:pt>
                <c:pt idx="1187">
                  <c:v>0.47189999999999799</c:v>
                </c:pt>
                <c:pt idx="1188">
                  <c:v>0.47239999999999799</c:v>
                </c:pt>
                <c:pt idx="1189">
                  <c:v>0.472799999999998</c:v>
                </c:pt>
                <c:pt idx="1190">
                  <c:v>0.453099999999998</c:v>
                </c:pt>
                <c:pt idx="1191">
                  <c:v>0.42299999999999799</c:v>
                </c:pt>
                <c:pt idx="1192">
                  <c:v>0.42299999999999799</c:v>
                </c:pt>
                <c:pt idx="1193">
                  <c:v>0.42299999999999799</c:v>
                </c:pt>
                <c:pt idx="1194">
                  <c:v>0.42599999999999799</c:v>
                </c:pt>
                <c:pt idx="1195">
                  <c:v>0.45469999999999799</c:v>
                </c:pt>
                <c:pt idx="1196">
                  <c:v>0.46869999999999801</c:v>
                </c:pt>
                <c:pt idx="1197">
                  <c:v>0.46869999999999801</c:v>
                </c:pt>
                <c:pt idx="1198">
                  <c:v>0.47219999999999801</c:v>
                </c:pt>
                <c:pt idx="1199">
                  <c:v>0.45329999999999798</c:v>
                </c:pt>
                <c:pt idx="1200">
                  <c:v>0.47219999999999801</c:v>
                </c:pt>
                <c:pt idx="1201">
                  <c:v>0.47219999999999801</c:v>
                </c:pt>
                <c:pt idx="1202">
                  <c:v>0.48799999999999799</c:v>
                </c:pt>
                <c:pt idx="1203">
                  <c:v>0.48799999999999799</c:v>
                </c:pt>
                <c:pt idx="1204">
                  <c:v>0.48799999999999799</c:v>
                </c:pt>
                <c:pt idx="1205">
                  <c:v>0.48019999999999702</c:v>
                </c:pt>
                <c:pt idx="1206">
                  <c:v>0.48019999999999702</c:v>
                </c:pt>
                <c:pt idx="1207">
                  <c:v>0.48019999999999702</c:v>
                </c:pt>
                <c:pt idx="1208">
                  <c:v>0.48019999999999702</c:v>
                </c:pt>
                <c:pt idx="1209">
                  <c:v>0.48019999999999702</c:v>
                </c:pt>
                <c:pt idx="1210">
                  <c:v>0.46399999999999703</c:v>
                </c:pt>
                <c:pt idx="1211">
                  <c:v>0.46399999999999703</c:v>
                </c:pt>
                <c:pt idx="1212">
                  <c:v>0.46399999999999703</c:v>
                </c:pt>
                <c:pt idx="1213">
                  <c:v>0.47159999999999702</c:v>
                </c:pt>
                <c:pt idx="1214">
                  <c:v>0.47159999999999702</c:v>
                </c:pt>
                <c:pt idx="1215">
                  <c:v>0.45729999999999699</c:v>
                </c:pt>
                <c:pt idx="1216">
                  <c:v>0.45729999999999699</c:v>
                </c:pt>
                <c:pt idx="1217">
                  <c:v>0.45729999999999699</c:v>
                </c:pt>
                <c:pt idx="1218">
                  <c:v>0.45729999999999699</c:v>
                </c:pt>
                <c:pt idx="1219">
                  <c:v>0.45729999999999699</c:v>
                </c:pt>
                <c:pt idx="1220">
                  <c:v>0.45399999999999702</c:v>
                </c:pt>
                <c:pt idx="1221">
                  <c:v>0.45399999999999702</c:v>
                </c:pt>
                <c:pt idx="1222">
                  <c:v>0.44839999999999702</c:v>
                </c:pt>
                <c:pt idx="1223">
                  <c:v>0.44839999999999702</c:v>
                </c:pt>
                <c:pt idx="1224">
                  <c:v>0.44839999999999702</c:v>
                </c:pt>
                <c:pt idx="1225">
                  <c:v>0.44839999999999702</c:v>
                </c:pt>
                <c:pt idx="1226">
                  <c:v>0.44799999999999701</c:v>
                </c:pt>
                <c:pt idx="1227">
                  <c:v>0.44799999999999701</c:v>
                </c:pt>
                <c:pt idx="1228">
                  <c:v>0.44369999999999798</c:v>
                </c:pt>
                <c:pt idx="1229">
                  <c:v>0.44369999999999798</c:v>
                </c:pt>
                <c:pt idx="1230">
                  <c:v>0.44369999999999798</c:v>
                </c:pt>
                <c:pt idx="1231">
                  <c:v>0.43279999999999702</c:v>
                </c:pt>
                <c:pt idx="1232">
                  <c:v>0.43279999999999702</c:v>
                </c:pt>
                <c:pt idx="1233">
                  <c:v>0.43279999999999702</c:v>
                </c:pt>
                <c:pt idx="1234">
                  <c:v>0.45339999999999803</c:v>
                </c:pt>
                <c:pt idx="1235">
                  <c:v>0.44599999999999801</c:v>
                </c:pt>
                <c:pt idx="1236">
                  <c:v>0.44599999999999801</c:v>
                </c:pt>
                <c:pt idx="1237">
                  <c:v>0.44599999999999801</c:v>
                </c:pt>
                <c:pt idx="1238">
                  <c:v>0.45179999999999798</c:v>
                </c:pt>
                <c:pt idx="1239">
                  <c:v>0.45709999999999701</c:v>
                </c:pt>
                <c:pt idx="1240">
                  <c:v>0.45709999999999701</c:v>
                </c:pt>
                <c:pt idx="1241">
                  <c:v>0.45839999999999698</c:v>
                </c:pt>
                <c:pt idx="1242">
                  <c:v>0.45839999999999698</c:v>
                </c:pt>
                <c:pt idx="1243">
                  <c:v>0.45839999999999698</c:v>
                </c:pt>
                <c:pt idx="1244">
                  <c:v>0.45609999999999701</c:v>
                </c:pt>
                <c:pt idx="1245">
                  <c:v>0.45609999999999701</c:v>
                </c:pt>
                <c:pt idx="1246">
                  <c:v>0.42149999999999799</c:v>
                </c:pt>
                <c:pt idx="1247">
                  <c:v>0.42149999999999799</c:v>
                </c:pt>
                <c:pt idx="1248">
                  <c:v>0.43509999999999699</c:v>
                </c:pt>
                <c:pt idx="1249">
                  <c:v>0.43509999999999699</c:v>
                </c:pt>
                <c:pt idx="1250">
                  <c:v>0.43839999999999701</c:v>
                </c:pt>
                <c:pt idx="1251">
                  <c:v>0.43839999999999701</c:v>
                </c:pt>
                <c:pt idx="1252">
                  <c:v>0.445099999999997</c:v>
                </c:pt>
                <c:pt idx="1253">
                  <c:v>0.44169999999999698</c:v>
                </c:pt>
                <c:pt idx="1254">
                  <c:v>0.44849999999999701</c:v>
                </c:pt>
                <c:pt idx="1255">
                  <c:v>0.44849999999999701</c:v>
                </c:pt>
                <c:pt idx="1256">
                  <c:v>0.46389999999999698</c:v>
                </c:pt>
                <c:pt idx="1257">
                  <c:v>0.46389999999999698</c:v>
                </c:pt>
                <c:pt idx="1258">
                  <c:v>0.46389999999999698</c:v>
                </c:pt>
                <c:pt idx="1259">
                  <c:v>0.46389999999999698</c:v>
                </c:pt>
                <c:pt idx="1260">
                  <c:v>0.46389999999999698</c:v>
                </c:pt>
                <c:pt idx="1261">
                  <c:v>0.46389999999999698</c:v>
                </c:pt>
                <c:pt idx="1262">
                  <c:v>0.48699999999999699</c:v>
                </c:pt>
                <c:pt idx="1263">
                  <c:v>0.48699999999999699</c:v>
                </c:pt>
                <c:pt idx="1264">
                  <c:v>0.48699999999999699</c:v>
                </c:pt>
                <c:pt idx="1265">
                  <c:v>0.48699999999999699</c:v>
                </c:pt>
                <c:pt idx="1266">
                  <c:v>0.48699999999999699</c:v>
                </c:pt>
                <c:pt idx="1267">
                  <c:v>0.48699999999999699</c:v>
                </c:pt>
                <c:pt idx="1268">
                  <c:v>0.50749999999999695</c:v>
                </c:pt>
                <c:pt idx="1269">
                  <c:v>0.50749999999999695</c:v>
                </c:pt>
                <c:pt idx="1270">
                  <c:v>0.50749999999999695</c:v>
                </c:pt>
                <c:pt idx="1271">
                  <c:v>0.50749999999999695</c:v>
                </c:pt>
                <c:pt idx="1272">
                  <c:v>0.50749999999999695</c:v>
                </c:pt>
                <c:pt idx="1273">
                  <c:v>0.53079999999999705</c:v>
                </c:pt>
                <c:pt idx="1274">
                  <c:v>0.53309999999999702</c:v>
                </c:pt>
                <c:pt idx="1275">
                  <c:v>0.53309999999999702</c:v>
                </c:pt>
                <c:pt idx="1276">
                  <c:v>0.53309999999999702</c:v>
                </c:pt>
                <c:pt idx="1277">
                  <c:v>0.52069999999999705</c:v>
                </c:pt>
                <c:pt idx="1278">
                  <c:v>0.52069999999999705</c:v>
                </c:pt>
                <c:pt idx="1279">
                  <c:v>0.52069999999999705</c:v>
                </c:pt>
                <c:pt idx="1280">
                  <c:v>0.53889999999999705</c:v>
                </c:pt>
                <c:pt idx="1281">
                  <c:v>0.53889999999999705</c:v>
                </c:pt>
                <c:pt idx="1282">
                  <c:v>0.53889999999999705</c:v>
                </c:pt>
                <c:pt idx="1283">
                  <c:v>0.53889999999999705</c:v>
                </c:pt>
                <c:pt idx="1284">
                  <c:v>0.54809999999999703</c:v>
                </c:pt>
                <c:pt idx="1285">
                  <c:v>0.54589999999999705</c:v>
                </c:pt>
                <c:pt idx="1286">
                  <c:v>0.54689999999999706</c:v>
                </c:pt>
                <c:pt idx="1287">
                  <c:v>0.55019999999999802</c:v>
                </c:pt>
                <c:pt idx="1288">
                  <c:v>0.54359999999999797</c:v>
                </c:pt>
                <c:pt idx="1289">
                  <c:v>0.52179999999999804</c:v>
                </c:pt>
                <c:pt idx="1290">
                  <c:v>0.52179999999999804</c:v>
                </c:pt>
                <c:pt idx="1291">
                  <c:v>0.52179999999999804</c:v>
                </c:pt>
                <c:pt idx="1292">
                  <c:v>0.52179999999999804</c:v>
                </c:pt>
                <c:pt idx="1293">
                  <c:v>0.53349999999999798</c:v>
                </c:pt>
                <c:pt idx="1294">
                  <c:v>0.53349999999999798</c:v>
                </c:pt>
                <c:pt idx="1295">
                  <c:v>0.548399999999998</c:v>
                </c:pt>
                <c:pt idx="1296">
                  <c:v>0.548399999999998</c:v>
                </c:pt>
                <c:pt idx="1297">
                  <c:v>0.55509999999999804</c:v>
                </c:pt>
                <c:pt idx="1298">
                  <c:v>0.55509999999999804</c:v>
                </c:pt>
                <c:pt idx="1299">
                  <c:v>0.55509999999999804</c:v>
                </c:pt>
                <c:pt idx="1300">
                  <c:v>0.55509999999999804</c:v>
                </c:pt>
                <c:pt idx="1301">
                  <c:v>0.56579999999999797</c:v>
                </c:pt>
                <c:pt idx="1302">
                  <c:v>0.56579999999999797</c:v>
                </c:pt>
                <c:pt idx="1303">
                  <c:v>0.56579999999999797</c:v>
                </c:pt>
                <c:pt idx="1304">
                  <c:v>0.56579999999999797</c:v>
                </c:pt>
                <c:pt idx="1305">
                  <c:v>0.55399999999999805</c:v>
                </c:pt>
                <c:pt idx="1306">
                  <c:v>0.55399999999999805</c:v>
                </c:pt>
                <c:pt idx="1307">
                  <c:v>0.55399999999999805</c:v>
                </c:pt>
                <c:pt idx="1308">
                  <c:v>0.55819999999999803</c:v>
                </c:pt>
                <c:pt idx="1309">
                  <c:v>0.56469999999999798</c:v>
                </c:pt>
                <c:pt idx="1310">
                  <c:v>0.519199999999998</c:v>
                </c:pt>
                <c:pt idx="1311">
                  <c:v>0.50279999999999803</c:v>
                </c:pt>
                <c:pt idx="1312">
                  <c:v>0.50279999999999803</c:v>
                </c:pt>
                <c:pt idx="1313">
                  <c:v>0.50279999999999803</c:v>
                </c:pt>
                <c:pt idx="1314">
                  <c:v>0.50279999999999803</c:v>
                </c:pt>
                <c:pt idx="1315">
                  <c:v>0.50279999999999803</c:v>
                </c:pt>
                <c:pt idx="1316">
                  <c:v>0.50279999999999803</c:v>
                </c:pt>
                <c:pt idx="1317">
                  <c:v>0.50279999999999803</c:v>
                </c:pt>
                <c:pt idx="1318">
                  <c:v>0.50279999999999803</c:v>
                </c:pt>
                <c:pt idx="1319">
                  <c:v>0.50279999999999803</c:v>
                </c:pt>
                <c:pt idx="1320">
                  <c:v>0.50279999999999803</c:v>
                </c:pt>
                <c:pt idx="1321">
                  <c:v>0.50279999999999803</c:v>
                </c:pt>
                <c:pt idx="1322">
                  <c:v>0.50279999999999803</c:v>
                </c:pt>
                <c:pt idx="1323">
                  <c:v>0.50279999999999803</c:v>
                </c:pt>
                <c:pt idx="1324">
                  <c:v>0.50279999999999803</c:v>
                </c:pt>
                <c:pt idx="1325">
                  <c:v>0.50279999999999803</c:v>
                </c:pt>
                <c:pt idx="1326">
                  <c:v>0.50279999999999803</c:v>
                </c:pt>
                <c:pt idx="1327">
                  <c:v>0.50279999999999803</c:v>
                </c:pt>
                <c:pt idx="1328">
                  <c:v>0.50279999999999803</c:v>
                </c:pt>
                <c:pt idx="1329">
                  <c:v>0.50279999999999803</c:v>
                </c:pt>
                <c:pt idx="1330">
                  <c:v>0.50279999999999803</c:v>
                </c:pt>
                <c:pt idx="1331">
                  <c:v>0.50279999999999803</c:v>
                </c:pt>
                <c:pt idx="1332">
                  <c:v>0.50279999999999803</c:v>
                </c:pt>
                <c:pt idx="1333">
                  <c:v>0.50279999999999803</c:v>
                </c:pt>
                <c:pt idx="1334">
                  <c:v>0.50279999999999803</c:v>
                </c:pt>
                <c:pt idx="1335">
                  <c:v>0.50279999999999803</c:v>
                </c:pt>
                <c:pt idx="1336">
                  <c:v>0.50279999999999803</c:v>
                </c:pt>
                <c:pt idx="1337">
                  <c:v>0.50279999999999803</c:v>
                </c:pt>
                <c:pt idx="1338">
                  <c:v>0.50279999999999803</c:v>
                </c:pt>
                <c:pt idx="1339">
                  <c:v>0.50279999999999803</c:v>
                </c:pt>
                <c:pt idx="1340">
                  <c:v>0.50279999999999803</c:v>
                </c:pt>
                <c:pt idx="1341">
                  <c:v>0.50279999999999803</c:v>
                </c:pt>
                <c:pt idx="1342">
                  <c:v>0.50279999999999803</c:v>
                </c:pt>
                <c:pt idx="1343">
                  <c:v>0.50279999999999803</c:v>
                </c:pt>
                <c:pt idx="1344">
                  <c:v>0.50279999999999803</c:v>
                </c:pt>
                <c:pt idx="1345">
                  <c:v>0.50279999999999803</c:v>
                </c:pt>
                <c:pt idx="1346">
                  <c:v>0.50279999999999803</c:v>
                </c:pt>
                <c:pt idx="1347">
                  <c:v>0.50279999999999803</c:v>
                </c:pt>
                <c:pt idx="1348">
                  <c:v>0.50279999999999803</c:v>
                </c:pt>
                <c:pt idx="1349">
                  <c:v>0.50279999999999803</c:v>
                </c:pt>
                <c:pt idx="1350">
                  <c:v>0.50279999999999803</c:v>
                </c:pt>
                <c:pt idx="1351">
                  <c:v>0.50279999999999803</c:v>
                </c:pt>
                <c:pt idx="1352">
                  <c:v>0.51674999999999804</c:v>
                </c:pt>
                <c:pt idx="1353">
                  <c:v>0.51674999999999804</c:v>
                </c:pt>
                <c:pt idx="1354">
                  <c:v>0.51674999999999804</c:v>
                </c:pt>
                <c:pt idx="1355">
                  <c:v>0.51674999999999804</c:v>
                </c:pt>
                <c:pt idx="1356">
                  <c:v>0.51674999999999804</c:v>
                </c:pt>
                <c:pt idx="1357">
                  <c:v>0.51674999999999804</c:v>
                </c:pt>
                <c:pt idx="1358">
                  <c:v>0.51674999999999804</c:v>
                </c:pt>
                <c:pt idx="1359">
                  <c:v>0.51674999999999804</c:v>
                </c:pt>
                <c:pt idx="1360">
                  <c:v>0.51674999999999804</c:v>
                </c:pt>
                <c:pt idx="1361">
                  <c:v>0.51674999999999804</c:v>
                </c:pt>
                <c:pt idx="1362">
                  <c:v>0.51674999999999804</c:v>
                </c:pt>
                <c:pt idx="1363">
                  <c:v>0.51759999999999795</c:v>
                </c:pt>
                <c:pt idx="1364">
                  <c:v>0.51759999999999795</c:v>
                </c:pt>
                <c:pt idx="1365">
                  <c:v>0.51759999999999795</c:v>
                </c:pt>
                <c:pt idx="1366">
                  <c:v>0.51759999999999795</c:v>
                </c:pt>
                <c:pt idx="1367">
                  <c:v>0.51759999999999795</c:v>
                </c:pt>
                <c:pt idx="1368">
                  <c:v>0.51759999999999795</c:v>
                </c:pt>
                <c:pt idx="1369">
                  <c:v>0.51759999999999795</c:v>
                </c:pt>
                <c:pt idx="1370">
                  <c:v>0.51759999999999795</c:v>
                </c:pt>
                <c:pt idx="1371">
                  <c:v>0.51759999999999795</c:v>
                </c:pt>
                <c:pt idx="1372">
                  <c:v>0.51759999999999795</c:v>
                </c:pt>
                <c:pt idx="1373">
                  <c:v>0.51759999999999795</c:v>
                </c:pt>
                <c:pt idx="1374">
                  <c:v>0.51759999999999795</c:v>
                </c:pt>
                <c:pt idx="1375">
                  <c:v>0.51759999999999795</c:v>
                </c:pt>
                <c:pt idx="1376">
                  <c:v>0.51759999999999795</c:v>
                </c:pt>
                <c:pt idx="1377">
                  <c:v>0.51759999999999795</c:v>
                </c:pt>
                <c:pt idx="1378">
                  <c:v>0.51759999999999795</c:v>
                </c:pt>
                <c:pt idx="1379">
                  <c:v>0.51759999999999795</c:v>
                </c:pt>
                <c:pt idx="1380">
                  <c:v>0.51759999999999795</c:v>
                </c:pt>
                <c:pt idx="1381">
                  <c:v>0.51759999999999795</c:v>
                </c:pt>
                <c:pt idx="1382">
                  <c:v>0.51759999999999795</c:v>
                </c:pt>
                <c:pt idx="1383">
                  <c:v>0.51759999999999795</c:v>
                </c:pt>
                <c:pt idx="1384">
                  <c:v>0.51759999999999795</c:v>
                </c:pt>
                <c:pt idx="1385">
                  <c:v>0.51759999999999795</c:v>
                </c:pt>
                <c:pt idx="1386">
                  <c:v>0.51759999999999795</c:v>
                </c:pt>
                <c:pt idx="1387">
                  <c:v>0.51759999999999795</c:v>
                </c:pt>
                <c:pt idx="1388">
                  <c:v>0.51759999999999795</c:v>
                </c:pt>
                <c:pt idx="1389">
                  <c:v>0.51759999999999795</c:v>
                </c:pt>
                <c:pt idx="1390">
                  <c:v>0.51759999999999795</c:v>
                </c:pt>
                <c:pt idx="1391">
                  <c:v>0.51759999999999795</c:v>
                </c:pt>
                <c:pt idx="1392">
                  <c:v>0.51759999999999795</c:v>
                </c:pt>
                <c:pt idx="1393">
                  <c:v>0.51759999999999795</c:v>
                </c:pt>
                <c:pt idx="1394">
                  <c:v>0.51759999999999795</c:v>
                </c:pt>
                <c:pt idx="1395">
                  <c:v>0.51759999999999795</c:v>
                </c:pt>
                <c:pt idx="1396">
                  <c:v>0.51759999999999795</c:v>
                </c:pt>
                <c:pt idx="1397">
                  <c:v>0.51759999999999795</c:v>
                </c:pt>
                <c:pt idx="1398">
                  <c:v>0.51759999999999795</c:v>
                </c:pt>
                <c:pt idx="1399">
                  <c:v>0.51759999999999795</c:v>
                </c:pt>
                <c:pt idx="1400">
                  <c:v>0.51759999999999795</c:v>
                </c:pt>
                <c:pt idx="1401">
                  <c:v>0.51759999999999795</c:v>
                </c:pt>
                <c:pt idx="1402">
                  <c:v>0.51759999999999795</c:v>
                </c:pt>
                <c:pt idx="1403">
                  <c:v>0.51759999999999795</c:v>
                </c:pt>
                <c:pt idx="1404">
                  <c:v>0.51759999999999795</c:v>
                </c:pt>
                <c:pt idx="1405">
                  <c:v>0.51759999999999795</c:v>
                </c:pt>
                <c:pt idx="1406">
                  <c:v>0.51759999999999795</c:v>
                </c:pt>
                <c:pt idx="1407">
                  <c:v>0.51759999999999795</c:v>
                </c:pt>
                <c:pt idx="1408">
                  <c:v>0.51759999999999795</c:v>
                </c:pt>
                <c:pt idx="1409">
                  <c:v>0.51759999999999795</c:v>
                </c:pt>
                <c:pt idx="1410">
                  <c:v>0.51759999999999795</c:v>
                </c:pt>
                <c:pt idx="1411">
                  <c:v>0.51759999999999795</c:v>
                </c:pt>
                <c:pt idx="1412">
                  <c:v>0.51759999999999795</c:v>
                </c:pt>
                <c:pt idx="1413">
                  <c:v>0.51759999999999795</c:v>
                </c:pt>
                <c:pt idx="1414">
                  <c:v>0.51759999999999795</c:v>
                </c:pt>
                <c:pt idx="1415">
                  <c:v>0.51759999999999795</c:v>
                </c:pt>
                <c:pt idx="1416">
                  <c:v>0.51759999999999795</c:v>
                </c:pt>
                <c:pt idx="1417">
                  <c:v>0.51759999999999795</c:v>
                </c:pt>
                <c:pt idx="1418">
                  <c:v>0.50440999999999803</c:v>
                </c:pt>
                <c:pt idx="1419">
                  <c:v>0.50440999999999803</c:v>
                </c:pt>
                <c:pt idx="1420">
                  <c:v>0.50440999999999803</c:v>
                </c:pt>
                <c:pt idx="1421">
                  <c:v>0.50440999999999803</c:v>
                </c:pt>
                <c:pt idx="1422">
                  <c:v>0.50440999999999803</c:v>
                </c:pt>
                <c:pt idx="1423">
                  <c:v>0.50440999999999803</c:v>
                </c:pt>
                <c:pt idx="1424">
                  <c:v>0.50440999999999803</c:v>
                </c:pt>
                <c:pt idx="1425">
                  <c:v>0.50440999999999803</c:v>
                </c:pt>
                <c:pt idx="1426">
                  <c:v>0.50440999999999803</c:v>
                </c:pt>
                <c:pt idx="1427">
                  <c:v>0.50440999999999803</c:v>
                </c:pt>
                <c:pt idx="1428">
                  <c:v>0.50440999999999803</c:v>
                </c:pt>
                <c:pt idx="1429">
                  <c:v>0.50440999999999803</c:v>
                </c:pt>
                <c:pt idx="1430">
                  <c:v>0.50440999999999803</c:v>
                </c:pt>
                <c:pt idx="1431">
                  <c:v>0.50440999999999803</c:v>
                </c:pt>
                <c:pt idx="1432">
                  <c:v>0.500609999999998</c:v>
                </c:pt>
                <c:pt idx="1433">
                  <c:v>0.49630999999999798</c:v>
                </c:pt>
                <c:pt idx="1434">
                  <c:v>0.48080999999999802</c:v>
                </c:pt>
                <c:pt idx="1435">
                  <c:v>0.48080999999999802</c:v>
                </c:pt>
                <c:pt idx="1436">
                  <c:v>0.48080999999999802</c:v>
                </c:pt>
                <c:pt idx="1437">
                  <c:v>0.48080999999999802</c:v>
                </c:pt>
                <c:pt idx="1438">
                  <c:v>0.47504999999999797</c:v>
                </c:pt>
                <c:pt idx="1439">
                  <c:v>0.47170999999999802</c:v>
                </c:pt>
                <c:pt idx="1440">
                  <c:v>0.47170999999999802</c:v>
                </c:pt>
                <c:pt idx="1441">
                  <c:v>0.47170999999999802</c:v>
                </c:pt>
                <c:pt idx="1442">
                  <c:v>0.47170999999999802</c:v>
                </c:pt>
                <c:pt idx="1443">
                  <c:v>0.47170999999999802</c:v>
                </c:pt>
                <c:pt idx="1444">
                  <c:v>0.47170999999999802</c:v>
                </c:pt>
                <c:pt idx="1445">
                  <c:v>0.47170999999999802</c:v>
                </c:pt>
                <c:pt idx="1446">
                  <c:v>0.47170999999999802</c:v>
                </c:pt>
                <c:pt idx="1447">
                  <c:v>0.47170999999999802</c:v>
                </c:pt>
                <c:pt idx="1448">
                  <c:v>0.47170999999999802</c:v>
                </c:pt>
                <c:pt idx="1449">
                  <c:v>0.47170999999999802</c:v>
                </c:pt>
                <c:pt idx="1450">
                  <c:v>0.47170999999999802</c:v>
                </c:pt>
                <c:pt idx="1451">
                  <c:v>0.47170999999999802</c:v>
                </c:pt>
                <c:pt idx="1452">
                  <c:v>0.47170999999999802</c:v>
                </c:pt>
                <c:pt idx="1453">
                  <c:v>0.47170999999999802</c:v>
                </c:pt>
                <c:pt idx="1454">
                  <c:v>0.46437999999999802</c:v>
                </c:pt>
                <c:pt idx="1455">
                  <c:v>0.46437999999999802</c:v>
                </c:pt>
                <c:pt idx="1456">
                  <c:v>0.46437999999999802</c:v>
                </c:pt>
                <c:pt idx="1457">
                  <c:v>0.46437999999999802</c:v>
                </c:pt>
                <c:pt idx="1458">
                  <c:v>0.46437999999999802</c:v>
                </c:pt>
                <c:pt idx="1459">
                  <c:v>0.45681999999999801</c:v>
                </c:pt>
                <c:pt idx="1460">
                  <c:v>0.45681999999999801</c:v>
                </c:pt>
                <c:pt idx="1461">
                  <c:v>0.45681999999999801</c:v>
                </c:pt>
                <c:pt idx="1462">
                  <c:v>0.45681999999999801</c:v>
                </c:pt>
                <c:pt idx="1463">
                  <c:v>0.45681999999999801</c:v>
                </c:pt>
                <c:pt idx="1464">
                  <c:v>0.45681999999999801</c:v>
                </c:pt>
                <c:pt idx="1465">
                  <c:v>0.45681999999999801</c:v>
                </c:pt>
                <c:pt idx="1466">
                  <c:v>0.45681999999999801</c:v>
                </c:pt>
                <c:pt idx="1467">
                  <c:v>0.45681999999999801</c:v>
                </c:pt>
                <c:pt idx="1468">
                  <c:v>0.45681999999999801</c:v>
                </c:pt>
                <c:pt idx="1469">
                  <c:v>0.45681999999999801</c:v>
                </c:pt>
                <c:pt idx="1470">
                  <c:v>0.45681999999999801</c:v>
                </c:pt>
                <c:pt idx="1471">
                  <c:v>0.45681999999999801</c:v>
                </c:pt>
                <c:pt idx="1472">
                  <c:v>0.45681999999999801</c:v>
                </c:pt>
                <c:pt idx="1473">
                  <c:v>0.45681999999999801</c:v>
                </c:pt>
                <c:pt idx="1474">
                  <c:v>0.45681999999999801</c:v>
                </c:pt>
                <c:pt idx="1475">
                  <c:v>0.45681999999999801</c:v>
                </c:pt>
                <c:pt idx="1476">
                  <c:v>0.45681999999999801</c:v>
                </c:pt>
                <c:pt idx="1477">
                  <c:v>0.45681999999999801</c:v>
                </c:pt>
                <c:pt idx="1478">
                  <c:v>0.45681999999999801</c:v>
                </c:pt>
                <c:pt idx="1479">
                  <c:v>0.45681999999999801</c:v>
                </c:pt>
                <c:pt idx="1480">
                  <c:v>0.45681999999999801</c:v>
                </c:pt>
                <c:pt idx="1481">
                  <c:v>0.442719999999998</c:v>
                </c:pt>
                <c:pt idx="1482">
                  <c:v>0.442719999999998</c:v>
                </c:pt>
                <c:pt idx="1483">
                  <c:v>0.442719999999998</c:v>
                </c:pt>
                <c:pt idx="1484">
                  <c:v>0.442719999999998</c:v>
                </c:pt>
                <c:pt idx="1485">
                  <c:v>0.442719999999998</c:v>
                </c:pt>
                <c:pt idx="1486">
                  <c:v>0.442719999999998</c:v>
                </c:pt>
                <c:pt idx="1487">
                  <c:v>0.442719999999998</c:v>
                </c:pt>
                <c:pt idx="1488">
                  <c:v>0.442719999999998</c:v>
                </c:pt>
                <c:pt idx="1489">
                  <c:v>0.442719999999998</c:v>
                </c:pt>
                <c:pt idx="1490">
                  <c:v>0.442719999999998</c:v>
                </c:pt>
                <c:pt idx="1491">
                  <c:v>0.442719999999998</c:v>
                </c:pt>
                <c:pt idx="1492">
                  <c:v>0.442719999999998</c:v>
                </c:pt>
                <c:pt idx="1493">
                  <c:v>0.442719999999998</c:v>
                </c:pt>
                <c:pt idx="1494">
                  <c:v>0.442719999999998</c:v>
                </c:pt>
                <c:pt idx="1495">
                  <c:v>0.442719999999998</c:v>
                </c:pt>
                <c:pt idx="1496">
                  <c:v>0.442719999999998</c:v>
                </c:pt>
                <c:pt idx="1497">
                  <c:v>0.42314999999999803</c:v>
                </c:pt>
                <c:pt idx="1498">
                  <c:v>0.42314999999999803</c:v>
                </c:pt>
                <c:pt idx="1499">
                  <c:v>0.42314999999999803</c:v>
                </c:pt>
                <c:pt idx="1500">
                  <c:v>0.42314999999999803</c:v>
                </c:pt>
                <c:pt idx="1501">
                  <c:v>0.42314999999999803</c:v>
                </c:pt>
                <c:pt idx="1502">
                  <c:v>0.42314999999999803</c:v>
                </c:pt>
                <c:pt idx="1503">
                  <c:v>0.42314999999999803</c:v>
                </c:pt>
                <c:pt idx="1504">
                  <c:v>0.42314999999999803</c:v>
                </c:pt>
                <c:pt idx="1505">
                  <c:v>0.42314999999999803</c:v>
                </c:pt>
                <c:pt idx="1506">
                  <c:v>0.42314999999999803</c:v>
                </c:pt>
                <c:pt idx="1507">
                  <c:v>0.42314999999999803</c:v>
                </c:pt>
                <c:pt idx="1508">
                  <c:v>0.42314999999999803</c:v>
                </c:pt>
                <c:pt idx="1509">
                  <c:v>0.42314999999999803</c:v>
                </c:pt>
                <c:pt idx="1510">
                  <c:v>0.42314999999999803</c:v>
                </c:pt>
                <c:pt idx="1511">
                  <c:v>0.42314999999999803</c:v>
                </c:pt>
                <c:pt idx="1512">
                  <c:v>0.42314999999999803</c:v>
                </c:pt>
                <c:pt idx="1513">
                  <c:v>0.42314999999999803</c:v>
                </c:pt>
                <c:pt idx="1514">
                  <c:v>0.42314999999999803</c:v>
                </c:pt>
                <c:pt idx="1515">
                  <c:v>0.42314999999999803</c:v>
                </c:pt>
                <c:pt idx="1516">
                  <c:v>0.43147999999999798</c:v>
                </c:pt>
                <c:pt idx="1517">
                  <c:v>0.43147999999999798</c:v>
                </c:pt>
                <c:pt idx="1518">
                  <c:v>0.43147999999999798</c:v>
                </c:pt>
                <c:pt idx="1519">
                  <c:v>0.43147999999999798</c:v>
                </c:pt>
                <c:pt idx="1520">
                  <c:v>0.43147999999999798</c:v>
                </c:pt>
                <c:pt idx="1521">
                  <c:v>0.43147999999999798</c:v>
                </c:pt>
                <c:pt idx="1522">
                  <c:v>0.43147999999999798</c:v>
                </c:pt>
                <c:pt idx="1523">
                  <c:v>0.43147999999999798</c:v>
                </c:pt>
                <c:pt idx="1524">
                  <c:v>0.43221999999999799</c:v>
                </c:pt>
                <c:pt idx="1525">
                  <c:v>0.43221999999999799</c:v>
                </c:pt>
                <c:pt idx="1526">
                  <c:v>0.43221999999999799</c:v>
                </c:pt>
                <c:pt idx="1527">
                  <c:v>0.43221999999999799</c:v>
                </c:pt>
                <c:pt idx="1528">
                  <c:v>0.43221999999999799</c:v>
                </c:pt>
                <c:pt idx="1529">
                  <c:v>0.43221999999999799</c:v>
                </c:pt>
                <c:pt idx="1530">
                  <c:v>0.43221999999999799</c:v>
                </c:pt>
                <c:pt idx="1531">
                  <c:v>0.43221999999999799</c:v>
                </c:pt>
                <c:pt idx="1532">
                  <c:v>0.43221999999999799</c:v>
                </c:pt>
                <c:pt idx="1533">
                  <c:v>0.43221999999999799</c:v>
                </c:pt>
                <c:pt idx="1534">
                  <c:v>0.43221999999999799</c:v>
                </c:pt>
                <c:pt idx="1535">
                  <c:v>0.43221999999999799</c:v>
                </c:pt>
                <c:pt idx="1536">
                  <c:v>0.43221999999999799</c:v>
                </c:pt>
                <c:pt idx="1537">
                  <c:v>0.43221999999999799</c:v>
                </c:pt>
                <c:pt idx="1538">
                  <c:v>0.43221999999999799</c:v>
                </c:pt>
                <c:pt idx="1539">
                  <c:v>0.43221999999999799</c:v>
                </c:pt>
                <c:pt idx="1540">
                  <c:v>0.43221999999999799</c:v>
                </c:pt>
                <c:pt idx="1541">
                  <c:v>0.43221999999999799</c:v>
                </c:pt>
                <c:pt idx="1542">
                  <c:v>0.43221999999999799</c:v>
                </c:pt>
                <c:pt idx="1543">
                  <c:v>0.43221999999999799</c:v>
                </c:pt>
                <c:pt idx="1544">
                  <c:v>0.43221999999999799</c:v>
                </c:pt>
                <c:pt idx="1545">
                  <c:v>0.43221999999999799</c:v>
                </c:pt>
                <c:pt idx="1546">
                  <c:v>0.43221999999999799</c:v>
                </c:pt>
                <c:pt idx="1547">
                  <c:v>0.43221999999999799</c:v>
                </c:pt>
                <c:pt idx="1548">
                  <c:v>0.43221999999999799</c:v>
                </c:pt>
                <c:pt idx="1549">
                  <c:v>0.43221999999999799</c:v>
                </c:pt>
                <c:pt idx="1550">
                  <c:v>0.43221999999999799</c:v>
                </c:pt>
                <c:pt idx="1551">
                  <c:v>0.43221999999999799</c:v>
                </c:pt>
                <c:pt idx="1552">
                  <c:v>0.43221999999999799</c:v>
                </c:pt>
                <c:pt idx="1553">
                  <c:v>0.43221999999999799</c:v>
                </c:pt>
                <c:pt idx="1554">
                  <c:v>0.43221999999999799</c:v>
                </c:pt>
                <c:pt idx="1555">
                  <c:v>0.43221999999999799</c:v>
                </c:pt>
                <c:pt idx="1556">
                  <c:v>0.43221999999999799</c:v>
                </c:pt>
                <c:pt idx="1557">
                  <c:v>0.43221999999999799</c:v>
                </c:pt>
                <c:pt idx="1558">
                  <c:v>0.43221999999999799</c:v>
                </c:pt>
                <c:pt idx="1559">
                  <c:v>0.43221999999999799</c:v>
                </c:pt>
                <c:pt idx="1560">
                  <c:v>0.43221999999999799</c:v>
                </c:pt>
                <c:pt idx="1561">
                  <c:v>0.43221999999999799</c:v>
                </c:pt>
                <c:pt idx="1562">
                  <c:v>0.43221999999999799</c:v>
                </c:pt>
                <c:pt idx="1563">
                  <c:v>0.43221999999999799</c:v>
                </c:pt>
                <c:pt idx="1564">
                  <c:v>0.43221999999999799</c:v>
                </c:pt>
                <c:pt idx="1565">
                  <c:v>0.43221999999999799</c:v>
                </c:pt>
                <c:pt idx="1566">
                  <c:v>0.43221999999999799</c:v>
                </c:pt>
                <c:pt idx="1567">
                  <c:v>0.43221999999999799</c:v>
                </c:pt>
                <c:pt idx="1568">
                  <c:v>0.43221999999999799</c:v>
                </c:pt>
                <c:pt idx="1569">
                  <c:v>0.43221999999999799</c:v>
                </c:pt>
                <c:pt idx="1570">
                  <c:v>0.43221999999999799</c:v>
                </c:pt>
                <c:pt idx="1571">
                  <c:v>0.43221999999999799</c:v>
                </c:pt>
                <c:pt idx="1572">
                  <c:v>0.43221999999999799</c:v>
                </c:pt>
                <c:pt idx="1573">
                  <c:v>0.43221999999999799</c:v>
                </c:pt>
                <c:pt idx="1574">
                  <c:v>0.43221999999999799</c:v>
                </c:pt>
                <c:pt idx="1575">
                  <c:v>0.43221999999999799</c:v>
                </c:pt>
                <c:pt idx="1576">
                  <c:v>0.43221999999999799</c:v>
                </c:pt>
                <c:pt idx="1577">
                  <c:v>0.43221999999999799</c:v>
                </c:pt>
                <c:pt idx="1578">
                  <c:v>0.43221999999999799</c:v>
                </c:pt>
                <c:pt idx="1579">
                  <c:v>0.43221999999999799</c:v>
                </c:pt>
                <c:pt idx="1580">
                  <c:v>0.43221999999999799</c:v>
                </c:pt>
                <c:pt idx="1581">
                  <c:v>0.43221999999999799</c:v>
                </c:pt>
                <c:pt idx="1582">
                  <c:v>0.42335999999999802</c:v>
                </c:pt>
                <c:pt idx="1583">
                  <c:v>0.42335999999999802</c:v>
                </c:pt>
                <c:pt idx="1584">
                  <c:v>0.42335999999999802</c:v>
                </c:pt>
                <c:pt idx="1585">
                  <c:v>0.42335999999999802</c:v>
                </c:pt>
                <c:pt idx="1586">
                  <c:v>0.42335999999999802</c:v>
                </c:pt>
                <c:pt idx="1587">
                  <c:v>0.42335999999999802</c:v>
                </c:pt>
                <c:pt idx="1588">
                  <c:v>0.42335999999999802</c:v>
                </c:pt>
                <c:pt idx="1589">
                  <c:v>0.42335999999999802</c:v>
                </c:pt>
                <c:pt idx="1590">
                  <c:v>0.42335999999999802</c:v>
                </c:pt>
                <c:pt idx="1591">
                  <c:v>0.422069999999998</c:v>
                </c:pt>
                <c:pt idx="1592">
                  <c:v>0.422069999999998</c:v>
                </c:pt>
                <c:pt idx="1593">
                  <c:v>0.422069999999998</c:v>
                </c:pt>
                <c:pt idx="1594">
                  <c:v>0.422069999999998</c:v>
                </c:pt>
                <c:pt idx="1595">
                  <c:v>0.422069999999998</c:v>
                </c:pt>
                <c:pt idx="1596">
                  <c:v>0.422069999999998</c:v>
                </c:pt>
                <c:pt idx="1597">
                  <c:v>0.422069999999998</c:v>
                </c:pt>
                <c:pt idx="1598">
                  <c:v>0.422069999999998</c:v>
                </c:pt>
                <c:pt idx="1599">
                  <c:v>0.422069999999998</c:v>
                </c:pt>
                <c:pt idx="1600">
                  <c:v>0.422069999999998</c:v>
                </c:pt>
                <c:pt idx="1601">
                  <c:v>0.422069999999998</c:v>
                </c:pt>
                <c:pt idx="1602">
                  <c:v>0.422069999999998</c:v>
                </c:pt>
                <c:pt idx="1603">
                  <c:v>0.422069999999998</c:v>
                </c:pt>
                <c:pt idx="1604">
                  <c:v>0.422069999999998</c:v>
                </c:pt>
                <c:pt idx="1605">
                  <c:v>0.422069999999998</c:v>
                </c:pt>
                <c:pt idx="1606">
                  <c:v>0.422069999999998</c:v>
                </c:pt>
                <c:pt idx="1607">
                  <c:v>0.422069999999998</c:v>
                </c:pt>
                <c:pt idx="1608">
                  <c:v>0.422069999999998</c:v>
                </c:pt>
                <c:pt idx="1609">
                  <c:v>0.422069999999998</c:v>
                </c:pt>
                <c:pt idx="1610">
                  <c:v>0.422069999999998</c:v>
                </c:pt>
                <c:pt idx="1611">
                  <c:v>0.422069999999998</c:v>
                </c:pt>
                <c:pt idx="1612">
                  <c:v>0.422069999999998</c:v>
                </c:pt>
                <c:pt idx="1613">
                  <c:v>0.422069999999998</c:v>
                </c:pt>
                <c:pt idx="1614">
                  <c:v>0.422069999999998</c:v>
                </c:pt>
                <c:pt idx="1615">
                  <c:v>0.41177999999999798</c:v>
                </c:pt>
                <c:pt idx="1616">
                  <c:v>0.41177999999999798</c:v>
                </c:pt>
                <c:pt idx="1617">
                  <c:v>0.41177999999999798</c:v>
                </c:pt>
                <c:pt idx="1618">
                  <c:v>0.41177999999999798</c:v>
                </c:pt>
                <c:pt idx="1619">
                  <c:v>0.41177999999999798</c:v>
                </c:pt>
                <c:pt idx="1620">
                  <c:v>0.41177999999999798</c:v>
                </c:pt>
                <c:pt idx="1621">
                  <c:v>0.41177999999999798</c:v>
                </c:pt>
                <c:pt idx="1622">
                  <c:v>0.42142999999999797</c:v>
                </c:pt>
                <c:pt idx="1623">
                  <c:v>0.42519999999999802</c:v>
                </c:pt>
                <c:pt idx="1624">
                  <c:v>0.42519999999999802</c:v>
                </c:pt>
                <c:pt idx="1625">
                  <c:v>0.42519999999999802</c:v>
                </c:pt>
                <c:pt idx="1626">
                  <c:v>0.42519999999999802</c:v>
                </c:pt>
                <c:pt idx="1627">
                  <c:v>0.42519999999999802</c:v>
                </c:pt>
                <c:pt idx="1628">
                  <c:v>0.42519999999999802</c:v>
                </c:pt>
                <c:pt idx="1629">
                  <c:v>0.41278999999999799</c:v>
                </c:pt>
                <c:pt idx="1630">
                  <c:v>0.41247999999999801</c:v>
                </c:pt>
                <c:pt idx="1631">
                  <c:v>0.41247999999999801</c:v>
                </c:pt>
                <c:pt idx="1632">
                  <c:v>0.41247999999999801</c:v>
                </c:pt>
                <c:pt idx="1633">
                  <c:v>0.41247999999999801</c:v>
                </c:pt>
                <c:pt idx="1634">
                  <c:v>0.41247999999999801</c:v>
                </c:pt>
                <c:pt idx="1635">
                  <c:v>0.41247999999999801</c:v>
                </c:pt>
                <c:pt idx="1636">
                  <c:v>0.41247999999999801</c:v>
                </c:pt>
                <c:pt idx="1637">
                  <c:v>0.41247999999999801</c:v>
                </c:pt>
                <c:pt idx="1638">
                  <c:v>0.41247999999999801</c:v>
                </c:pt>
                <c:pt idx="1639">
                  <c:v>0.41247999999999801</c:v>
                </c:pt>
                <c:pt idx="1640">
                  <c:v>0.41247999999999801</c:v>
                </c:pt>
                <c:pt idx="1641">
                  <c:v>0.41247999999999801</c:v>
                </c:pt>
                <c:pt idx="1642">
                  <c:v>0.41247999999999801</c:v>
                </c:pt>
                <c:pt idx="1643">
                  <c:v>0.41247999999999801</c:v>
                </c:pt>
                <c:pt idx="1644">
                  <c:v>0.41247999999999801</c:v>
                </c:pt>
                <c:pt idx="1645">
                  <c:v>0.41247999999999801</c:v>
                </c:pt>
                <c:pt idx="1646">
                  <c:v>0.41247999999999801</c:v>
                </c:pt>
                <c:pt idx="1647">
                  <c:v>0.41247999999999801</c:v>
                </c:pt>
                <c:pt idx="1648">
                  <c:v>0.41192999999999802</c:v>
                </c:pt>
                <c:pt idx="1649">
                  <c:v>0.41192999999999802</c:v>
                </c:pt>
                <c:pt idx="1650">
                  <c:v>0.41192999999999802</c:v>
                </c:pt>
                <c:pt idx="1651">
                  <c:v>0.41192999999999802</c:v>
                </c:pt>
                <c:pt idx="1652">
                  <c:v>0.41192999999999802</c:v>
                </c:pt>
                <c:pt idx="1653">
                  <c:v>0.41192999999999802</c:v>
                </c:pt>
                <c:pt idx="1654">
                  <c:v>0.41192999999999802</c:v>
                </c:pt>
                <c:pt idx="1655">
                  <c:v>0.41192999999999802</c:v>
                </c:pt>
                <c:pt idx="1656">
                  <c:v>0.41192999999999802</c:v>
                </c:pt>
                <c:pt idx="1657">
                  <c:v>0.41192999999999802</c:v>
                </c:pt>
                <c:pt idx="1658">
                  <c:v>0.41192999999999802</c:v>
                </c:pt>
                <c:pt idx="1659">
                  <c:v>0.41192999999999802</c:v>
                </c:pt>
                <c:pt idx="1660">
                  <c:v>0.41192999999999802</c:v>
                </c:pt>
                <c:pt idx="1661">
                  <c:v>0.41192999999999802</c:v>
                </c:pt>
                <c:pt idx="1662">
                  <c:v>0.41192999999999802</c:v>
                </c:pt>
                <c:pt idx="1663">
                  <c:v>0.41192999999999802</c:v>
                </c:pt>
                <c:pt idx="1664">
                  <c:v>0.41192999999999802</c:v>
                </c:pt>
                <c:pt idx="1665">
                  <c:v>0.41192999999999802</c:v>
                </c:pt>
                <c:pt idx="1666">
                  <c:v>0.41192999999999802</c:v>
                </c:pt>
                <c:pt idx="1667">
                  <c:v>0.41192999999999802</c:v>
                </c:pt>
                <c:pt idx="1668">
                  <c:v>0.41192999999999802</c:v>
                </c:pt>
                <c:pt idx="1669">
                  <c:v>0.41192999999999802</c:v>
                </c:pt>
                <c:pt idx="1670">
                  <c:v>0.41192999999999802</c:v>
                </c:pt>
                <c:pt idx="1671">
                  <c:v>0.41192999999999802</c:v>
                </c:pt>
                <c:pt idx="1672">
                  <c:v>0.41192999999999802</c:v>
                </c:pt>
                <c:pt idx="1673">
                  <c:v>0.41192999999999802</c:v>
                </c:pt>
                <c:pt idx="1674">
                  <c:v>0.41192999999999802</c:v>
                </c:pt>
                <c:pt idx="1675">
                  <c:v>0.41192999999999802</c:v>
                </c:pt>
                <c:pt idx="1676">
                  <c:v>0.41192999999999802</c:v>
                </c:pt>
                <c:pt idx="1677">
                  <c:v>0.41192999999999802</c:v>
                </c:pt>
                <c:pt idx="1678">
                  <c:v>0.41192999999999802</c:v>
                </c:pt>
                <c:pt idx="1679">
                  <c:v>0.41192999999999802</c:v>
                </c:pt>
                <c:pt idx="1680">
                  <c:v>0.41192999999999802</c:v>
                </c:pt>
                <c:pt idx="1681">
                  <c:v>0.41192999999999802</c:v>
                </c:pt>
                <c:pt idx="1682">
                  <c:v>0.41192999999999802</c:v>
                </c:pt>
                <c:pt idx="1683">
                  <c:v>0.41192999999999802</c:v>
                </c:pt>
                <c:pt idx="1684">
                  <c:v>0.41192999999999802</c:v>
                </c:pt>
                <c:pt idx="1685">
                  <c:v>0.40736999999999801</c:v>
                </c:pt>
                <c:pt idx="1686">
                  <c:v>0.40736999999999801</c:v>
                </c:pt>
                <c:pt idx="1687">
                  <c:v>0.40736999999999801</c:v>
                </c:pt>
                <c:pt idx="1688">
                  <c:v>0.40736999999999801</c:v>
                </c:pt>
                <c:pt idx="1689">
                  <c:v>0.40736999999999801</c:v>
                </c:pt>
                <c:pt idx="1690">
                  <c:v>0.40736999999999801</c:v>
                </c:pt>
                <c:pt idx="1691">
                  <c:v>0.40736999999999801</c:v>
                </c:pt>
                <c:pt idx="1692">
                  <c:v>0.40736999999999801</c:v>
                </c:pt>
                <c:pt idx="1693">
                  <c:v>0.41149999999999798</c:v>
                </c:pt>
                <c:pt idx="1694">
                  <c:v>0.41149999999999798</c:v>
                </c:pt>
                <c:pt idx="1695">
                  <c:v>0.41149999999999798</c:v>
                </c:pt>
                <c:pt idx="1696">
                  <c:v>0.41149999999999798</c:v>
                </c:pt>
                <c:pt idx="1697">
                  <c:v>0.41149999999999798</c:v>
                </c:pt>
                <c:pt idx="1698">
                  <c:v>0.41149999999999798</c:v>
                </c:pt>
                <c:pt idx="1699">
                  <c:v>0.41149999999999798</c:v>
                </c:pt>
                <c:pt idx="1700">
                  <c:v>0.41149999999999798</c:v>
                </c:pt>
                <c:pt idx="1701">
                  <c:v>0.41149999999999798</c:v>
                </c:pt>
                <c:pt idx="1702">
                  <c:v>0.41149999999999798</c:v>
                </c:pt>
                <c:pt idx="1703">
                  <c:v>0.41149999999999798</c:v>
                </c:pt>
                <c:pt idx="1704">
                  <c:v>0.41149999999999798</c:v>
                </c:pt>
                <c:pt idx="1705">
                  <c:v>0.41149999999999798</c:v>
                </c:pt>
                <c:pt idx="1706">
                  <c:v>0.41149999999999798</c:v>
                </c:pt>
                <c:pt idx="1707">
                  <c:v>0.41149999999999798</c:v>
                </c:pt>
                <c:pt idx="1708">
                  <c:v>0.41149999999999798</c:v>
                </c:pt>
                <c:pt idx="1709">
                  <c:v>0.41149999999999798</c:v>
                </c:pt>
                <c:pt idx="1710">
                  <c:v>0.41149999999999798</c:v>
                </c:pt>
                <c:pt idx="1711">
                  <c:v>0.41149999999999798</c:v>
                </c:pt>
                <c:pt idx="1712">
                  <c:v>0.41149999999999798</c:v>
                </c:pt>
                <c:pt idx="1713">
                  <c:v>0.41149999999999798</c:v>
                </c:pt>
                <c:pt idx="1714">
                  <c:v>0.41149999999999798</c:v>
                </c:pt>
                <c:pt idx="1715">
                  <c:v>0.41149999999999798</c:v>
                </c:pt>
                <c:pt idx="1716">
                  <c:v>0.41149999999999798</c:v>
                </c:pt>
                <c:pt idx="1717">
                  <c:v>0.41487999999999797</c:v>
                </c:pt>
                <c:pt idx="1718">
                  <c:v>0.41487999999999797</c:v>
                </c:pt>
                <c:pt idx="1719">
                  <c:v>0.40281999999999801</c:v>
                </c:pt>
                <c:pt idx="1720">
                  <c:v>0.40281999999999801</c:v>
                </c:pt>
                <c:pt idx="1721">
                  <c:v>0.40281999999999801</c:v>
                </c:pt>
                <c:pt idx="1722">
                  <c:v>0.40281999999999801</c:v>
                </c:pt>
                <c:pt idx="1723">
                  <c:v>0.40281999999999801</c:v>
                </c:pt>
                <c:pt idx="1724">
                  <c:v>0.40281999999999801</c:v>
                </c:pt>
                <c:pt idx="1725">
                  <c:v>0.40281999999999801</c:v>
                </c:pt>
                <c:pt idx="1726">
                  <c:v>0.40281999999999801</c:v>
                </c:pt>
                <c:pt idx="1727">
                  <c:v>0.40281999999999801</c:v>
                </c:pt>
                <c:pt idx="1728">
                  <c:v>0.40281999999999801</c:v>
                </c:pt>
                <c:pt idx="1729">
                  <c:v>0.40281999999999801</c:v>
                </c:pt>
                <c:pt idx="1730">
                  <c:v>0.40281999999999801</c:v>
                </c:pt>
                <c:pt idx="1731">
                  <c:v>0.40281999999999801</c:v>
                </c:pt>
                <c:pt idx="1732">
                  <c:v>0.40281999999999801</c:v>
                </c:pt>
                <c:pt idx="1733">
                  <c:v>0.40281999999999801</c:v>
                </c:pt>
                <c:pt idx="1734">
                  <c:v>0.40281999999999801</c:v>
                </c:pt>
                <c:pt idx="1735">
                  <c:v>0.40281999999999801</c:v>
                </c:pt>
                <c:pt idx="1736">
                  <c:v>0.40281999999999801</c:v>
                </c:pt>
                <c:pt idx="1737">
                  <c:v>0.40281999999999801</c:v>
                </c:pt>
                <c:pt idx="1738">
                  <c:v>0.40281999999999801</c:v>
                </c:pt>
                <c:pt idx="1739">
                  <c:v>0.40281999999999801</c:v>
                </c:pt>
                <c:pt idx="1740">
                  <c:v>0.40281999999999801</c:v>
                </c:pt>
                <c:pt idx="1741">
                  <c:v>0.40281999999999801</c:v>
                </c:pt>
                <c:pt idx="1742">
                  <c:v>0.39313999999999799</c:v>
                </c:pt>
                <c:pt idx="1743">
                  <c:v>0.39313999999999799</c:v>
                </c:pt>
                <c:pt idx="1744">
                  <c:v>0.39313999999999799</c:v>
                </c:pt>
                <c:pt idx="1745">
                  <c:v>0.39313999999999799</c:v>
                </c:pt>
                <c:pt idx="1746">
                  <c:v>0.39313999999999799</c:v>
                </c:pt>
                <c:pt idx="1747">
                  <c:v>0.39313999999999799</c:v>
                </c:pt>
                <c:pt idx="1748">
                  <c:v>0.39313999999999799</c:v>
                </c:pt>
                <c:pt idx="1749">
                  <c:v>0.39313999999999799</c:v>
                </c:pt>
                <c:pt idx="1750">
                  <c:v>0.39313999999999799</c:v>
                </c:pt>
                <c:pt idx="1751">
                  <c:v>0.39313999999999799</c:v>
                </c:pt>
                <c:pt idx="1752">
                  <c:v>0.39313999999999799</c:v>
                </c:pt>
                <c:pt idx="1753">
                  <c:v>0.39313999999999799</c:v>
                </c:pt>
                <c:pt idx="1754">
                  <c:v>0.39313999999999799</c:v>
                </c:pt>
                <c:pt idx="1755">
                  <c:v>0.39313999999999799</c:v>
                </c:pt>
                <c:pt idx="1756">
                  <c:v>0.39313999999999799</c:v>
                </c:pt>
                <c:pt idx="1757">
                  <c:v>0.39313999999999799</c:v>
                </c:pt>
                <c:pt idx="1758">
                  <c:v>0.39313999999999799</c:v>
                </c:pt>
                <c:pt idx="1759">
                  <c:v>0.39313999999999799</c:v>
                </c:pt>
                <c:pt idx="1760">
                  <c:v>0.39313999999999799</c:v>
                </c:pt>
                <c:pt idx="1761">
                  <c:v>0.39313999999999799</c:v>
                </c:pt>
                <c:pt idx="1762">
                  <c:v>0.39313999999999799</c:v>
                </c:pt>
                <c:pt idx="1763">
                  <c:v>0.39313999999999799</c:v>
                </c:pt>
                <c:pt idx="1764">
                  <c:v>0.39313999999999799</c:v>
                </c:pt>
                <c:pt idx="1765">
                  <c:v>0.39313999999999799</c:v>
                </c:pt>
                <c:pt idx="1766">
                  <c:v>0.39313999999999799</c:v>
                </c:pt>
                <c:pt idx="1767">
                  <c:v>0.39313999999999799</c:v>
                </c:pt>
                <c:pt idx="1768">
                  <c:v>0.39313999999999799</c:v>
                </c:pt>
                <c:pt idx="1769">
                  <c:v>0.39313999999999799</c:v>
                </c:pt>
                <c:pt idx="1770">
                  <c:v>0.39313999999999799</c:v>
                </c:pt>
                <c:pt idx="1771">
                  <c:v>0.39313999999999799</c:v>
                </c:pt>
                <c:pt idx="1772">
                  <c:v>0.39313999999999799</c:v>
                </c:pt>
                <c:pt idx="1773">
                  <c:v>0.39313999999999799</c:v>
                </c:pt>
                <c:pt idx="1774">
                  <c:v>0.39313999999999799</c:v>
                </c:pt>
                <c:pt idx="1775">
                  <c:v>0.39313999999999799</c:v>
                </c:pt>
                <c:pt idx="1776">
                  <c:v>0.39313999999999799</c:v>
                </c:pt>
                <c:pt idx="1777">
                  <c:v>0.39313999999999799</c:v>
                </c:pt>
                <c:pt idx="1778">
                  <c:v>0.39313999999999799</c:v>
                </c:pt>
                <c:pt idx="1779">
                  <c:v>0.39313999999999799</c:v>
                </c:pt>
                <c:pt idx="1780">
                  <c:v>0.39313999999999799</c:v>
                </c:pt>
                <c:pt idx="1781">
                  <c:v>0.39313999999999799</c:v>
                </c:pt>
                <c:pt idx="1782">
                  <c:v>0.39313999999999799</c:v>
                </c:pt>
                <c:pt idx="1783">
                  <c:v>0.39313999999999799</c:v>
                </c:pt>
                <c:pt idx="1784">
                  <c:v>0.39313999999999799</c:v>
                </c:pt>
                <c:pt idx="1785">
                  <c:v>0.38915999999999701</c:v>
                </c:pt>
                <c:pt idx="1786">
                  <c:v>0.38915999999999701</c:v>
                </c:pt>
                <c:pt idx="1787">
                  <c:v>0.38915999999999701</c:v>
                </c:pt>
                <c:pt idx="1788">
                  <c:v>0.38915999999999701</c:v>
                </c:pt>
                <c:pt idx="1789">
                  <c:v>0.38915999999999701</c:v>
                </c:pt>
                <c:pt idx="1790">
                  <c:v>0.38915999999999701</c:v>
                </c:pt>
                <c:pt idx="1791">
                  <c:v>0.38915999999999701</c:v>
                </c:pt>
                <c:pt idx="1792">
                  <c:v>0.38915999999999701</c:v>
                </c:pt>
                <c:pt idx="1793">
                  <c:v>0.38915999999999701</c:v>
                </c:pt>
                <c:pt idx="1794">
                  <c:v>0.38915999999999701</c:v>
                </c:pt>
                <c:pt idx="1795">
                  <c:v>0.38915999999999701</c:v>
                </c:pt>
                <c:pt idx="1796">
                  <c:v>0.38915999999999701</c:v>
                </c:pt>
                <c:pt idx="1797">
                  <c:v>0.38915999999999701</c:v>
                </c:pt>
                <c:pt idx="1798">
                  <c:v>0.38915999999999701</c:v>
                </c:pt>
                <c:pt idx="1799">
                  <c:v>0.38915999999999701</c:v>
                </c:pt>
                <c:pt idx="1800">
                  <c:v>0.38915999999999701</c:v>
                </c:pt>
                <c:pt idx="1801">
                  <c:v>0.38915999999999701</c:v>
                </c:pt>
                <c:pt idx="1802">
                  <c:v>0.38915999999999701</c:v>
                </c:pt>
                <c:pt idx="1803">
                  <c:v>0.38915999999999701</c:v>
                </c:pt>
                <c:pt idx="1804">
                  <c:v>0.38915999999999701</c:v>
                </c:pt>
                <c:pt idx="1805">
                  <c:v>0.38915999999999701</c:v>
                </c:pt>
                <c:pt idx="1806">
                  <c:v>0.38915999999999701</c:v>
                </c:pt>
                <c:pt idx="1807">
                  <c:v>0.38915999999999701</c:v>
                </c:pt>
                <c:pt idx="1808">
                  <c:v>0.38915999999999701</c:v>
                </c:pt>
                <c:pt idx="1809">
                  <c:v>0.38915999999999701</c:v>
                </c:pt>
                <c:pt idx="1810">
                  <c:v>0.38915999999999701</c:v>
                </c:pt>
                <c:pt idx="1811">
                  <c:v>0.38915999999999701</c:v>
                </c:pt>
                <c:pt idx="1812">
                  <c:v>0.38915999999999701</c:v>
                </c:pt>
                <c:pt idx="1813">
                  <c:v>0.38915999999999701</c:v>
                </c:pt>
                <c:pt idx="1814">
                  <c:v>0.38389999999999802</c:v>
                </c:pt>
                <c:pt idx="1815">
                  <c:v>0.38389999999999802</c:v>
                </c:pt>
                <c:pt idx="1816">
                  <c:v>0.38389999999999802</c:v>
                </c:pt>
                <c:pt idx="1817">
                  <c:v>0.38389999999999802</c:v>
                </c:pt>
                <c:pt idx="1818">
                  <c:v>0.38389999999999802</c:v>
                </c:pt>
                <c:pt idx="1819">
                  <c:v>0.37426999999999799</c:v>
                </c:pt>
                <c:pt idx="1820">
                  <c:v>0.37426999999999799</c:v>
                </c:pt>
                <c:pt idx="1821">
                  <c:v>0.37426999999999799</c:v>
                </c:pt>
                <c:pt idx="1822">
                  <c:v>0.37426999999999799</c:v>
                </c:pt>
                <c:pt idx="1823">
                  <c:v>0.37426999999999799</c:v>
                </c:pt>
                <c:pt idx="1824">
                  <c:v>0.37426999999999799</c:v>
                </c:pt>
                <c:pt idx="1825">
                  <c:v>0.37426999999999799</c:v>
                </c:pt>
                <c:pt idx="1826">
                  <c:v>0.37426999999999799</c:v>
                </c:pt>
                <c:pt idx="1827">
                  <c:v>0.37426999999999799</c:v>
                </c:pt>
                <c:pt idx="1828">
                  <c:v>0.37426999999999799</c:v>
                </c:pt>
                <c:pt idx="1829">
                  <c:v>0.37426999999999799</c:v>
                </c:pt>
                <c:pt idx="1830">
                  <c:v>0.37426999999999799</c:v>
                </c:pt>
                <c:pt idx="1831">
                  <c:v>0.37426999999999799</c:v>
                </c:pt>
                <c:pt idx="1832">
                  <c:v>0.37426999999999799</c:v>
                </c:pt>
                <c:pt idx="1833">
                  <c:v>0.37426999999999799</c:v>
                </c:pt>
                <c:pt idx="1834">
                  <c:v>0.37426999999999799</c:v>
                </c:pt>
                <c:pt idx="1835">
                  <c:v>0.37426999999999799</c:v>
                </c:pt>
                <c:pt idx="1836">
                  <c:v>0.37426999999999799</c:v>
                </c:pt>
                <c:pt idx="1837">
                  <c:v>0.37426999999999799</c:v>
                </c:pt>
                <c:pt idx="1838">
                  <c:v>0.37426999999999799</c:v>
                </c:pt>
                <c:pt idx="1839">
                  <c:v>0.37426999999999799</c:v>
                </c:pt>
                <c:pt idx="1840">
                  <c:v>0.37426999999999799</c:v>
                </c:pt>
                <c:pt idx="1841">
                  <c:v>0.37426999999999799</c:v>
                </c:pt>
                <c:pt idx="1842">
                  <c:v>0.37426999999999799</c:v>
                </c:pt>
                <c:pt idx="1843">
                  <c:v>0.37426999999999799</c:v>
                </c:pt>
                <c:pt idx="1844">
                  <c:v>0.37426999999999799</c:v>
                </c:pt>
                <c:pt idx="1845">
                  <c:v>0.37426999999999799</c:v>
                </c:pt>
                <c:pt idx="1846">
                  <c:v>0.37426999999999799</c:v>
                </c:pt>
                <c:pt idx="1847">
                  <c:v>0.37426999999999799</c:v>
                </c:pt>
                <c:pt idx="1848">
                  <c:v>0.37426999999999799</c:v>
                </c:pt>
                <c:pt idx="1849">
                  <c:v>0.37426999999999799</c:v>
                </c:pt>
                <c:pt idx="1850">
                  <c:v>0.37426999999999799</c:v>
                </c:pt>
                <c:pt idx="1851">
                  <c:v>0.37426999999999799</c:v>
                </c:pt>
                <c:pt idx="1852">
                  <c:v>0.37426999999999799</c:v>
                </c:pt>
                <c:pt idx="1853">
                  <c:v>0.37426999999999799</c:v>
                </c:pt>
                <c:pt idx="1854">
                  <c:v>0.37426999999999799</c:v>
                </c:pt>
                <c:pt idx="1855">
                  <c:v>0.37426999999999799</c:v>
                </c:pt>
                <c:pt idx="1856">
                  <c:v>0.37426999999999799</c:v>
                </c:pt>
                <c:pt idx="1857">
                  <c:v>0.37426999999999799</c:v>
                </c:pt>
                <c:pt idx="1858">
                  <c:v>0.37426999999999799</c:v>
                </c:pt>
                <c:pt idx="1859">
                  <c:v>0.37426999999999799</c:v>
                </c:pt>
                <c:pt idx="1860">
                  <c:v>0.37426999999999799</c:v>
                </c:pt>
                <c:pt idx="1861">
                  <c:v>0.37426999999999799</c:v>
                </c:pt>
                <c:pt idx="1862">
                  <c:v>0.37426999999999799</c:v>
                </c:pt>
                <c:pt idx="1863">
                  <c:v>0.37426999999999799</c:v>
                </c:pt>
                <c:pt idx="1864">
                  <c:v>0.37426999999999799</c:v>
                </c:pt>
                <c:pt idx="1865">
                  <c:v>0.37426999999999799</c:v>
                </c:pt>
                <c:pt idx="1866">
                  <c:v>0.37426999999999799</c:v>
                </c:pt>
                <c:pt idx="1867">
                  <c:v>0.37426999999999799</c:v>
                </c:pt>
                <c:pt idx="1868">
                  <c:v>0.37426999999999799</c:v>
                </c:pt>
                <c:pt idx="1869">
                  <c:v>0.37426999999999799</c:v>
                </c:pt>
                <c:pt idx="1870">
                  <c:v>0.37426999999999799</c:v>
                </c:pt>
                <c:pt idx="1871">
                  <c:v>0.37426999999999799</c:v>
                </c:pt>
                <c:pt idx="1872">
                  <c:v>0.37426999999999799</c:v>
                </c:pt>
                <c:pt idx="1873">
                  <c:v>0.37426999999999799</c:v>
                </c:pt>
                <c:pt idx="1874">
                  <c:v>0.37426999999999799</c:v>
                </c:pt>
                <c:pt idx="1875">
                  <c:v>0.37426999999999799</c:v>
                </c:pt>
                <c:pt idx="1876">
                  <c:v>0.37426999999999799</c:v>
                </c:pt>
                <c:pt idx="1877">
                  <c:v>0.37426999999999799</c:v>
                </c:pt>
                <c:pt idx="1878">
                  <c:v>0.37426999999999799</c:v>
                </c:pt>
                <c:pt idx="1879">
                  <c:v>0.37426999999999799</c:v>
                </c:pt>
                <c:pt idx="1880">
                  <c:v>0.37426999999999799</c:v>
                </c:pt>
                <c:pt idx="1881">
                  <c:v>0.37426999999999799</c:v>
                </c:pt>
                <c:pt idx="1882">
                  <c:v>0.37426999999999799</c:v>
                </c:pt>
                <c:pt idx="1883">
                  <c:v>0.37426999999999799</c:v>
                </c:pt>
                <c:pt idx="1884">
                  <c:v>0.37426999999999799</c:v>
                </c:pt>
                <c:pt idx="1885">
                  <c:v>0.37426999999999799</c:v>
                </c:pt>
                <c:pt idx="1886">
                  <c:v>0.37426999999999799</c:v>
                </c:pt>
                <c:pt idx="1887">
                  <c:v>0.37426999999999799</c:v>
                </c:pt>
                <c:pt idx="1888">
                  <c:v>0.37426999999999799</c:v>
                </c:pt>
                <c:pt idx="1889">
                  <c:v>0.37426999999999799</c:v>
                </c:pt>
                <c:pt idx="1890">
                  <c:v>0.37426999999999799</c:v>
                </c:pt>
                <c:pt idx="1891">
                  <c:v>0.37426999999999799</c:v>
                </c:pt>
                <c:pt idx="1892">
                  <c:v>0.37426999999999799</c:v>
                </c:pt>
                <c:pt idx="1893">
                  <c:v>0.37426999999999799</c:v>
                </c:pt>
                <c:pt idx="1894">
                  <c:v>0.37426999999999799</c:v>
                </c:pt>
                <c:pt idx="1895">
                  <c:v>0.37426999999999799</c:v>
                </c:pt>
                <c:pt idx="1896">
                  <c:v>0.37426999999999799</c:v>
                </c:pt>
                <c:pt idx="1897">
                  <c:v>0.37426999999999799</c:v>
                </c:pt>
                <c:pt idx="1898">
                  <c:v>0.37426999999999799</c:v>
                </c:pt>
                <c:pt idx="1899">
                  <c:v>0.37426999999999799</c:v>
                </c:pt>
                <c:pt idx="1900">
                  <c:v>0.37426999999999799</c:v>
                </c:pt>
                <c:pt idx="1901">
                  <c:v>0.37426999999999799</c:v>
                </c:pt>
                <c:pt idx="1902">
                  <c:v>0.37426999999999799</c:v>
                </c:pt>
                <c:pt idx="1903">
                  <c:v>0.37426999999999799</c:v>
                </c:pt>
                <c:pt idx="1904">
                  <c:v>0.37426999999999799</c:v>
                </c:pt>
                <c:pt idx="1905">
                  <c:v>0.37426999999999799</c:v>
                </c:pt>
                <c:pt idx="1906">
                  <c:v>0.37426999999999799</c:v>
                </c:pt>
                <c:pt idx="1907">
                  <c:v>0.37426999999999799</c:v>
                </c:pt>
                <c:pt idx="1908">
                  <c:v>0.37426999999999799</c:v>
                </c:pt>
                <c:pt idx="1909">
                  <c:v>0.37426999999999799</c:v>
                </c:pt>
                <c:pt idx="1910">
                  <c:v>0.37426999999999799</c:v>
                </c:pt>
                <c:pt idx="1911">
                  <c:v>0.37426999999999799</c:v>
                </c:pt>
                <c:pt idx="1912">
                  <c:v>0.37426999999999799</c:v>
                </c:pt>
                <c:pt idx="1913">
                  <c:v>0.37426999999999799</c:v>
                </c:pt>
                <c:pt idx="1914">
                  <c:v>0.37426999999999799</c:v>
                </c:pt>
                <c:pt idx="1915">
                  <c:v>0.375389999999998</c:v>
                </c:pt>
                <c:pt idx="1916">
                  <c:v>0.375389999999998</c:v>
                </c:pt>
                <c:pt idx="1917">
                  <c:v>0.375389999999998</c:v>
                </c:pt>
                <c:pt idx="1918">
                  <c:v>0.375389999999998</c:v>
                </c:pt>
                <c:pt idx="1919">
                  <c:v>0.375389999999998</c:v>
                </c:pt>
                <c:pt idx="1920">
                  <c:v>0.375389999999998</c:v>
                </c:pt>
                <c:pt idx="1921">
                  <c:v>0.375389999999998</c:v>
                </c:pt>
                <c:pt idx="1922">
                  <c:v>0.375389999999998</c:v>
                </c:pt>
                <c:pt idx="1923">
                  <c:v>0.375389999999998</c:v>
                </c:pt>
                <c:pt idx="1924">
                  <c:v>0.375389999999998</c:v>
                </c:pt>
                <c:pt idx="1925">
                  <c:v>0.375389999999998</c:v>
                </c:pt>
                <c:pt idx="1926">
                  <c:v>0.375389999999998</c:v>
                </c:pt>
                <c:pt idx="1927">
                  <c:v>0.375389999999998</c:v>
                </c:pt>
                <c:pt idx="1928">
                  <c:v>0.375389999999998</c:v>
                </c:pt>
                <c:pt idx="1929">
                  <c:v>0.375389999999998</c:v>
                </c:pt>
                <c:pt idx="1930">
                  <c:v>0.39422999999999803</c:v>
                </c:pt>
                <c:pt idx="1931">
                  <c:v>0.39422999999999803</c:v>
                </c:pt>
                <c:pt idx="1932">
                  <c:v>0.39422999999999803</c:v>
                </c:pt>
                <c:pt idx="1933">
                  <c:v>0.39422999999999803</c:v>
                </c:pt>
                <c:pt idx="1934">
                  <c:v>0.39422999999999803</c:v>
                </c:pt>
                <c:pt idx="1935">
                  <c:v>0.39422999999999803</c:v>
                </c:pt>
                <c:pt idx="1936">
                  <c:v>0.39422999999999803</c:v>
                </c:pt>
                <c:pt idx="1937">
                  <c:v>0.39422999999999803</c:v>
                </c:pt>
                <c:pt idx="1938">
                  <c:v>0.39422999999999803</c:v>
                </c:pt>
                <c:pt idx="1939">
                  <c:v>0.39422999999999803</c:v>
                </c:pt>
                <c:pt idx="1940">
                  <c:v>0.39422999999999803</c:v>
                </c:pt>
                <c:pt idx="1941">
                  <c:v>0.39422999999999803</c:v>
                </c:pt>
                <c:pt idx="1942">
                  <c:v>0.40197999999999801</c:v>
                </c:pt>
                <c:pt idx="1943">
                  <c:v>0.40197999999999801</c:v>
                </c:pt>
                <c:pt idx="1944">
                  <c:v>0.40197999999999801</c:v>
                </c:pt>
                <c:pt idx="1945">
                  <c:v>0.40197999999999801</c:v>
                </c:pt>
                <c:pt idx="1946">
                  <c:v>0.40197999999999801</c:v>
                </c:pt>
                <c:pt idx="1947">
                  <c:v>0.40197999999999801</c:v>
                </c:pt>
                <c:pt idx="1948">
                  <c:v>0.40197999999999801</c:v>
                </c:pt>
                <c:pt idx="1949">
                  <c:v>0.40197999999999801</c:v>
                </c:pt>
                <c:pt idx="1950">
                  <c:v>0.40197999999999801</c:v>
                </c:pt>
                <c:pt idx="1951">
                  <c:v>0.40197999999999801</c:v>
                </c:pt>
                <c:pt idx="1952">
                  <c:v>0.40197999999999801</c:v>
                </c:pt>
                <c:pt idx="1953">
                  <c:v>0.40197999999999801</c:v>
                </c:pt>
                <c:pt idx="1954">
                  <c:v>0.40197999999999801</c:v>
                </c:pt>
                <c:pt idx="1955">
                  <c:v>0.40197999999999801</c:v>
                </c:pt>
                <c:pt idx="1956">
                  <c:v>0.40197999999999801</c:v>
                </c:pt>
                <c:pt idx="1957">
                  <c:v>0.40197999999999801</c:v>
                </c:pt>
                <c:pt idx="1958">
                  <c:v>0.40197999999999801</c:v>
                </c:pt>
                <c:pt idx="1959">
                  <c:v>0.40197999999999801</c:v>
                </c:pt>
                <c:pt idx="1960">
                  <c:v>0.40197999999999801</c:v>
                </c:pt>
                <c:pt idx="1961">
                  <c:v>0.40197999999999801</c:v>
                </c:pt>
                <c:pt idx="1962">
                  <c:v>0.40197999999999801</c:v>
                </c:pt>
                <c:pt idx="1963">
                  <c:v>0.40197999999999801</c:v>
                </c:pt>
                <c:pt idx="1964">
                  <c:v>0.40197999999999801</c:v>
                </c:pt>
                <c:pt idx="1965">
                  <c:v>0.40197999999999801</c:v>
                </c:pt>
                <c:pt idx="1966">
                  <c:v>0.40197999999999801</c:v>
                </c:pt>
                <c:pt idx="1967">
                  <c:v>0.40197999999999801</c:v>
                </c:pt>
                <c:pt idx="1968">
                  <c:v>0.40197999999999801</c:v>
                </c:pt>
                <c:pt idx="1969">
                  <c:v>0.40197999999999801</c:v>
                </c:pt>
                <c:pt idx="1970">
                  <c:v>0.40197999999999801</c:v>
                </c:pt>
                <c:pt idx="1971">
                  <c:v>0.40197999999999801</c:v>
                </c:pt>
                <c:pt idx="1972">
                  <c:v>0.40197999999999801</c:v>
                </c:pt>
                <c:pt idx="1973">
                  <c:v>0.40197999999999801</c:v>
                </c:pt>
                <c:pt idx="1974">
                  <c:v>0.40197999999999801</c:v>
                </c:pt>
                <c:pt idx="1975">
                  <c:v>0.40197999999999801</c:v>
                </c:pt>
                <c:pt idx="1976">
                  <c:v>0.40197999999999801</c:v>
                </c:pt>
                <c:pt idx="1977">
                  <c:v>0.40197999999999801</c:v>
                </c:pt>
                <c:pt idx="1978">
                  <c:v>0.40197999999999801</c:v>
                </c:pt>
                <c:pt idx="1979">
                  <c:v>0.40197999999999801</c:v>
                </c:pt>
                <c:pt idx="1980">
                  <c:v>0.40197999999999801</c:v>
                </c:pt>
                <c:pt idx="1981">
                  <c:v>0.40197999999999801</c:v>
                </c:pt>
                <c:pt idx="1982">
                  <c:v>0.40197999999999801</c:v>
                </c:pt>
                <c:pt idx="1983">
                  <c:v>0.40197999999999801</c:v>
                </c:pt>
                <c:pt idx="1984">
                  <c:v>0.40197999999999801</c:v>
                </c:pt>
                <c:pt idx="1985">
                  <c:v>0.40197999999999801</c:v>
                </c:pt>
                <c:pt idx="1986">
                  <c:v>0.40197999999999801</c:v>
                </c:pt>
                <c:pt idx="1987">
                  <c:v>0.40197999999999801</c:v>
                </c:pt>
                <c:pt idx="1988">
                  <c:v>0.40197999999999801</c:v>
                </c:pt>
                <c:pt idx="1989">
                  <c:v>0.40197999999999801</c:v>
                </c:pt>
                <c:pt idx="1990">
                  <c:v>0.40197999999999801</c:v>
                </c:pt>
                <c:pt idx="1991">
                  <c:v>0.40197999999999801</c:v>
                </c:pt>
                <c:pt idx="1992">
                  <c:v>0.40197999999999801</c:v>
                </c:pt>
                <c:pt idx="1993">
                  <c:v>0.40197999999999801</c:v>
                </c:pt>
                <c:pt idx="1994">
                  <c:v>0.40197999999999801</c:v>
                </c:pt>
                <c:pt idx="1995">
                  <c:v>0.40197999999999801</c:v>
                </c:pt>
                <c:pt idx="1996">
                  <c:v>0.40197999999999801</c:v>
                </c:pt>
                <c:pt idx="1997">
                  <c:v>0.40197999999999801</c:v>
                </c:pt>
                <c:pt idx="1998">
                  <c:v>0.40197999999999801</c:v>
                </c:pt>
                <c:pt idx="1999">
                  <c:v>0.40197999999999801</c:v>
                </c:pt>
                <c:pt idx="2000">
                  <c:v>0.40197999999999801</c:v>
                </c:pt>
                <c:pt idx="2001">
                  <c:v>0.40197999999999801</c:v>
                </c:pt>
                <c:pt idx="2002">
                  <c:v>0.40197999999999801</c:v>
                </c:pt>
                <c:pt idx="2003">
                  <c:v>0.40197999999999801</c:v>
                </c:pt>
                <c:pt idx="2004">
                  <c:v>0.40197999999999801</c:v>
                </c:pt>
                <c:pt idx="2005">
                  <c:v>0.40197999999999801</c:v>
                </c:pt>
                <c:pt idx="2006">
                  <c:v>0.40197999999999801</c:v>
                </c:pt>
                <c:pt idx="2007">
                  <c:v>0.40197999999999801</c:v>
                </c:pt>
                <c:pt idx="2008">
                  <c:v>0.40197999999999801</c:v>
                </c:pt>
                <c:pt idx="2009">
                  <c:v>0.40197999999999801</c:v>
                </c:pt>
                <c:pt idx="2010">
                  <c:v>0.40197999999999801</c:v>
                </c:pt>
                <c:pt idx="2011">
                  <c:v>0.40197999999999801</c:v>
                </c:pt>
                <c:pt idx="2012">
                  <c:v>0.40197999999999801</c:v>
                </c:pt>
                <c:pt idx="2013">
                  <c:v>0.40197999999999801</c:v>
                </c:pt>
                <c:pt idx="2014">
                  <c:v>0.40197999999999801</c:v>
                </c:pt>
                <c:pt idx="2015">
                  <c:v>0.40197999999999801</c:v>
                </c:pt>
                <c:pt idx="2016">
                  <c:v>0.40197999999999801</c:v>
                </c:pt>
                <c:pt idx="2017">
                  <c:v>0.40197999999999801</c:v>
                </c:pt>
                <c:pt idx="2018">
                  <c:v>0.40197999999999801</c:v>
                </c:pt>
                <c:pt idx="2019">
                  <c:v>0.40197999999999801</c:v>
                </c:pt>
                <c:pt idx="2020">
                  <c:v>0.40197999999999801</c:v>
                </c:pt>
                <c:pt idx="2021">
                  <c:v>0.40197999999999801</c:v>
                </c:pt>
                <c:pt idx="2022">
                  <c:v>0.40197999999999801</c:v>
                </c:pt>
                <c:pt idx="2023">
                  <c:v>0.40197999999999801</c:v>
                </c:pt>
                <c:pt idx="2024">
                  <c:v>0.40197999999999801</c:v>
                </c:pt>
                <c:pt idx="2025">
                  <c:v>0.40197999999999801</c:v>
                </c:pt>
                <c:pt idx="2026">
                  <c:v>0.40197999999999801</c:v>
                </c:pt>
                <c:pt idx="2027">
                  <c:v>0.40197999999999801</c:v>
                </c:pt>
                <c:pt idx="2028">
                  <c:v>0.40197999999999801</c:v>
                </c:pt>
                <c:pt idx="2029">
                  <c:v>0.40197999999999801</c:v>
                </c:pt>
                <c:pt idx="2030">
                  <c:v>0.40197999999999801</c:v>
                </c:pt>
                <c:pt idx="2031">
                  <c:v>0.40197999999999801</c:v>
                </c:pt>
                <c:pt idx="2032">
                  <c:v>0.40197999999999801</c:v>
                </c:pt>
                <c:pt idx="2033">
                  <c:v>0.41511999999999699</c:v>
                </c:pt>
                <c:pt idx="2034">
                  <c:v>0.41511999999999699</c:v>
                </c:pt>
                <c:pt idx="2035">
                  <c:v>0.41511999999999699</c:v>
                </c:pt>
                <c:pt idx="2036">
                  <c:v>0.41511999999999699</c:v>
                </c:pt>
                <c:pt idx="2037">
                  <c:v>0.40340999999999699</c:v>
                </c:pt>
                <c:pt idx="2038">
                  <c:v>0.40340999999999699</c:v>
                </c:pt>
                <c:pt idx="2039">
                  <c:v>0.40340999999999699</c:v>
                </c:pt>
                <c:pt idx="2040">
                  <c:v>0.40340999999999699</c:v>
                </c:pt>
                <c:pt idx="2041">
                  <c:v>0.40340999999999699</c:v>
                </c:pt>
                <c:pt idx="2042">
                  <c:v>0.40340999999999699</c:v>
                </c:pt>
                <c:pt idx="2043">
                  <c:v>0.40340999999999699</c:v>
                </c:pt>
                <c:pt idx="2044">
                  <c:v>0.40340999999999699</c:v>
                </c:pt>
                <c:pt idx="2045">
                  <c:v>0.40340999999999699</c:v>
                </c:pt>
                <c:pt idx="2046">
                  <c:v>0.40340999999999699</c:v>
                </c:pt>
                <c:pt idx="2047">
                  <c:v>0.40340999999999699</c:v>
                </c:pt>
                <c:pt idx="2048">
                  <c:v>0.40340999999999699</c:v>
                </c:pt>
                <c:pt idx="2049">
                  <c:v>0.40340999999999699</c:v>
                </c:pt>
                <c:pt idx="2050">
                  <c:v>0.40340999999999699</c:v>
                </c:pt>
                <c:pt idx="2051">
                  <c:v>0.40340999999999699</c:v>
                </c:pt>
                <c:pt idx="2052">
                  <c:v>0.40340999999999699</c:v>
                </c:pt>
                <c:pt idx="2053">
                  <c:v>0.40340999999999699</c:v>
                </c:pt>
                <c:pt idx="2054">
                  <c:v>0.40340999999999699</c:v>
                </c:pt>
                <c:pt idx="2055">
                  <c:v>0.40340999999999699</c:v>
                </c:pt>
                <c:pt idx="2056">
                  <c:v>0.40340999999999699</c:v>
                </c:pt>
                <c:pt idx="2057">
                  <c:v>0.40340999999999699</c:v>
                </c:pt>
                <c:pt idx="2058">
                  <c:v>0.40340999999999699</c:v>
                </c:pt>
                <c:pt idx="2059">
                  <c:v>0.40340999999999699</c:v>
                </c:pt>
                <c:pt idx="2060">
                  <c:v>0.40340999999999699</c:v>
                </c:pt>
                <c:pt idx="2061">
                  <c:v>0.40340999999999699</c:v>
                </c:pt>
                <c:pt idx="2062">
                  <c:v>0.40340999999999699</c:v>
                </c:pt>
                <c:pt idx="2063">
                  <c:v>0.40340999999999699</c:v>
                </c:pt>
                <c:pt idx="2064">
                  <c:v>0.40340999999999699</c:v>
                </c:pt>
                <c:pt idx="2065">
                  <c:v>0.40340999999999699</c:v>
                </c:pt>
                <c:pt idx="2066">
                  <c:v>0.40340999999999699</c:v>
                </c:pt>
                <c:pt idx="2067">
                  <c:v>0.40340999999999699</c:v>
                </c:pt>
                <c:pt idx="2068">
                  <c:v>0.40340999999999699</c:v>
                </c:pt>
                <c:pt idx="2069">
                  <c:v>0.40340999999999699</c:v>
                </c:pt>
                <c:pt idx="2070">
                  <c:v>0.40340999999999699</c:v>
                </c:pt>
                <c:pt idx="2071">
                  <c:v>0.40340999999999699</c:v>
                </c:pt>
                <c:pt idx="2072">
                  <c:v>0.40340999999999699</c:v>
                </c:pt>
                <c:pt idx="2073">
                  <c:v>0.40340999999999699</c:v>
                </c:pt>
                <c:pt idx="2074">
                  <c:v>0.41602999999999701</c:v>
                </c:pt>
                <c:pt idx="2075">
                  <c:v>0.41602999999999701</c:v>
                </c:pt>
                <c:pt idx="2076">
                  <c:v>0.41602999999999701</c:v>
                </c:pt>
                <c:pt idx="2077">
                  <c:v>0.41602999999999701</c:v>
                </c:pt>
                <c:pt idx="2078">
                  <c:v>0.41602999999999701</c:v>
                </c:pt>
                <c:pt idx="2079">
                  <c:v>0.41602999999999701</c:v>
                </c:pt>
                <c:pt idx="2080">
                  <c:v>0.41602999999999701</c:v>
                </c:pt>
                <c:pt idx="2081">
                  <c:v>0.41602999999999701</c:v>
                </c:pt>
                <c:pt idx="2082">
                  <c:v>0.41602999999999701</c:v>
                </c:pt>
                <c:pt idx="2083">
                  <c:v>0.41602999999999701</c:v>
                </c:pt>
                <c:pt idx="2084">
                  <c:v>0.41602999999999701</c:v>
                </c:pt>
                <c:pt idx="2085">
                  <c:v>0.41602999999999701</c:v>
                </c:pt>
                <c:pt idx="2086">
                  <c:v>0.41602999999999701</c:v>
                </c:pt>
                <c:pt idx="2087">
                  <c:v>0.41602999999999701</c:v>
                </c:pt>
                <c:pt idx="2088">
                  <c:v>0.41602999999999701</c:v>
                </c:pt>
                <c:pt idx="2089">
                  <c:v>0.41602999999999701</c:v>
                </c:pt>
                <c:pt idx="2090">
                  <c:v>0.41602999999999701</c:v>
                </c:pt>
                <c:pt idx="2091">
                  <c:v>0.41602999999999701</c:v>
                </c:pt>
                <c:pt idx="2092">
                  <c:v>0.41602999999999701</c:v>
                </c:pt>
                <c:pt idx="2093">
                  <c:v>0.41602999999999701</c:v>
                </c:pt>
                <c:pt idx="2094">
                  <c:v>0.41461999999999799</c:v>
                </c:pt>
                <c:pt idx="2095">
                  <c:v>0.41461999999999799</c:v>
                </c:pt>
                <c:pt idx="2096">
                  <c:v>0.40590999999999799</c:v>
                </c:pt>
                <c:pt idx="2097">
                  <c:v>0.40590999999999799</c:v>
                </c:pt>
                <c:pt idx="2098">
                  <c:v>0.40590999999999799</c:v>
                </c:pt>
                <c:pt idx="2099">
                  <c:v>0.40590999999999799</c:v>
                </c:pt>
                <c:pt idx="2100">
                  <c:v>0.40590999999999799</c:v>
                </c:pt>
                <c:pt idx="2101">
                  <c:v>0.40590999999999799</c:v>
                </c:pt>
                <c:pt idx="2102">
                  <c:v>0.40590999999999799</c:v>
                </c:pt>
                <c:pt idx="2103">
                  <c:v>0.40590999999999799</c:v>
                </c:pt>
                <c:pt idx="2104">
                  <c:v>0.40590999999999799</c:v>
                </c:pt>
                <c:pt idx="2105">
                  <c:v>0.40590999999999799</c:v>
                </c:pt>
                <c:pt idx="2106">
                  <c:v>0.40590999999999799</c:v>
                </c:pt>
                <c:pt idx="2107">
                  <c:v>0.40590999999999799</c:v>
                </c:pt>
                <c:pt idx="2108">
                  <c:v>0.40590999999999799</c:v>
                </c:pt>
                <c:pt idx="2109">
                  <c:v>0.40590999999999799</c:v>
                </c:pt>
                <c:pt idx="2110">
                  <c:v>0.40590999999999799</c:v>
                </c:pt>
                <c:pt idx="2111">
                  <c:v>0.40590999999999799</c:v>
                </c:pt>
                <c:pt idx="2112">
                  <c:v>0.40590999999999799</c:v>
                </c:pt>
                <c:pt idx="2113">
                  <c:v>0.40590999999999799</c:v>
                </c:pt>
                <c:pt idx="2114">
                  <c:v>0.40590999999999799</c:v>
                </c:pt>
                <c:pt idx="2115">
                  <c:v>0.40590999999999799</c:v>
                </c:pt>
                <c:pt idx="2116">
                  <c:v>0.40590999999999799</c:v>
                </c:pt>
                <c:pt idx="2117">
                  <c:v>0.40590999999999799</c:v>
                </c:pt>
                <c:pt idx="2118">
                  <c:v>0.40590999999999799</c:v>
                </c:pt>
                <c:pt idx="2119">
                  <c:v>0.40590999999999799</c:v>
                </c:pt>
                <c:pt idx="2120">
                  <c:v>0.40590999999999799</c:v>
                </c:pt>
                <c:pt idx="2121">
                  <c:v>0.40590999999999799</c:v>
                </c:pt>
                <c:pt idx="2122">
                  <c:v>0.40590999999999799</c:v>
                </c:pt>
                <c:pt idx="2123">
                  <c:v>0.40590999999999799</c:v>
                </c:pt>
                <c:pt idx="2124">
                  <c:v>0.40590999999999799</c:v>
                </c:pt>
                <c:pt idx="2125">
                  <c:v>0.40590999999999799</c:v>
                </c:pt>
                <c:pt idx="2126">
                  <c:v>0.40590999999999799</c:v>
                </c:pt>
                <c:pt idx="2127">
                  <c:v>0.40590999999999799</c:v>
                </c:pt>
                <c:pt idx="2128">
                  <c:v>0.40590999999999799</c:v>
                </c:pt>
                <c:pt idx="2129">
                  <c:v>0.40590999999999799</c:v>
                </c:pt>
                <c:pt idx="2130">
                  <c:v>0.40590999999999799</c:v>
                </c:pt>
                <c:pt idx="2131">
                  <c:v>0.40590999999999799</c:v>
                </c:pt>
                <c:pt idx="2132">
                  <c:v>0.40590999999999799</c:v>
                </c:pt>
                <c:pt idx="2133">
                  <c:v>0.40590999999999799</c:v>
                </c:pt>
                <c:pt idx="2134">
                  <c:v>0.40590999999999799</c:v>
                </c:pt>
                <c:pt idx="2135">
                  <c:v>0.40590999999999799</c:v>
                </c:pt>
                <c:pt idx="2136">
                  <c:v>0.40590999999999799</c:v>
                </c:pt>
                <c:pt idx="2137">
                  <c:v>0.40590999999999799</c:v>
                </c:pt>
                <c:pt idx="2138">
                  <c:v>0.40590999999999799</c:v>
                </c:pt>
                <c:pt idx="2139">
                  <c:v>0.40590999999999799</c:v>
                </c:pt>
                <c:pt idx="2140">
                  <c:v>0.40590999999999799</c:v>
                </c:pt>
                <c:pt idx="2141">
                  <c:v>0.40349999999999703</c:v>
                </c:pt>
                <c:pt idx="2142">
                  <c:v>0.40349999999999703</c:v>
                </c:pt>
                <c:pt idx="2143">
                  <c:v>0.40349999999999703</c:v>
                </c:pt>
                <c:pt idx="2144">
                  <c:v>0.40349999999999703</c:v>
                </c:pt>
                <c:pt idx="2145">
                  <c:v>0.40349999999999703</c:v>
                </c:pt>
                <c:pt idx="2146">
                  <c:v>0.40349999999999703</c:v>
                </c:pt>
                <c:pt idx="2147">
                  <c:v>0.40349999999999703</c:v>
                </c:pt>
                <c:pt idx="2148">
                  <c:v>0.40349999999999703</c:v>
                </c:pt>
                <c:pt idx="2149">
                  <c:v>0.40349999999999703</c:v>
                </c:pt>
                <c:pt idx="2150">
                  <c:v>0.40820999999999702</c:v>
                </c:pt>
                <c:pt idx="2151">
                  <c:v>0.40820999999999702</c:v>
                </c:pt>
                <c:pt idx="2152">
                  <c:v>0.412129999999998</c:v>
                </c:pt>
                <c:pt idx="2153">
                  <c:v>0.412129999999998</c:v>
                </c:pt>
                <c:pt idx="2154">
                  <c:v>0.412129999999998</c:v>
                </c:pt>
                <c:pt idx="2155">
                  <c:v>0.412129999999998</c:v>
                </c:pt>
                <c:pt idx="2156">
                  <c:v>0.412129999999998</c:v>
                </c:pt>
                <c:pt idx="2157">
                  <c:v>0.412129999999998</c:v>
                </c:pt>
                <c:pt idx="2158">
                  <c:v>0.412129999999998</c:v>
                </c:pt>
                <c:pt idx="2159">
                  <c:v>0.412129999999998</c:v>
                </c:pt>
                <c:pt idx="2160">
                  <c:v>0.412129999999998</c:v>
                </c:pt>
                <c:pt idx="2161">
                  <c:v>0.412129999999998</c:v>
                </c:pt>
                <c:pt idx="2162">
                  <c:v>0.412129999999998</c:v>
                </c:pt>
                <c:pt idx="2163">
                  <c:v>0.412129999999998</c:v>
                </c:pt>
                <c:pt idx="2164">
                  <c:v>0.414959999999998</c:v>
                </c:pt>
                <c:pt idx="2165">
                  <c:v>0.414959999999998</c:v>
                </c:pt>
                <c:pt idx="2166">
                  <c:v>0.414959999999998</c:v>
                </c:pt>
                <c:pt idx="2167">
                  <c:v>0.414959999999998</c:v>
                </c:pt>
                <c:pt idx="2168">
                  <c:v>0.414959999999998</c:v>
                </c:pt>
                <c:pt idx="2169">
                  <c:v>0.414959999999998</c:v>
                </c:pt>
                <c:pt idx="2170">
                  <c:v>0.414959999999998</c:v>
                </c:pt>
                <c:pt idx="2171">
                  <c:v>0.414959999999998</c:v>
                </c:pt>
                <c:pt idx="2172">
                  <c:v>0.414959999999998</c:v>
                </c:pt>
                <c:pt idx="2173">
                  <c:v>0.414959999999998</c:v>
                </c:pt>
                <c:pt idx="2174">
                  <c:v>0.414959999999998</c:v>
                </c:pt>
                <c:pt idx="2175">
                  <c:v>0.414959999999998</c:v>
                </c:pt>
                <c:pt idx="2176">
                  <c:v>0.414959999999998</c:v>
                </c:pt>
                <c:pt idx="2177">
                  <c:v>0.414959999999998</c:v>
                </c:pt>
                <c:pt idx="2178">
                  <c:v>0.414959999999998</c:v>
                </c:pt>
                <c:pt idx="2179">
                  <c:v>0.414959999999998</c:v>
                </c:pt>
                <c:pt idx="2180">
                  <c:v>0.414959999999998</c:v>
                </c:pt>
                <c:pt idx="2181">
                  <c:v>0.414959999999998</c:v>
                </c:pt>
                <c:pt idx="2182">
                  <c:v>0.414959999999998</c:v>
                </c:pt>
                <c:pt idx="2183">
                  <c:v>0.414959999999998</c:v>
                </c:pt>
                <c:pt idx="2184">
                  <c:v>0.414959999999998</c:v>
                </c:pt>
                <c:pt idx="2185">
                  <c:v>0.414959999999998</c:v>
                </c:pt>
                <c:pt idx="2186">
                  <c:v>0.414959999999998</c:v>
                </c:pt>
                <c:pt idx="2187">
                  <c:v>0.414959999999998</c:v>
                </c:pt>
                <c:pt idx="2188">
                  <c:v>0.414959999999998</c:v>
                </c:pt>
                <c:pt idx="2189">
                  <c:v>0.414959999999998</c:v>
                </c:pt>
                <c:pt idx="2190">
                  <c:v>0.414959999999998</c:v>
                </c:pt>
                <c:pt idx="2191">
                  <c:v>0.414959999999998</c:v>
                </c:pt>
                <c:pt idx="2192">
                  <c:v>0.414959999999998</c:v>
                </c:pt>
                <c:pt idx="2193">
                  <c:v>0.414959999999998</c:v>
                </c:pt>
                <c:pt idx="2194">
                  <c:v>0.414959999999998</c:v>
                </c:pt>
                <c:pt idx="2195">
                  <c:v>0.414959999999998</c:v>
                </c:pt>
                <c:pt idx="2196">
                  <c:v>0.414959999999998</c:v>
                </c:pt>
                <c:pt idx="2197">
                  <c:v>0.414959999999998</c:v>
                </c:pt>
                <c:pt idx="2198">
                  <c:v>0.414959999999998</c:v>
                </c:pt>
                <c:pt idx="2199">
                  <c:v>0.414959999999998</c:v>
                </c:pt>
                <c:pt idx="2200">
                  <c:v>0.414959999999998</c:v>
                </c:pt>
                <c:pt idx="2201">
                  <c:v>0.414959999999998</c:v>
                </c:pt>
                <c:pt idx="2202">
                  <c:v>0.414959999999998</c:v>
                </c:pt>
                <c:pt idx="2203">
                  <c:v>0.414959999999998</c:v>
                </c:pt>
                <c:pt idx="2204">
                  <c:v>0.414959999999998</c:v>
                </c:pt>
                <c:pt idx="2205">
                  <c:v>0.414959999999998</c:v>
                </c:pt>
                <c:pt idx="2206">
                  <c:v>0.413579999999998</c:v>
                </c:pt>
                <c:pt idx="2207">
                  <c:v>0.413579999999998</c:v>
                </c:pt>
                <c:pt idx="2208">
                  <c:v>0.413579999999998</c:v>
                </c:pt>
                <c:pt idx="2209">
                  <c:v>0.413579999999998</c:v>
                </c:pt>
                <c:pt idx="2210">
                  <c:v>0.413579999999998</c:v>
                </c:pt>
                <c:pt idx="2211">
                  <c:v>0.413579999999998</c:v>
                </c:pt>
                <c:pt idx="2212">
                  <c:v>0.413579999999998</c:v>
                </c:pt>
                <c:pt idx="2213">
                  <c:v>0.413579999999998</c:v>
                </c:pt>
                <c:pt idx="2214">
                  <c:v>0.413579999999998</c:v>
                </c:pt>
                <c:pt idx="2215">
                  <c:v>0.413579999999998</c:v>
                </c:pt>
                <c:pt idx="2216">
                  <c:v>0.413579999999998</c:v>
                </c:pt>
                <c:pt idx="2217">
                  <c:v>0.413579999999998</c:v>
                </c:pt>
                <c:pt idx="2218">
                  <c:v>0.413579999999998</c:v>
                </c:pt>
                <c:pt idx="2219">
                  <c:v>0.413579999999998</c:v>
                </c:pt>
                <c:pt idx="2220">
                  <c:v>0.413579999999998</c:v>
                </c:pt>
                <c:pt idx="2221">
                  <c:v>0.413579999999998</c:v>
                </c:pt>
                <c:pt idx="2222">
                  <c:v>0.413579999999998</c:v>
                </c:pt>
                <c:pt idx="2223">
                  <c:v>0.413579999999998</c:v>
                </c:pt>
                <c:pt idx="2224">
                  <c:v>0.413579999999998</c:v>
                </c:pt>
                <c:pt idx="2225">
                  <c:v>0.413579999999998</c:v>
                </c:pt>
                <c:pt idx="2226">
                  <c:v>0.413579999999998</c:v>
                </c:pt>
                <c:pt idx="2227">
                  <c:v>0.413579999999998</c:v>
                </c:pt>
                <c:pt idx="2228">
                  <c:v>0.413579999999998</c:v>
                </c:pt>
                <c:pt idx="2229">
                  <c:v>0.413579999999998</c:v>
                </c:pt>
                <c:pt idx="2230">
                  <c:v>0.413579999999998</c:v>
                </c:pt>
                <c:pt idx="2231">
                  <c:v>0.413579999999998</c:v>
                </c:pt>
                <c:pt idx="2232">
                  <c:v>0.413579999999998</c:v>
                </c:pt>
                <c:pt idx="2233">
                  <c:v>0.41435999999999801</c:v>
                </c:pt>
                <c:pt idx="2234">
                  <c:v>0.41435999999999801</c:v>
                </c:pt>
                <c:pt idx="2235">
                  <c:v>0.41435999999999801</c:v>
                </c:pt>
                <c:pt idx="2236">
                  <c:v>0.41435999999999801</c:v>
                </c:pt>
                <c:pt idx="2237">
                  <c:v>0.41435999999999801</c:v>
                </c:pt>
                <c:pt idx="2238">
                  <c:v>0.41435999999999801</c:v>
                </c:pt>
                <c:pt idx="2239">
                  <c:v>0.41435999999999801</c:v>
                </c:pt>
                <c:pt idx="2240">
                  <c:v>0.41435999999999801</c:v>
                </c:pt>
                <c:pt idx="2241">
                  <c:v>0.41435999999999801</c:v>
                </c:pt>
                <c:pt idx="2242">
                  <c:v>0.41435999999999801</c:v>
                </c:pt>
                <c:pt idx="2243">
                  <c:v>0.41435999999999801</c:v>
                </c:pt>
                <c:pt idx="2244">
                  <c:v>0.41435999999999801</c:v>
                </c:pt>
                <c:pt idx="2245">
                  <c:v>0.41435999999999801</c:v>
                </c:pt>
                <c:pt idx="2246">
                  <c:v>0.41435999999999801</c:v>
                </c:pt>
                <c:pt idx="2247">
                  <c:v>0.42246999999999801</c:v>
                </c:pt>
                <c:pt idx="2248">
                  <c:v>0.42246999999999801</c:v>
                </c:pt>
                <c:pt idx="2249">
                  <c:v>0.42246999999999801</c:v>
                </c:pt>
                <c:pt idx="2250">
                  <c:v>0.42246999999999801</c:v>
                </c:pt>
                <c:pt idx="2251">
                  <c:v>0.42246999999999801</c:v>
                </c:pt>
                <c:pt idx="2252">
                  <c:v>0.42246999999999801</c:v>
                </c:pt>
                <c:pt idx="2253">
                  <c:v>0.42246999999999801</c:v>
                </c:pt>
                <c:pt idx="2254">
                  <c:v>0.42246999999999801</c:v>
                </c:pt>
                <c:pt idx="2255">
                  <c:v>0.42246999999999801</c:v>
                </c:pt>
                <c:pt idx="2256">
                  <c:v>0.42246999999999801</c:v>
                </c:pt>
                <c:pt idx="2257">
                  <c:v>0.42246999999999801</c:v>
                </c:pt>
                <c:pt idx="2258">
                  <c:v>0.42246999999999801</c:v>
                </c:pt>
                <c:pt idx="2259">
                  <c:v>0.41976999999999798</c:v>
                </c:pt>
                <c:pt idx="2260">
                  <c:v>0.41976999999999798</c:v>
                </c:pt>
                <c:pt idx="2261">
                  <c:v>0.41976999999999798</c:v>
                </c:pt>
                <c:pt idx="2262">
                  <c:v>0.41976999999999798</c:v>
                </c:pt>
                <c:pt idx="2263">
                  <c:v>0.41976999999999798</c:v>
                </c:pt>
                <c:pt idx="2264">
                  <c:v>0.41976999999999798</c:v>
                </c:pt>
                <c:pt idx="2265">
                  <c:v>0.41976999999999798</c:v>
                </c:pt>
                <c:pt idx="2266">
                  <c:v>0.41976999999999798</c:v>
                </c:pt>
                <c:pt idx="2267">
                  <c:v>0.41976999999999798</c:v>
                </c:pt>
                <c:pt idx="2268">
                  <c:v>0.41976999999999798</c:v>
                </c:pt>
                <c:pt idx="2269">
                  <c:v>0.41976999999999798</c:v>
                </c:pt>
                <c:pt idx="2270">
                  <c:v>0.41976999999999798</c:v>
                </c:pt>
                <c:pt idx="2271">
                  <c:v>0.41976999999999798</c:v>
                </c:pt>
                <c:pt idx="2272">
                  <c:v>0.41976999999999798</c:v>
                </c:pt>
                <c:pt idx="2273">
                  <c:v>0.41976999999999798</c:v>
                </c:pt>
                <c:pt idx="2274">
                  <c:v>0.41976999999999798</c:v>
                </c:pt>
                <c:pt idx="2275">
                  <c:v>0.41976999999999798</c:v>
                </c:pt>
                <c:pt idx="2276">
                  <c:v>0.41976999999999798</c:v>
                </c:pt>
                <c:pt idx="2277">
                  <c:v>0.41976999999999798</c:v>
                </c:pt>
                <c:pt idx="2278">
                  <c:v>0.41976999999999798</c:v>
                </c:pt>
                <c:pt idx="2279">
                  <c:v>0.41976999999999798</c:v>
                </c:pt>
                <c:pt idx="2280">
                  <c:v>0.41976999999999798</c:v>
                </c:pt>
                <c:pt idx="2281">
                  <c:v>0.41976999999999798</c:v>
                </c:pt>
                <c:pt idx="2282">
                  <c:v>0.41976999999999798</c:v>
                </c:pt>
                <c:pt idx="2283">
                  <c:v>0.41356999999999799</c:v>
                </c:pt>
                <c:pt idx="2284">
                  <c:v>0.41356999999999799</c:v>
                </c:pt>
                <c:pt idx="2285">
                  <c:v>0.41356999999999799</c:v>
                </c:pt>
                <c:pt idx="2286">
                  <c:v>0.41356999999999799</c:v>
                </c:pt>
                <c:pt idx="2287">
                  <c:v>0.41356999999999799</c:v>
                </c:pt>
                <c:pt idx="2288">
                  <c:v>0.41356999999999799</c:v>
                </c:pt>
                <c:pt idx="2289">
                  <c:v>0.41356999999999799</c:v>
                </c:pt>
                <c:pt idx="2290">
                  <c:v>0.41356999999999799</c:v>
                </c:pt>
                <c:pt idx="2291">
                  <c:v>0.41356999999999799</c:v>
                </c:pt>
                <c:pt idx="2292">
                  <c:v>0.41356999999999799</c:v>
                </c:pt>
                <c:pt idx="2293">
                  <c:v>0.41217999999999799</c:v>
                </c:pt>
                <c:pt idx="2294">
                  <c:v>0.41217999999999799</c:v>
                </c:pt>
                <c:pt idx="2295">
                  <c:v>0.41217999999999799</c:v>
                </c:pt>
                <c:pt idx="2296">
                  <c:v>0.41217999999999799</c:v>
                </c:pt>
                <c:pt idx="2297">
                  <c:v>0.41382999999999798</c:v>
                </c:pt>
                <c:pt idx="2298">
                  <c:v>0.41382999999999798</c:v>
                </c:pt>
                <c:pt idx="2299">
                  <c:v>0.41382999999999798</c:v>
                </c:pt>
                <c:pt idx="2300">
                  <c:v>0.41382999999999798</c:v>
                </c:pt>
                <c:pt idx="2301">
                  <c:v>0.41382999999999798</c:v>
                </c:pt>
                <c:pt idx="2302">
                  <c:v>0.41382999999999798</c:v>
                </c:pt>
                <c:pt idx="2303">
                  <c:v>0.41382999999999798</c:v>
                </c:pt>
                <c:pt idx="2304">
                  <c:v>0.41382999999999798</c:v>
                </c:pt>
                <c:pt idx="2305">
                  <c:v>0.41382999999999798</c:v>
                </c:pt>
                <c:pt idx="2306">
                  <c:v>0.41382999999999798</c:v>
                </c:pt>
                <c:pt idx="2307">
                  <c:v>0.41382999999999798</c:v>
                </c:pt>
                <c:pt idx="2308">
                  <c:v>0.41382999999999798</c:v>
                </c:pt>
                <c:pt idx="2309">
                  <c:v>0.41382999999999798</c:v>
                </c:pt>
                <c:pt idx="2310">
                  <c:v>0.41382999999999798</c:v>
                </c:pt>
                <c:pt idx="2311">
                  <c:v>0.41382999999999798</c:v>
                </c:pt>
                <c:pt idx="2312">
                  <c:v>0.41382999999999798</c:v>
                </c:pt>
                <c:pt idx="2313">
                  <c:v>0.41382999999999798</c:v>
                </c:pt>
                <c:pt idx="2314">
                  <c:v>0.41382999999999798</c:v>
                </c:pt>
                <c:pt idx="2315">
                  <c:v>0.41382999999999798</c:v>
                </c:pt>
                <c:pt idx="2316">
                  <c:v>0.41382999999999798</c:v>
                </c:pt>
                <c:pt idx="2317">
                  <c:v>0.41382999999999798</c:v>
                </c:pt>
                <c:pt idx="2318">
                  <c:v>0.41382999999999798</c:v>
                </c:pt>
                <c:pt idx="2319">
                  <c:v>0.41382999999999798</c:v>
                </c:pt>
                <c:pt idx="2320">
                  <c:v>0.41382999999999798</c:v>
                </c:pt>
                <c:pt idx="2321">
                  <c:v>0.41382999999999798</c:v>
                </c:pt>
                <c:pt idx="2322">
                  <c:v>0.41382999999999798</c:v>
                </c:pt>
                <c:pt idx="2323">
                  <c:v>0.41382999999999798</c:v>
                </c:pt>
                <c:pt idx="2324">
                  <c:v>0.41382999999999798</c:v>
                </c:pt>
                <c:pt idx="2325">
                  <c:v>0.41382999999999798</c:v>
                </c:pt>
                <c:pt idx="2326">
                  <c:v>0.41382999999999798</c:v>
                </c:pt>
                <c:pt idx="2327">
                  <c:v>0.41382999999999798</c:v>
                </c:pt>
                <c:pt idx="2328">
                  <c:v>0.41382999999999798</c:v>
                </c:pt>
                <c:pt idx="2329">
                  <c:v>0.41382999999999798</c:v>
                </c:pt>
                <c:pt idx="2330">
                  <c:v>0.41382999999999798</c:v>
                </c:pt>
                <c:pt idx="2331">
                  <c:v>0.41382999999999798</c:v>
                </c:pt>
                <c:pt idx="2332">
                  <c:v>0.41382999999999798</c:v>
                </c:pt>
                <c:pt idx="2333">
                  <c:v>0.41382999999999798</c:v>
                </c:pt>
                <c:pt idx="2334">
                  <c:v>0.41382999999999798</c:v>
                </c:pt>
                <c:pt idx="2335">
                  <c:v>0.41382999999999798</c:v>
                </c:pt>
                <c:pt idx="2336">
                  <c:v>0.41382999999999798</c:v>
                </c:pt>
                <c:pt idx="2337">
                  <c:v>0.41382999999999798</c:v>
                </c:pt>
                <c:pt idx="2338">
                  <c:v>0.41382999999999798</c:v>
                </c:pt>
                <c:pt idx="2339">
                  <c:v>0.41382999999999798</c:v>
                </c:pt>
                <c:pt idx="2340">
                  <c:v>0.41382999999999798</c:v>
                </c:pt>
                <c:pt idx="2341">
                  <c:v>0.41382999999999798</c:v>
                </c:pt>
                <c:pt idx="2342">
                  <c:v>0.41382999999999798</c:v>
                </c:pt>
                <c:pt idx="2343">
                  <c:v>0.41382999999999798</c:v>
                </c:pt>
                <c:pt idx="2344">
                  <c:v>0.41382999999999798</c:v>
                </c:pt>
                <c:pt idx="2345">
                  <c:v>0.41382999999999798</c:v>
                </c:pt>
                <c:pt idx="2346">
                  <c:v>0.41382999999999798</c:v>
                </c:pt>
                <c:pt idx="2347">
                  <c:v>0.41382999999999798</c:v>
                </c:pt>
                <c:pt idx="2348">
                  <c:v>0.41382999999999798</c:v>
                </c:pt>
                <c:pt idx="2349">
                  <c:v>0.41382999999999798</c:v>
                </c:pt>
                <c:pt idx="2350">
                  <c:v>0.41382999999999798</c:v>
                </c:pt>
                <c:pt idx="2351">
                  <c:v>0.41382999999999798</c:v>
                </c:pt>
                <c:pt idx="2352">
                  <c:v>0.41382999999999798</c:v>
                </c:pt>
                <c:pt idx="2353">
                  <c:v>0.41382999999999798</c:v>
                </c:pt>
                <c:pt idx="2354">
                  <c:v>0.42269999999999802</c:v>
                </c:pt>
                <c:pt idx="2355">
                  <c:v>0.42269999999999802</c:v>
                </c:pt>
                <c:pt idx="2356">
                  <c:v>0.42269999999999802</c:v>
                </c:pt>
                <c:pt idx="2357">
                  <c:v>0.42269999999999802</c:v>
                </c:pt>
                <c:pt idx="2358">
                  <c:v>0.42269999999999802</c:v>
                </c:pt>
                <c:pt idx="2359">
                  <c:v>0.42269999999999802</c:v>
                </c:pt>
                <c:pt idx="2360">
                  <c:v>0.42269999999999802</c:v>
                </c:pt>
                <c:pt idx="2361">
                  <c:v>0.42269999999999802</c:v>
                </c:pt>
                <c:pt idx="2362">
                  <c:v>0.42269999999999802</c:v>
                </c:pt>
                <c:pt idx="2363">
                  <c:v>0.42269999999999802</c:v>
                </c:pt>
                <c:pt idx="2364">
                  <c:v>0.42269999999999802</c:v>
                </c:pt>
                <c:pt idx="2365">
                  <c:v>0.42538999999999799</c:v>
                </c:pt>
                <c:pt idx="2366">
                  <c:v>0.42538999999999799</c:v>
                </c:pt>
                <c:pt idx="2367">
                  <c:v>0.42538999999999799</c:v>
                </c:pt>
                <c:pt idx="2368">
                  <c:v>0.42538999999999799</c:v>
                </c:pt>
                <c:pt idx="2369">
                  <c:v>0.42538999999999799</c:v>
                </c:pt>
                <c:pt idx="2370">
                  <c:v>0.42538999999999799</c:v>
                </c:pt>
                <c:pt idx="2371">
                  <c:v>0.42538999999999799</c:v>
                </c:pt>
                <c:pt idx="2372">
                  <c:v>0.42538999999999799</c:v>
                </c:pt>
                <c:pt idx="2373">
                  <c:v>0.42538999999999799</c:v>
                </c:pt>
                <c:pt idx="2374">
                  <c:v>0.42538999999999799</c:v>
                </c:pt>
                <c:pt idx="2375">
                  <c:v>0.42538999999999799</c:v>
                </c:pt>
                <c:pt idx="2376">
                  <c:v>0.43147999999999798</c:v>
                </c:pt>
                <c:pt idx="2377">
                  <c:v>0.43147999999999798</c:v>
                </c:pt>
                <c:pt idx="2378">
                  <c:v>0.43147999999999798</c:v>
                </c:pt>
                <c:pt idx="2379">
                  <c:v>0.43147999999999798</c:v>
                </c:pt>
                <c:pt idx="2380">
                  <c:v>0.43147999999999798</c:v>
                </c:pt>
                <c:pt idx="2381">
                  <c:v>0.43147999999999798</c:v>
                </c:pt>
                <c:pt idx="2382">
                  <c:v>0.43147999999999798</c:v>
                </c:pt>
                <c:pt idx="2383">
                  <c:v>0.43147999999999798</c:v>
                </c:pt>
                <c:pt idx="2384">
                  <c:v>0.43147999999999798</c:v>
                </c:pt>
                <c:pt idx="2385">
                  <c:v>0.43147999999999798</c:v>
                </c:pt>
                <c:pt idx="2386">
                  <c:v>0.43147999999999798</c:v>
                </c:pt>
                <c:pt idx="2387">
                  <c:v>0.43147999999999798</c:v>
                </c:pt>
                <c:pt idx="2388">
                  <c:v>0.43147999999999798</c:v>
                </c:pt>
                <c:pt idx="2389">
                  <c:v>0.43147999999999798</c:v>
                </c:pt>
                <c:pt idx="2390">
                  <c:v>0.43147999999999798</c:v>
                </c:pt>
                <c:pt idx="2391">
                  <c:v>0.43147999999999798</c:v>
                </c:pt>
                <c:pt idx="2392">
                  <c:v>0.42636999999999797</c:v>
                </c:pt>
                <c:pt idx="2393">
                  <c:v>0.42636999999999797</c:v>
                </c:pt>
                <c:pt idx="2394">
                  <c:v>0.42636999999999797</c:v>
                </c:pt>
                <c:pt idx="2395">
                  <c:v>0.42636999999999797</c:v>
                </c:pt>
                <c:pt idx="2396">
                  <c:v>0.42636999999999797</c:v>
                </c:pt>
                <c:pt idx="2397">
                  <c:v>0.42636999999999797</c:v>
                </c:pt>
                <c:pt idx="2398">
                  <c:v>0.42636999999999797</c:v>
                </c:pt>
                <c:pt idx="2399">
                  <c:v>0.42636999999999797</c:v>
                </c:pt>
                <c:pt idx="2400">
                  <c:v>0.42636999999999797</c:v>
                </c:pt>
                <c:pt idx="2401">
                  <c:v>0.42636999999999797</c:v>
                </c:pt>
                <c:pt idx="2402">
                  <c:v>0.42636999999999797</c:v>
                </c:pt>
                <c:pt idx="2403">
                  <c:v>0.42636999999999797</c:v>
                </c:pt>
                <c:pt idx="2404">
                  <c:v>0.42636999999999797</c:v>
                </c:pt>
                <c:pt idx="2405">
                  <c:v>0.42636999999999797</c:v>
                </c:pt>
                <c:pt idx="2406">
                  <c:v>0.42636999999999797</c:v>
                </c:pt>
                <c:pt idx="2407">
                  <c:v>0.42636999999999797</c:v>
                </c:pt>
                <c:pt idx="2408">
                  <c:v>0.42636999999999797</c:v>
                </c:pt>
                <c:pt idx="2409">
                  <c:v>0.42636999999999797</c:v>
                </c:pt>
                <c:pt idx="2410">
                  <c:v>0.42636999999999797</c:v>
                </c:pt>
                <c:pt idx="2411">
                  <c:v>0.42636999999999797</c:v>
                </c:pt>
                <c:pt idx="2412">
                  <c:v>0.42636999999999797</c:v>
                </c:pt>
                <c:pt idx="2413">
                  <c:v>0.42636999999999797</c:v>
                </c:pt>
                <c:pt idx="2414">
                  <c:v>0.42947999999999797</c:v>
                </c:pt>
                <c:pt idx="2415">
                  <c:v>0.42947999999999797</c:v>
                </c:pt>
                <c:pt idx="2416">
                  <c:v>0.42947999999999797</c:v>
                </c:pt>
                <c:pt idx="2417">
                  <c:v>0.43928999999999802</c:v>
                </c:pt>
                <c:pt idx="2418">
                  <c:v>0.44617999999999802</c:v>
                </c:pt>
                <c:pt idx="2419">
                  <c:v>0.44617999999999802</c:v>
                </c:pt>
                <c:pt idx="2420">
                  <c:v>0.44617999999999802</c:v>
                </c:pt>
                <c:pt idx="2421">
                  <c:v>0.44617999999999802</c:v>
                </c:pt>
                <c:pt idx="2422">
                  <c:v>0.44617999999999802</c:v>
                </c:pt>
                <c:pt idx="2423">
                  <c:v>0.44617999999999802</c:v>
                </c:pt>
                <c:pt idx="2424">
                  <c:v>0.44617999999999802</c:v>
                </c:pt>
                <c:pt idx="2425">
                  <c:v>0.44617999999999802</c:v>
                </c:pt>
                <c:pt idx="2426">
                  <c:v>0.44617999999999802</c:v>
                </c:pt>
                <c:pt idx="2427">
                  <c:v>0.44617999999999802</c:v>
                </c:pt>
                <c:pt idx="2428">
                  <c:v>0.44617999999999802</c:v>
                </c:pt>
                <c:pt idx="2429">
                  <c:v>0.44617999999999802</c:v>
                </c:pt>
                <c:pt idx="2430">
                  <c:v>0.44617999999999802</c:v>
                </c:pt>
                <c:pt idx="2431">
                  <c:v>0.44617999999999802</c:v>
                </c:pt>
                <c:pt idx="2432">
                  <c:v>0.44617999999999802</c:v>
                </c:pt>
                <c:pt idx="2433">
                  <c:v>0.44617999999999802</c:v>
                </c:pt>
                <c:pt idx="2434">
                  <c:v>0.44617999999999802</c:v>
                </c:pt>
                <c:pt idx="2435">
                  <c:v>0.44617999999999802</c:v>
                </c:pt>
                <c:pt idx="2436">
                  <c:v>0.44617999999999802</c:v>
                </c:pt>
                <c:pt idx="2437">
                  <c:v>0.44922999999999802</c:v>
                </c:pt>
                <c:pt idx="2438">
                  <c:v>0.44922999999999802</c:v>
                </c:pt>
                <c:pt idx="2439">
                  <c:v>0.44922999999999802</c:v>
                </c:pt>
                <c:pt idx="2440">
                  <c:v>0.44922999999999802</c:v>
                </c:pt>
                <c:pt idx="2441">
                  <c:v>0.44922999999999802</c:v>
                </c:pt>
                <c:pt idx="2442">
                  <c:v>0.44922999999999802</c:v>
                </c:pt>
                <c:pt idx="2443">
                  <c:v>0.44922999999999802</c:v>
                </c:pt>
                <c:pt idx="2444">
                  <c:v>0.44922999999999802</c:v>
                </c:pt>
                <c:pt idx="2445">
                  <c:v>0.44922999999999802</c:v>
                </c:pt>
                <c:pt idx="2446">
                  <c:v>0.44922999999999802</c:v>
                </c:pt>
                <c:pt idx="2447">
                  <c:v>0.44585999999999798</c:v>
                </c:pt>
                <c:pt idx="2448">
                  <c:v>0.44585999999999798</c:v>
                </c:pt>
                <c:pt idx="2449">
                  <c:v>0.44585999999999798</c:v>
                </c:pt>
                <c:pt idx="2450">
                  <c:v>0.44585999999999798</c:v>
                </c:pt>
                <c:pt idx="2451">
                  <c:v>0.44585999999999798</c:v>
                </c:pt>
                <c:pt idx="2452">
                  <c:v>0.44585999999999798</c:v>
                </c:pt>
                <c:pt idx="2453">
                  <c:v>0.44585999999999798</c:v>
                </c:pt>
                <c:pt idx="2454">
                  <c:v>0.44585999999999798</c:v>
                </c:pt>
                <c:pt idx="2455">
                  <c:v>0.44585999999999798</c:v>
                </c:pt>
                <c:pt idx="2456">
                  <c:v>0.44585999999999798</c:v>
                </c:pt>
                <c:pt idx="2457">
                  <c:v>0.44585999999999798</c:v>
                </c:pt>
                <c:pt idx="2458">
                  <c:v>0.44585999999999798</c:v>
                </c:pt>
                <c:pt idx="2459">
                  <c:v>0.44585999999999798</c:v>
                </c:pt>
                <c:pt idx="2460">
                  <c:v>0.44585999999999798</c:v>
                </c:pt>
                <c:pt idx="2461">
                  <c:v>0.44585999999999798</c:v>
                </c:pt>
                <c:pt idx="2462">
                  <c:v>0.44585999999999798</c:v>
                </c:pt>
                <c:pt idx="2463">
                  <c:v>0.44585999999999798</c:v>
                </c:pt>
                <c:pt idx="2464">
                  <c:v>0.44585999999999798</c:v>
                </c:pt>
                <c:pt idx="2465">
                  <c:v>0.44585999999999798</c:v>
                </c:pt>
                <c:pt idx="2466">
                  <c:v>0.44585999999999798</c:v>
                </c:pt>
                <c:pt idx="2467">
                  <c:v>0.44585999999999798</c:v>
                </c:pt>
                <c:pt idx="2468">
                  <c:v>0.44585999999999798</c:v>
                </c:pt>
                <c:pt idx="2469">
                  <c:v>0.44585999999999798</c:v>
                </c:pt>
                <c:pt idx="2470">
                  <c:v>0.44585999999999798</c:v>
                </c:pt>
                <c:pt idx="2471">
                  <c:v>0.44585999999999798</c:v>
                </c:pt>
                <c:pt idx="2472">
                  <c:v>0.44585999999999798</c:v>
                </c:pt>
                <c:pt idx="2473">
                  <c:v>0.44585999999999798</c:v>
                </c:pt>
                <c:pt idx="2474">
                  <c:v>0.44585999999999798</c:v>
                </c:pt>
                <c:pt idx="2475">
                  <c:v>0.44585999999999798</c:v>
                </c:pt>
                <c:pt idx="2476">
                  <c:v>0.44585999999999798</c:v>
                </c:pt>
                <c:pt idx="2477">
                  <c:v>0.44585999999999798</c:v>
                </c:pt>
                <c:pt idx="2478">
                  <c:v>0.44585999999999798</c:v>
                </c:pt>
                <c:pt idx="2479">
                  <c:v>0.44585999999999798</c:v>
                </c:pt>
                <c:pt idx="2480">
                  <c:v>0.44585999999999798</c:v>
                </c:pt>
                <c:pt idx="2481">
                  <c:v>0.44585999999999798</c:v>
                </c:pt>
                <c:pt idx="2482">
                  <c:v>0.44585999999999798</c:v>
                </c:pt>
                <c:pt idx="2483">
                  <c:v>0.44585999999999798</c:v>
                </c:pt>
                <c:pt idx="2484">
                  <c:v>0.44585999999999798</c:v>
                </c:pt>
                <c:pt idx="2485">
                  <c:v>0.44585999999999798</c:v>
                </c:pt>
                <c:pt idx="2486">
                  <c:v>0.44585999999999798</c:v>
                </c:pt>
                <c:pt idx="2487">
                  <c:v>0.44585999999999798</c:v>
                </c:pt>
                <c:pt idx="2488">
                  <c:v>0.44585999999999798</c:v>
                </c:pt>
                <c:pt idx="2489">
                  <c:v>0.44585999999999798</c:v>
                </c:pt>
                <c:pt idx="2490">
                  <c:v>0.44585999999999798</c:v>
                </c:pt>
                <c:pt idx="2491">
                  <c:v>0.44585999999999798</c:v>
                </c:pt>
                <c:pt idx="2492">
                  <c:v>0.44585999999999798</c:v>
                </c:pt>
                <c:pt idx="2493">
                  <c:v>0.44585999999999798</c:v>
                </c:pt>
                <c:pt idx="2494">
                  <c:v>0.44585999999999798</c:v>
                </c:pt>
                <c:pt idx="2495">
                  <c:v>0.44585999999999798</c:v>
                </c:pt>
                <c:pt idx="2496">
                  <c:v>0.44585999999999798</c:v>
                </c:pt>
                <c:pt idx="2497">
                  <c:v>0.44585999999999798</c:v>
                </c:pt>
                <c:pt idx="2498">
                  <c:v>0.44585999999999798</c:v>
                </c:pt>
                <c:pt idx="2499">
                  <c:v>0.44585999999999798</c:v>
                </c:pt>
                <c:pt idx="2500">
                  <c:v>0.44585999999999798</c:v>
                </c:pt>
                <c:pt idx="2501">
                  <c:v>0.44585999999999798</c:v>
                </c:pt>
                <c:pt idx="2502">
                  <c:v>0.44585999999999798</c:v>
                </c:pt>
                <c:pt idx="2503">
                  <c:v>0.44585999999999798</c:v>
                </c:pt>
                <c:pt idx="2504">
                  <c:v>0.44585999999999798</c:v>
                </c:pt>
                <c:pt idx="2505">
                  <c:v>0.44585999999999798</c:v>
                </c:pt>
                <c:pt idx="2506">
                  <c:v>0.44585999999999798</c:v>
                </c:pt>
                <c:pt idx="2507">
                  <c:v>0.44585999999999798</c:v>
                </c:pt>
                <c:pt idx="2508">
                  <c:v>0.44585999999999798</c:v>
                </c:pt>
                <c:pt idx="2509">
                  <c:v>0.445549999999998</c:v>
                </c:pt>
                <c:pt idx="2510">
                  <c:v>0.445549999999998</c:v>
                </c:pt>
                <c:pt idx="2511">
                  <c:v>0.44190999999999803</c:v>
                </c:pt>
                <c:pt idx="2512">
                  <c:v>0.44190999999999803</c:v>
                </c:pt>
                <c:pt idx="2513">
                  <c:v>0.44190999999999803</c:v>
                </c:pt>
                <c:pt idx="2514">
                  <c:v>0.44190999999999803</c:v>
                </c:pt>
                <c:pt idx="2515">
                  <c:v>0.44190999999999803</c:v>
                </c:pt>
                <c:pt idx="2516">
                  <c:v>0.44190999999999803</c:v>
                </c:pt>
                <c:pt idx="2517">
                  <c:v>0.44190999999999803</c:v>
                </c:pt>
                <c:pt idx="2518">
                  <c:v>0.44190999999999803</c:v>
                </c:pt>
                <c:pt idx="2519">
                  <c:v>0.44190999999999803</c:v>
                </c:pt>
                <c:pt idx="2520">
                  <c:v>0.44190999999999803</c:v>
                </c:pt>
                <c:pt idx="2521">
                  <c:v>0.44190999999999803</c:v>
                </c:pt>
                <c:pt idx="2522">
                  <c:v>0.44190999999999803</c:v>
                </c:pt>
                <c:pt idx="2523">
                  <c:v>0.44190999999999803</c:v>
                </c:pt>
                <c:pt idx="2524">
                  <c:v>0.44190999999999803</c:v>
                </c:pt>
                <c:pt idx="2525">
                  <c:v>0.44190999999999803</c:v>
                </c:pt>
                <c:pt idx="2526">
                  <c:v>0.44190999999999803</c:v>
                </c:pt>
                <c:pt idx="2527">
                  <c:v>0.44190999999999803</c:v>
                </c:pt>
                <c:pt idx="2528">
                  <c:v>0.44190999999999803</c:v>
                </c:pt>
                <c:pt idx="2529">
                  <c:v>0.44190999999999803</c:v>
                </c:pt>
                <c:pt idx="2530">
                  <c:v>0.44190999999999803</c:v>
                </c:pt>
                <c:pt idx="2531">
                  <c:v>0.44190999999999803</c:v>
                </c:pt>
                <c:pt idx="2532">
                  <c:v>0.44080999999999798</c:v>
                </c:pt>
                <c:pt idx="2533">
                  <c:v>0.44080999999999798</c:v>
                </c:pt>
                <c:pt idx="2534">
                  <c:v>0.44080999999999798</c:v>
                </c:pt>
                <c:pt idx="2535">
                  <c:v>0.44080999999999798</c:v>
                </c:pt>
                <c:pt idx="2536">
                  <c:v>0.44080999999999798</c:v>
                </c:pt>
                <c:pt idx="2537">
                  <c:v>0.44080999999999798</c:v>
                </c:pt>
                <c:pt idx="2538">
                  <c:v>0.44080999999999798</c:v>
                </c:pt>
                <c:pt idx="2539">
                  <c:v>0.44080999999999798</c:v>
                </c:pt>
                <c:pt idx="2540">
                  <c:v>0.44080999999999798</c:v>
                </c:pt>
                <c:pt idx="2541">
                  <c:v>0.44080999999999798</c:v>
                </c:pt>
                <c:pt idx="2542">
                  <c:v>0.44080999999999798</c:v>
                </c:pt>
                <c:pt idx="2543">
                  <c:v>0.44080999999999798</c:v>
                </c:pt>
                <c:pt idx="2544">
                  <c:v>0.44080999999999798</c:v>
                </c:pt>
                <c:pt idx="2545">
                  <c:v>0.44080999999999798</c:v>
                </c:pt>
                <c:pt idx="2546">
                  <c:v>0.44080999999999798</c:v>
                </c:pt>
                <c:pt idx="2547">
                  <c:v>0.44080999999999798</c:v>
                </c:pt>
                <c:pt idx="2548">
                  <c:v>0.44080999999999798</c:v>
                </c:pt>
                <c:pt idx="2549">
                  <c:v>0.44231999999999799</c:v>
                </c:pt>
                <c:pt idx="2550">
                  <c:v>0.44231999999999799</c:v>
                </c:pt>
                <c:pt idx="2551">
                  <c:v>0.44394999999999801</c:v>
                </c:pt>
                <c:pt idx="2552">
                  <c:v>0.44394999999999801</c:v>
                </c:pt>
                <c:pt idx="2553">
                  <c:v>0.44394999999999801</c:v>
                </c:pt>
                <c:pt idx="2554">
                  <c:v>0.44394999999999801</c:v>
                </c:pt>
                <c:pt idx="2555">
                  <c:v>0.44394999999999801</c:v>
                </c:pt>
                <c:pt idx="2556">
                  <c:v>0.44394999999999801</c:v>
                </c:pt>
                <c:pt idx="2557">
                  <c:v>0.44394999999999801</c:v>
                </c:pt>
                <c:pt idx="2558">
                  <c:v>0.43625999999999798</c:v>
                </c:pt>
                <c:pt idx="2559">
                  <c:v>0.43625999999999798</c:v>
                </c:pt>
                <c:pt idx="2560">
                  <c:v>0.43625999999999798</c:v>
                </c:pt>
                <c:pt idx="2561">
                  <c:v>0.43625999999999798</c:v>
                </c:pt>
                <c:pt idx="2562">
                  <c:v>0.43625999999999798</c:v>
                </c:pt>
                <c:pt idx="2563">
                  <c:v>0.43625999999999798</c:v>
                </c:pt>
                <c:pt idx="2564">
                  <c:v>0.43625999999999798</c:v>
                </c:pt>
                <c:pt idx="2565">
                  <c:v>0.43625999999999798</c:v>
                </c:pt>
                <c:pt idx="2566">
                  <c:v>0.42945999999999701</c:v>
                </c:pt>
                <c:pt idx="2567">
                  <c:v>0.42945999999999701</c:v>
                </c:pt>
                <c:pt idx="2568">
                  <c:v>0.42945999999999701</c:v>
                </c:pt>
                <c:pt idx="2569">
                  <c:v>0.42945999999999701</c:v>
                </c:pt>
                <c:pt idx="2570">
                  <c:v>0.42945999999999701</c:v>
                </c:pt>
                <c:pt idx="2571">
                  <c:v>0.42945999999999701</c:v>
                </c:pt>
                <c:pt idx="2572">
                  <c:v>0.42945999999999701</c:v>
                </c:pt>
                <c:pt idx="2573">
                  <c:v>0.42945999999999701</c:v>
                </c:pt>
                <c:pt idx="2574">
                  <c:v>0.42945999999999701</c:v>
                </c:pt>
                <c:pt idx="2575">
                  <c:v>0.42945999999999701</c:v>
                </c:pt>
                <c:pt idx="2576">
                  <c:v>0.42945999999999701</c:v>
                </c:pt>
                <c:pt idx="2577">
                  <c:v>0.42945999999999701</c:v>
                </c:pt>
                <c:pt idx="2578">
                  <c:v>0.42945999999999701</c:v>
                </c:pt>
                <c:pt idx="2579">
                  <c:v>0.42945999999999701</c:v>
                </c:pt>
                <c:pt idx="2580">
                  <c:v>0.42945999999999701</c:v>
                </c:pt>
                <c:pt idx="2581">
                  <c:v>0.42945999999999701</c:v>
                </c:pt>
                <c:pt idx="2582">
                  <c:v>0.42945999999999701</c:v>
                </c:pt>
                <c:pt idx="2583">
                  <c:v>0.42945999999999701</c:v>
                </c:pt>
                <c:pt idx="2584">
                  <c:v>0.42945999999999701</c:v>
                </c:pt>
                <c:pt idx="2585">
                  <c:v>0.42945999999999701</c:v>
                </c:pt>
                <c:pt idx="2586">
                  <c:v>0.42945999999999701</c:v>
                </c:pt>
                <c:pt idx="2587">
                  <c:v>0.42945999999999701</c:v>
                </c:pt>
                <c:pt idx="2588">
                  <c:v>0.42945999999999701</c:v>
                </c:pt>
                <c:pt idx="2589">
                  <c:v>0.42945999999999701</c:v>
                </c:pt>
                <c:pt idx="2590">
                  <c:v>0.42945999999999701</c:v>
                </c:pt>
                <c:pt idx="2591">
                  <c:v>0.42945999999999701</c:v>
                </c:pt>
                <c:pt idx="2592">
                  <c:v>0.42945999999999701</c:v>
                </c:pt>
                <c:pt idx="2593">
                  <c:v>0.42945999999999701</c:v>
                </c:pt>
                <c:pt idx="2594">
                  <c:v>0.42945999999999701</c:v>
                </c:pt>
                <c:pt idx="2595">
                  <c:v>0.43056999999999801</c:v>
                </c:pt>
                <c:pt idx="2596">
                  <c:v>0.43056999999999801</c:v>
                </c:pt>
                <c:pt idx="2597">
                  <c:v>0.43056999999999801</c:v>
                </c:pt>
                <c:pt idx="2598">
                  <c:v>0.43056999999999801</c:v>
                </c:pt>
                <c:pt idx="2599">
                  <c:v>0.43711999999999801</c:v>
                </c:pt>
                <c:pt idx="2600">
                  <c:v>0.43711999999999801</c:v>
                </c:pt>
                <c:pt idx="2601">
                  <c:v>0.43711999999999801</c:v>
                </c:pt>
                <c:pt idx="2602">
                  <c:v>0.43711999999999801</c:v>
                </c:pt>
                <c:pt idx="2603">
                  <c:v>0.43711999999999801</c:v>
                </c:pt>
                <c:pt idx="2604">
                  <c:v>0.43711999999999801</c:v>
                </c:pt>
                <c:pt idx="2605">
                  <c:v>0.43711999999999801</c:v>
                </c:pt>
                <c:pt idx="2606">
                  <c:v>0.43711999999999801</c:v>
                </c:pt>
                <c:pt idx="2607">
                  <c:v>0.43711999999999801</c:v>
                </c:pt>
                <c:pt idx="2608">
                  <c:v>0.43711999999999801</c:v>
                </c:pt>
                <c:pt idx="2609">
                  <c:v>0.43711999999999801</c:v>
                </c:pt>
                <c:pt idx="2610">
                  <c:v>0.43711999999999801</c:v>
                </c:pt>
                <c:pt idx="2611">
                  <c:v>0.43711999999999801</c:v>
                </c:pt>
                <c:pt idx="2612">
                  <c:v>0.43711999999999801</c:v>
                </c:pt>
                <c:pt idx="2613">
                  <c:v>0.43711999999999801</c:v>
                </c:pt>
                <c:pt idx="2614">
                  <c:v>0.43711999999999801</c:v>
                </c:pt>
                <c:pt idx="2615">
                  <c:v>0.43711999999999801</c:v>
                </c:pt>
                <c:pt idx="2616">
                  <c:v>0.43711999999999801</c:v>
                </c:pt>
                <c:pt idx="2617">
                  <c:v>0.43318999999999802</c:v>
                </c:pt>
                <c:pt idx="2618">
                  <c:v>0.43318999999999802</c:v>
                </c:pt>
                <c:pt idx="2619">
                  <c:v>0.43318999999999802</c:v>
                </c:pt>
                <c:pt idx="2620">
                  <c:v>0.43318999999999802</c:v>
                </c:pt>
                <c:pt idx="2621">
                  <c:v>0.43318999999999802</c:v>
                </c:pt>
                <c:pt idx="2622">
                  <c:v>0.43318999999999802</c:v>
                </c:pt>
                <c:pt idx="2623">
                  <c:v>0.43318999999999802</c:v>
                </c:pt>
                <c:pt idx="2624">
                  <c:v>0.43318999999999802</c:v>
                </c:pt>
                <c:pt idx="2625">
                  <c:v>0.43318999999999802</c:v>
                </c:pt>
                <c:pt idx="2626">
                  <c:v>0.43318999999999802</c:v>
                </c:pt>
                <c:pt idx="2627">
                  <c:v>0.43318999999999802</c:v>
                </c:pt>
                <c:pt idx="2628">
                  <c:v>0.43318999999999802</c:v>
                </c:pt>
                <c:pt idx="2629">
                  <c:v>0.43318999999999802</c:v>
                </c:pt>
                <c:pt idx="2630">
                  <c:v>0.43318999999999802</c:v>
                </c:pt>
                <c:pt idx="2631">
                  <c:v>0.43318999999999802</c:v>
                </c:pt>
                <c:pt idx="2632">
                  <c:v>0.43318999999999802</c:v>
                </c:pt>
                <c:pt idx="2633">
                  <c:v>0.432559999999998</c:v>
                </c:pt>
                <c:pt idx="2634">
                  <c:v>0.432559999999998</c:v>
                </c:pt>
                <c:pt idx="2635">
                  <c:v>0.432559999999998</c:v>
                </c:pt>
                <c:pt idx="2636">
                  <c:v>0.432559999999998</c:v>
                </c:pt>
                <c:pt idx="2637">
                  <c:v>0.432559999999998</c:v>
                </c:pt>
                <c:pt idx="2638">
                  <c:v>0.43237999999999799</c:v>
                </c:pt>
                <c:pt idx="2639">
                  <c:v>0.43237999999999799</c:v>
                </c:pt>
                <c:pt idx="2640">
                  <c:v>0.43618999999999802</c:v>
                </c:pt>
                <c:pt idx="2641">
                  <c:v>0.43618999999999802</c:v>
                </c:pt>
                <c:pt idx="2642">
                  <c:v>0.43618999999999802</c:v>
                </c:pt>
                <c:pt idx="2643">
                  <c:v>0.43618999999999802</c:v>
                </c:pt>
                <c:pt idx="2644">
                  <c:v>0.43618999999999802</c:v>
                </c:pt>
                <c:pt idx="2645">
                  <c:v>0.43618999999999802</c:v>
                </c:pt>
                <c:pt idx="2646">
                  <c:v>0.43756999999999802</c:v>
                </c:pt>
                <c:pt idx="2647">
                  <c:v>0.43756999999999802</c:v>
                </c:pt>
                <c:pt idx="2648">
                  <c:v>0.43756999999999802</c:v>
                </c:pt>
                <c:pt idx="2649">
                  <c:v>0.43756999999999802</c:v>
                </c:pt>
                <c:pt idx="2650">
                  <c:v>0.43756999999999802</c:v>
                </c:pt>
                <c:pt idx="2651">
                  <c:v>0.43756999999999802</c:v>
                </c:pt>
                <c:pt idx="2652">
                  <c:v>0.43756999999999802</c:v>
                </c:pt>
                <c:pt idx="2653">
                  <c:v>0.43756999999999802</c:v>
                </c:pt>
                <c:pt idx="2654">
                  <c:v>0.43756999999999802</c:v>
                </c:pt>
                <c:pt idx="2655">
                  <c:v>0.43756999999999802</c:v>
                </c:pt>
                <c:pt idx="2656">
                  <c:v>0.43756999999999802</c:v>
                </c:pt>
                <c:pt idx="2657">
                  <c:v>0.43756999999999802</c:v>
                </c:pt>
                <c:pt idx="2658">
                  <c:v>0.43756999999999802</c:v>
                </c:pt>
                <c:pt idx="2659">
                  <c:v>0.43756999999999802</c:v>
                </c:pt>
                <c:pt idx="2660">
                  <c:v>0.43756999999999802</c:v>
                </c:pt>
                <c:pt idx="2661">
                  <c:v>0.43756999999999802</c:v>
                </c:pt>
                <c:pt idx="2662">
                  <c:v>0.43756999999999802</c:v>
                </c:pt>
                <c:pt idx="2663">
                  <c:v>0.43756999999999802</c:v>
                </c:pt>
                <c:pt idx="2664">
                  <c:v>0.43756999999999802</c:v>
                </c:pt>
                <c:pt idx="2665">
                  <c:v>0.43756999999999802</c:v>
                </c:pt>
                <c:pt idx="2666">
                  <c:v>0.43756999999999802</c:v>
                </c:pt>
                <c:pt idx="2667">
                  <c:v>0.43756999999999802</c:v>
                </c:pt>
                <c:pt idx="2668">
                  <c:v>0.43756999999999802</c:v>
                </c:pt>
                <c:pt idx="2669">
                  <c:v>0.43756999999999802</c:v>
                </c:pt>
                <c:pt idx="2670">
                  <c:v>0.43756999999999802</c:v>
                </c:pt>
                <c:pt idx="2671">
                  <c:v>0.43756999999999802</c:v>
                </c:pt>
                <c:pt idx="2672">
                  <c:v>0.43756999999999802</c:v>
                </c:pt>
                <c:pt idx="2673">
                  <c:v>0.43756999999999802</c:v>
                </c:pt>
                <c:pt idx="2674">
                  <c:v>0.43756999999999802</c:v>
                </c:pt>
                <c:pt idx="2675">
                  <c:v>0.43756999999999802</c:v>
                </c:pt>
                <c:pt idx="2676">
                  <c:v>0.43756999999999802</c:v>
                </c:pt>
                <c:pt idx="2677">
                  <c:v>0.43756999999999802</c:v>
                </c:pt>
                <c:pt idx="2678">
                  <c:v>0.43756999999999802</c:v>
                </c:pt>
                <c:pt idx="2679">
                  <c:v>0.43756999999999802</c:v>
                </c:pt>
                <c:pt idx="2680">
                  <c:v>0.43756999999999802</c:v>
                </c:pt>
                <c:pt idx="2681">
                  <c:v>0.43756999999999802</c:v>
                </c:pt>
                <c:pt idx="2682">
                  <c:v>0.43756999999999802</c:v>
                </c:pt>
                <c:pt idx="2683">
                  <c:v>0.43756999999999802</c:v>
                </c:pt>
                <c:pt idx="2684">
                  <c:v>0.43317999999999801</c:v>
                </c:pt>
                <c:pt idx="2685">
                  <c:v>0.43317999999999801</c:v>
                </c:pt>
                <c:pt idx="2686">
                  <c:v>0.43317999999999801</c:v>
                </c:pt>
                <c:pt idx="2687">
                  <c:v>0.43317999999999801</c:v>
                </c:pt>
                <c:pt idx="2688">
                  <c:v>0.43317999999999801</c:v>
                </c:pt>
                <c:pt idx="2689">
                  <c:v>0.43317999999999801</c:v>
                </c:pt>
                <c:pt idx="2690">
                  <c:v>0.43317999999999801</c:v>
                </c:pt>
                <c:pt idx="2691">
                  <c:v>0.43317999999999801</c:v>
                </c:pt>
                <c:pt idx="2692">
                  <c:v>0.43317999999999801</c:v>
                </c:pt>
                <c:pt idx="2693">
                  <c:v>0.43317999999999801</c:v>
                </c:pt>
                <c:pt idx="2694">
                  <c:v>0.43317999999999801</c:v>
                </c:pt>
                <c:pt idx="2695">
                  <c:v>0.43317999999999801</c:v>
                </c:pt>
                <c:pt idx="2696">
                  <c:v>0.43317999999999801</c:v>
                </c:pt>
                <c:pt idx="2697">
                  <c:v>0.43317999999999801</c:v>
                </c:pt>
                <c:pt idx="2698">
                  <c:v>0.43317999999999801</c:v>
                </c:pt>
                <c:pt idx="2699">
                  <c:v>0.43317999999999801</c:v>
                </c:pt>
                <c:pt idx="2700">
                  <c:v>0.43317999999999801</c:v>
                </c:pt>
                <c:pt idx="2701">
                  <c:v>0.43317999999999801</c:v>
                </c:pt>
                <c:pt idx="2702">
                  <c:v>0.43317999999999801</c:v>
                </c:pt>
                <c:pt idx="2703">
                  <c:v>0.429839999999998</c:v>
                </c:pt>
                <c:pt idx="2704">
                  <c:v>0.429839999999998</c:v>
                </c:pt>
                <c:pt idx="2705">
                  <c:v>0.429839999999998</c:v>
                </c:pt>
                <c:pt idx="2706">
                  <c:v>0.429839999999998</c:v>
                </c:pt>
                <c:pt idx="2707">
                  <c:v>0.429839999999998</c:v>
                </c:pt>
                <c:pt idx="2708">
                  <c:v>0.429839999999998</c:v>
                </c:pt>
                <c:pt idx="2709">
                  <c:v>0.429839999999998</c:v>
                </c:pt>
                <c:pt idx="2710">
                  <c:v>0.429839999999998</c:v>
                </c:pt>
                <c:pt idx="2711">
                  <c:v>0.429839999999998</c:v>
                </c:pt>
                <c:pt idx="2712">
                  <c:v>0.429839999999998</c:v>
                </c:pt>
                <c:pt idx="2713">
                  <c:v>0.429839999999998</c:v>
                </c:pt>
                <c:pt idx="2714">
                  <c:v>0.429839999999998</c:v>
                </c:pt>
                <c:pt idx="2715">
                  <c:v>0.429839999999998</c:v>
                </c:pt>
                <c:pt idx="2716">
                  <c:v>0.429839999999998</c:v>
                </c:pt>
                <c:pt idx="2717">
                  <c:v>0.429839999999998</c:v>
                </c:pt>
                <c:pt idx="2718">
                  <c:v>0.429839999999998</c:v>
                </c:pt>
                <c:pt idx="2719">
                  <c:v>0.429839999999998</c:v>
                </c:pt>
                <c:pt idx="2720">
                  <c:v>0.429839999999998</c:v>
                </c:pt>
                <c:pt idx="2721">
                  <c:v>0.429839999999998</c:v>
                </c:pt>
                <c:pt idx="2722">
                  <c:v>0.429839999999998</c:v>
                </c:pt>
                <c:pt idx="2723">
                  <c:v>0.429839999999998</c:v>
                </c:pt>
                <c:pt idx="2724">
                  <c:v>0.429839999999998</c:v>
                </c:pt>
                <c:pt idx="2725">
                  <c:v>0.429839999999998</c:v>
                </c:pt>
                <c:pt idx="2726">
                  <c:v>0.429839999999998</c:v>
                </c:pt>
                <c:pt idx="2727">
                  <c:v>0.429839999999998</c:v>
                </c:pt>
                <c:pt idx="2728">
                  <c:v>0.429839999999998</c:v>
                </c:pt>
                <c:pt idx="2729">
                  <c:v>0.429839999999998</c:v>
                </c:pt>
                <c:pt idx="2730">
                  <c:v>0.429839999999998</c:v>
                </c:pt>
                <c:pt idx="2731">
                  <c:v>0.429839999999998</c:v>
                </c:pt>
                <c:pt idx="2732">
                  <c:v>0.429839999999998</c:v>
                </c:pt>
                <c:pt idx="2733">
                  <c:v>0.429839999999998</c:v>
                </c:pt>
                <c:pt idx="2734">
                  <c:v>0.429839999999998</c:v>
                </c:pt>
                <c:pt idx="2735">
                  <c:v>0.43386999999999798</c:v>
                </c:pt>
                <c:pt idx="2736">
                  <c:v>0.43386999999999798</c:v>
                </c:pt>
                <c:pt idx="2737">
                  <c:v>0.43386999999999798</c:v>
                </c:pt>
                <c:pt idx="2738">
                  <c:v>0.43386999999999798</c:v>
                </c:pt>
                <c:pt idx="2739">
                  <c:v>0.43386999999999798</c:v>
                </c:pt>
                <c:pt idx="2740">
                  <c:v>0.43386999999999798</c:v>
                </c:pt>
                <c:pt idx="2741">
                  <c:v>0.43386999999999798</c:v>
                </c:pt>
                <c:pt idx="2742">
                  <c:v>0.43386999999999798</c:v>
                </c:pt>
                <c:pt idx="2743">
                  <c:v>0.43386999999999798</c:v>
                </c:pt>
                <c:pt idx="2744">
                  <c:v>0.435669999999998</c:v>
                </c:pt>
                <c:pt idx="2745">
                  <c:v>0.435669999999998</c:v>
                </c:pt>
                <c:pt idx="2746">
                  <c:v>0.435669999999998</c:v>
                </c:pt>
                <c:pt idx="2747">
                  <c:v>0.435669999999998</c:v>
                </c:pt>
                <c:pt idx="2748">
                  <c:v>0.435669999999998</c:v>
                </c:pt>
                <c:pt idx="2749">
                  <c:v>0.435669999999998</c:v>
                </c:pt>
                <c:pt idx="2750">
                  <c:v>0.435669999999998</c:v>
                </c:pt>
                <c:pt idx="2751">
                  <c:v>0.435669999999998</c:v>
                </c:pt>
                <c:pt idx="2752">
                  <c:v>0.435669999999998</c:v>
                </c:pt>
                <c:pt idx="2753">
                  <c:v>0.435669999999998</c:v>
                </c:pt>
                <c:pt idx="2754">
                  <c:v>0.435669999999998</c:v>
                </c:pt>
                <c:pt idx="2755">
                  <c:v>0.435669999999998</c:v>
                </c:pt>
                <c:pt idx="2756">
                  <c:v>0.435669999999998</c:v>
                </c:pt>
                <c:pt idx="2757">
                  <c:v>0.435669999999998</c:v>
                </c:pt>
                <c:pt idx="2758">
                  <c:v>0.435669999999998</c:v>
                </c:pt>
                <c:pt idx="2759">
                  <c:v>0.435669999999998</c:v>
                </c:pt>
                <c:pt idx="2760">
                  <c:v>0.435669999999998</c:v>
                </c:pt>
                <c:pt idx="2761">
                  <c:v>0.435669999999998</c:v>
                </c:pt>
                <c:pt idx="2762">
                  <c:v>0.435669999999998</c:v>
                </c:pt>
                <c:pt idx="2763">
                  <c:v>0.435669999999998</c:v>
                </c:pt>
                <c:pt idx="2764">
                  <c:v>0.435669999999998</c:v>
                </c:pt>
                <c:pt idx="2765">
                  <c:v>0.435669999999998</c:v>
                </c:pt>
                <c:pt idx="2766">
                  <c:v>0.435669999999998</c:v>
                </c:pt>
                <c:pt idx="2767">
                  <c:v>0.435669999999998</c:v>
                </c:pt>
                <c:pt idx="2768">
                  <c:v>0.435669999999998</c:v>
                </c:pt>
                <c:pt idx="2769">
                  <c:v>0.435669999999998</c:v>
                </c:pt>
                <c:pt idx="2770">
                  <c:v>0.435669999999998</c:v>
                </c:pt>
                <c:pt idx="2771">
                  <c:v>0.435669999999998</c:v>
                </c:pt>
                <c:pt idx="2772">
                  <c:v>0.435669999999998</c:v>
                </c:pt>
                <c:pt idx="2773">
                  <c:v>0.435669999999998</c:v>
                </c:pt>
                <c:pt idx="2774">
                  <c:v>0.435669999999998</c:v>
                </c:pt>
                <c:pt idx="2775">
                  <c:v>0.435669999999998</c:v>
                </c:pt>
                <c:pt idx="2776">
                  <c:v>0.435669999999998</c:v>
                </c:pt>
                <c:pt idx="2777">
                  <c:v>0.435669999999998</c:v>
                </c:pt>
                <c:pt idx="2778">
                  <c:v>0.435669999999998</c:v>
                </c:pt>
                <c:pt idx="2779">
                  <c:v>0.435669999999998</c:v>
                </c:pt>
                <c:pt idx="2780">
                  <c:v>0.435669999999998</c:v>
                </c:pt>
                <c:pt idx="2781">
                  <c:v>0.435669999999998</c:v>
                </c:pt>
                <c:pt idx="2782">
                  <c:v>0.435669999999998</c:v>
                </c:pt>
                <c:pt idx="2783">
                  <c:v>0.435669999999998</c:v>
                </c:pt>
                <c:pt idx="2784">
                  <c:v>0.435669999999998</c:v>
                </c:pt>
                <c:pt idx="2785">
                  <c:v>0.435669999999998</c:v>
                </c:pt>
                <c:pt idx="2786">
                  <c:v>0.435669999999998</c:v>
                </c:pt>
                <c:pt idx="2787">
                  <c:v>0.435669999999998</c:v>
                </c:pt>
                <c:pt idx="2788">
                  <c:v>0.435669999999998</c:v>
                </c:pt>
                <c:pt idx="2789">
                  <c:v>0.435669999999998</c:v>
                </c:pt>
                <c:pt idx="2790">
                  <c:v>0.435669999999998</c:v>
                </c:pt>
                <c:pt idx="2791">
                  <c:v>0.43258999999999798</c:v>
                </c:pt>
                <c:pt idx="2792">
                  <c:v>0.43258999999999798</c:v>
                </c:pt>
                <c:pt idx="2793">
                  <c:v>0.43258999999999798</c:v>
                </c:pt>
                <c:pt idx="2794">
                  <c:v>0.43258999999999798</c:v>
                </c:pt>
                <c:pt idx="2795">
                  <c:v>0.43258999999999798</c:v>
                </c:pt>
                <c:pt idx="2796">
                  <c:v>0.43258999999999798</c:v>
                </c:pt>
                <c:pt idx="2797">
                  <c:v>0.43258999999999798</c:v>
                </c:pt>
                <c:pt idx="2798">
                  <c:v>0.43258999999999798</c:v>
                </c:pt>
                <c:pt idx="2799">
                  <c:v>0.43258999999999798</c:v>
                </c:pt>
                <c:pt idx="2800">
                  <c:v>0.43258999999999798</c:v>
                </c:pt>
                <c:pt idx="2801">
                  <c:v>0.43258999999999798</c:v>
                </c:pt>
                <c:pt idx="2802">
                  <c:v>0.43258999999999798</c:v>
                </c:pt>
                <c:pt idx="2803">
                  <c:v>0.43258999999999798</c:v>
                </c:pt>
                <c:pt idx="2804">
                  <c:v>0.43513999999999797</c:v>
                </c:pt>
                <c:pt idx="2805">
                  <c:v>0.43513999999999797</c:v>
                </c:pt>
                <c:pt idx="2806">
                  <c:v>0.43513999999999797</c:v>
                </c:pt>
                <c:pt idx="2807">
                  <c:v>0.43513999999999797</c:v>
                </c:pt>
                <c:pt idx="2808">
                  <c:v>0.43513999999999797</c:v>
                </c:pt>
                <c:pt idx="2809">
                  <c:v>0.43513999999999797</c:v>
                </c:pt>
                <c:pt idx="2810">
                  <c:v>0.43513999999999797</c:v>
                </c:pt>
                <c:pt idx="2811">
                  <c:v>0.43513999999999797</c:v>
                </c:pt>
                <c:pt idx="2812">
                  <c:v>0.43513999999999797</c:v>
                </c:pt>
                <c:pt idx="2813">
                  <c:v>0.43513999999999797</c:v>
                </c:pt>
                <c:pt idx="2814">
                  <c:v>0.43513999999999797</c:v>
                </c:pt>
                <c:pt idx="2815">
                  <c:v>0.43513999999999797</c:v>
                </c:pt>
                <c:pt idx="2816">
                  <c:v>0.43513999999999797</c:v>
                </c:pt>
                <c:pt idx="2817">
                  <c:v>0.43513999999999797</c:v>
                </c:pt>
                <c:pt idx="2818">
                  <c:v>0.43513999999999797</c:v>
                </c:pt>
                <c:pt idx="2819">
                  <c:v>0.43513999999999797</c:v>
                </c:pt>
                <c:pt idx="2820">
                  <c:v>0.43513999999999797</c:v>
                </c:pt>
                <c:pt idx="2821">
                  <c:v>0.43513999999999797</c:v>
                </c:pt>
                <c:pt idx="2822">
                  <c:v>0.43513999999999797</c:v>
                </c:pt>
                <c:pt idx="2823">
                  <c:v>0.43513999999999797</c:v>
                </c:pt>
                <c:pt idx="2824">
                  <c:v>0.43513999999999797</c:v>
                </c:pt>
                <c:pt idx="2825">
                  <c:v>0.43513999999999797</c:v>
                </c:pt>
                <c:pt idx="2826">
                  <c:v>0.43513999999999797</c:v>
                </c:pt>
                <c:pt idx="2827">
                  <c:v>0.43513999999999797</c:v>
                </c:pt>
                <c:pt idx="2828">
                  <c:v>0.43513999999999797</c:v>
                </c:pt>
                <c:pt idx="2829">
                  <c:v>0.441219999999998</c:v>
                </c:pt>
                <c:pt idx="2830">
                  <c:v>0.441219999999998</c:v>
                </c:pt>
                <c:pt idx="2831">
                  <c:v>0.441219999999998</c:v>
                </c:pt>
                <c:pt idx="2832">
                  <c:v>0.441219999999998</c:v>
                </c:pt>
                <c:pt idx="2833">
                  <c:v>0.441219999999998</c:v>
                </c:pt>
                <c:pt idx="2834">
                  <c:v>0.441219999999998</c:v>
                </c:pt>
                <c:pt idx="2835">
                  <c:v>0.441219999999998</c:v>
                </c:pt>
                <c:pt idx="2836">
                  <c:v>0.441219999999998</c:v>
                </c:pt>
                <c:pt idx="2837">
                  <c:v>0.441219999999998</c:v>
                </c:pt>
                <c:pt idx="2838">
                  <c:v>0.441219999999998</c:v>
                </c:pt>
                <c:pt idx="2839">
                  <c:v>0.441219999999998</c:v>
                </c:pt>
                <c:pt idx="2840">
                  <c:v>0.441219999999998</c:v>
                </c:pt>
                <c:pt idx="2841">
                  <c:v>0.441219999999998</c:v>
                </c:pt>
                <c:pt idx="2842">
                  <c:v>0.441219999999998</c:v>
                </c:pt>
                <c:pt idx="2843">
                  <c:v>0.441219999999998</c:v>
                </c:pt>
                <c:pt idx="2844">
                  <c:v>0.441219999999998</c:v>
                </c:pt>
                <c:pt idx="2845">
                  <c:v>0.441219999999998</c:v>
                </c:pt>
                <c:pt idx="2846">
                  <c:v>0.441219999999998</c:v>
                </c:pt>
                <c:pt idx="2847">
                  <c:v>0.441219999999998</c:v>
                </c:pt>
                <c:pt idx="2848">
                  <c:v>0.441219999999998</c:v>
                </c:pt>
                <c:pt idx="2849">
                  <c:v>0.441219999999998</c:v>
                </c:pt>
                <c:pt idx="2850">
                  <c:v>0.441219999999998</c:v>
                </c:pt>
                <c:pt idx="2851">
                  <c:v>0.441219999999998</c:v>
                </c:pt>
                <c:pt idx="2852">
                  <c:v>0.441219999999998</c:v>
                </c:pt>
                <c:pt idx="2853">
                  <c:v>0.441219999999998</c:v>
                </c:pt>
                <c:pt idx="2854">
                  <c:v>0.441219999999998</c:v>
                </c:pt>
                <c:pt idx="2855">
                  <c:v>0.441219999999998</c:v>
                </c:pt>
                <c:pt idx="2856">
                  <c:v>0.441219999999998</c:v>
                </c:pt>
                <c:pt idx="2857">
                  <c:v>0.441219999999998</c:v>
                </c:pt>
                <c:pt idx="2858">
                  <c:v>0.441219999999998</c:v>
                </c:pt>
                <c:pt idx="2859">
                  <c:v>0.441219999999998</c:v>
                </c:pt>
                <c:pt idx="2860">
                  <c:v>0.441219999999998</c:v>
                </c:pt>
                <c:pt idx="2861">
                  <c:v>0.441219999999998</c:v>
                </c:pt>
                <c:pt idx="2862">
                  <c:v>0.441219999999998</c:v>
                </c:pt>
                <c:pt idx="2863">
                  <c:v>0.441219999999998</c:v>
                </c:pt>
                <c:pt idx="2864">
                  <c:v>0.441219999999998</c:v>
                </c:pt>
                <c:pt idx="2865">
                  <c:v>0.441219999999998</c:v>
                </c:pt>
                <c:pt idx="2866">
                  <c:v>0.441219999999998</c:v>
                </c:pt>
                <c:pt idx="2867">
                  <c:v>0.441219999999998</c:v>
                </c:pt>
                <c:pt idx="2868">
                  <c:v>0.441219999999998</c:v>
                </c:pt>
                <c:pt idx="2869">
                  <c:v>0.441219999999998</c:v>
                </c:pt>
                <c:pt idx="2870">
                  <c:v>0.441219999999998</c:v>
                </c:pt>
                <c:pt idx="2871">
                  <c:v>0.441219999999998</c:v>
                </c:pt>
                <c:pt idx="2872">
                  <c:v>0.441219999999998</c:v>
                </c:pt>
                <c:pt idx="2873">
                  <c:v>0.441219999999998</c:v>
                </c:pt>
                <c:pt idx="2874">
                  <c:v>0.441219999999998</c:v>
                </c:pt>
                <c:pt idx="2875">
                  <c:v>0.441219999999998</c:v>
                </c:pt>
                <c:pt idx="2876">
                  <c:v>0.441219999999998</c:v>
                </c:pt>
                <c:pt idx="2877">
                  <c:v>0.446429999999998</c:v>
                </c:pt>
                <c:pt idx="2878">
                  <c:v>0.446429999999998</c:v>
                </c:pt>
                <c:pt idx="2879">
                  <c:v>0.446429999999998</c:v>
                </c:pt>
                <c:pt idx="2880">
                  <c:v>0.446429999999998</c:v>
                </c:pt>
                <c:pt idx="2881">
                  <c:v>0.446429999999998</c:v>
                </c:pt>
                <c:pt idx="2882">
                  <c:v>0.446429999999998</c:v>
                </c:pt>
                <c:pt idx="2883">
                  <c:v>0.446429999999998</c:v>
                </c:pt>
                <c:pt idx="2884">
                  <c:v>0.446429999999998</c:v>
                </c:pt>
                <c:pt idx="2885">
                  <c:v>0.446429999999998</c:v>
                </c:pt>
                <c:pt idx="2886">
                  <c:v>0.446429999999998</c:v>
                </c:pt>
                <c:pt idx="2887">
                  <c:v>0.446429999999998</c:v>
                </c:pt>
                <c:pt idx="2888">
                  <c:v>0.446429999999998</c:v>
                </c:pt>
                <c:pt idx="2889">
                  <c:v>0.446429999999998</c:v>
                </c:pt>
                <c:pt idx="2890">
                  <c:v>0.446429999999998</c:v>
                </c:pt>
                <c:pt idx="2891">
                  <c:v>0.446429999999998</c:v>
                </c:pt>
                <c:pt idx="2892">
                  <c:v>0.446429999999998</c:v>
                </c:pt>
                <c:pt idx="2893">
                  <c:v>0.446429999999998</c:v>
                </c:pt>
                <c:pt idx="2894">
                  <c:v>0.446429999999998</c:v>
                </c:pt>
                <c:pt idx="2895">
                  <c:v>0.446429999999998</c:v>
                </c:pt>
                <c:pt idx="2896">
                  <c:v>0.446429999999998</c:v>
                </c:pt>
                <c:pt idx="2897">
                  <c:v>0.446429999999998</c:v>
                </c:pt>
                <c:pt idx="2898">
                  <c:v>0.446429999999998</c:v>
                </c:pt>
                <c:pt idx="2899">
                  <c:v>0.446429999999998</c:v>
                </c:pt>
                <c:pt idx="2900">
                  <c:v>0.446429999999998</c:v>
                </c:pt>
                <c:pt idx="2901">
                  <c:v>0.446429999999998</c:v>
                </c:pt>
                <c:pt idx="2902">
                  <c:v>0.446429999999998</c:v>
                </c:pt>
                <c:pt idx="2903">
                  <c:v>0.446429999999998</c:v>
                </c:pt>
                <c:pt idx="2904">
                  <c:v>0.446429999999998</c:v>
                </c:pt>
                <c:pt idx="2905">
                  <c:v>0.446429999999998</c:v>
                </c:pt>
                <c:pt idx="2906">
                  <c:v>0.446429999999998</c:v>
                </c:pt>
                <c:pt idx="2907">
                  <c:v>0.446429999999998</c:v>
                </c:pt>
                <c:pt idx="2908">
                  <c:v>0.446429999999998</c:v>
                </c:pt>
                <c:pt idx="2909">
                  <c:v>0.446429999999998</c:v>
                </c:pt>
                <c:pt idx="2910">
                  <c:v>0.446429999999998</c:v>
                </c:pt>
                <c:pt idx="2911">
                  <c:v>0.446429999999998</c:v>
                </c:pt>
                <c:pt idx="2912">
                  <c:v>0.446429999999998</c:v>
                </c:pt>
                <c:pt idx="2913">
                  <c:v>0.446429999999998</c:v>
                </c:pt>
                <c:pt idx="2914">
                  <c:v>0.446429999999998</c:v>
                </c:pt>
                <c:pt idx="2915">
                  <c:v>0.446429999999998</c:v>
                </c:pt>
                <c:pt idx="2916">
                  <c:v>0.446429999999998</c:v>
                </c:pt>
                <c:pt idx="2917">
                  <c:v>0.446429999999998</c:v>
                </c:pt>
                <c:pt idx="2918">
                  <c:v>0.446429999999998</c:v>
                </c:pt>
                <c:pt idx="2919">
                  <c:v>0.446429999999998</c:v>
                </c:pt>
                <c:pt idx="2920">
                  <c:v>0.446429999999998</c:v>
                </c:pt>
                <c:pt idx="2921">
                  <c:v>0.446429999999998</c:v>
                </c:pt>
                <c:pt idx="2922">
                  <c:v>0.446429999999998</c:v>
                </c:pt>
                <c:pt idx="2923">
                  <c:v>0.446429999999998</c:v>
                </c:pt>
                <c:pt idx="2924">
                  <c:v>0.446429999999998</c:v>
                </c:pt>
                <c:pt idx="2925">
                  <c:v>0.446429999999998</c:v>
                </c:pt>
                <c:pt idx="2926">
                  <c:v>0.446429999999998</c:v>
                </c:pt>
                <c:pt idx="2927">
                  <c:v>0.446429999999998</c:v>
                </c:pt>
                <c:pt idx="2928">
                  <c:v>0.446429999999998</c:v>
                </c:pt>
                <c:pt idx="2929">
                  <c:v>0.446429999999998</c:v>
                </c:pt>
                <c:pt idx="2930">
                  <c:v>0.446429999999998</c:v>
                </c:pt>
                <c:pt idx="2931">
                  <c:v>0.44697999999999799</c:v>
                </c:pt>
                <c:pt idx="2932">
                  <c:v>0.44697999999999799</c:v>
                </c:pt>
                <c:pt idx="2933">
                  <c:v>0.44697999999999799</c:v>
                </c:pt>
                <c:pt idx="2934">
                  <c:v>0.45595999999999798</c:v>
                </c:pt>
                <c:pt idx="2935">
                  <c:v>0.45595999999999798</c:v>
                </c:pt>
                <c:pt idx="2936">
                  <c:v>0.45595999999999798</c:v>
                </c:pt>
                <c:pt idx="2937">
                  <c:v>0.45595999999999798</c:v>
                </c:pt>
                <c:pt idx="2938">
                  <c:v>0.45595999999999798</c:v>
                </c:pt>
                <c:pt idx="2939">
                  <c:v>0.45595999999999798</c:v>
                </c:pt>
                <c:pt idx="2940">
                  <c:v>0.45595999999999798</c:v>
                </c:pt>
                <c:pt idx="2941">
                  <c:v>0.45595999999999798</c:v>
                </c:pt>
                <c:pt idx="2942">
                  <c:v>0.45595999999999798</c:v>
                </c:pt>
                <c:pt idx="2943">
                  <c:v>0.45595999999999798</c:v>
                </c:pt>
                <c:pt idx="2944">
                  <c:v>0.44660999999999801</c:v>
                </c:pt>
                <c:pt idx="2945">
                  <c:v>0.44660999999999801</c:v>
                </c:pt>
                <c:pt idx="2946">
                  <c:v>0.44660999999999801</c:v>
                </c:pt>
                <c:pt idx="2947">
                  <c:v>0.44660999999999801</c:v>
                </c:pt>
                <c:pt idx="2948">
                  <c:v>0.44660999999999801</c:v>
                </c:pt>
                <c:pt idx="2949">
                  <c:v>0.44660999999999801</c:v>
                </c:pt>
                <c:pt idx="2950">
                  <c:v>0.44660999999999801</c:v>
                </c:pt>
                <c:pt idx="2951">
                  <c:v>0.44660999999999801</c:v>
                </c:pt>
                <c:pt idx="2952">
                  <c:v>0.44660999999999801</c:v>
                </c:pt>
                <c:pt idx="2953">
                  <c:v>0.44660999999999801</c:v>
                </c:pt>
                <c:pt idx="2954">
                  <c:v>0.44660999999999801</c:v>
                </c:pt>
                <c:pt idx="2955">
                  <c:v>0.44660999999999801</c:v>
                </c:pt>
                <c:pt idx="2956">
                  <c:v>0.44660999999999801</c:v>
                </c:pt>
                <c:pt idx="2957">
                  <c:v>0.44660999999999801</c:v>
                </c:pt>
                <c:pt idx="2958">
                  <c:v>0.44660999999999801</c:v>
                </c:pt>
                <c:pt idx="2959">
                  <c:v>0.44660999999999801</c:v>
                </c:pt>
                <c:pt idx="2960">
                  <c:v>0.44660999999999801</c:v>
                </c:pt>
                <c:pt idx="2961">
                  <c:v>0.44660999999999801</c:v>
                </c:pt>
                <c:pt idx="2962">
                  <c:v>0.44660999999999801</c:v>
                </c:pt>
                <c:pt idx="2963">
                  <c:v>0.44660999999999801</c:v>
                </c:pt>
                <c:pt idx="2964">
                  <c:v>0.44660999999999801</c:v>
                </c:pt>
                <c:pt idx="2965">
                  <c:v>0.44660999999999801</c:v>
                </c:pt>
                <c:pt idx="2966">
                  <c:v>0.44660999999999801</c:v>
                </c:pt>
                <c:pt idx="2967">
                  <c:v>0.44660999999999801</c:v>
                </c:pt>
                <c:pt idx="2968">
                  <c:v>0.44660999999999801</c:v>
                </c:pt>
                <c:pt idx="2969">
                  <c:v>0.44660999999999801</c:v>
                </c:pt>
                <c:pt idx="2970">
                  <c:v>0.44660999999999801</c:v>
                </c:pt>
                <c:pt idx="2971">
                  <c:v>0.44660999999999801</c:v>
                </c:pt>
                <c:pt idx="2972">
                  <c:v>0.44660999999999801</c:v>
                </c:pt>
                <c:pt idx="2973">
                  <c:v>0.44444999999999801</c:v>
                </c:pt>
                <c:pt idx="2974">
                  <c:v>0.44444999999999801</c:v>
                </c:pt>
                <c:pt idx="2975">
                  <c:v>0.44444999999999801</c:v>
                </c:pt>
                <c:pt idx="2976">
                  <c:v>0.44444999999999801</c:v>
                </c:pt>
                <c:pt idx="2977">
                  <c:v>0.44444999999999801</c:v>
                </c:pt>
                <c:pt idx="2978">
                  <c:v>0.43944999999999801</c:v>
                </c:pt>
                <c:pt idx="2979">
                  <c:v>0.43944999999999801</c:v>
                </c:pt>
                <c:pt idx="2980">
                  <c:v>0.43944999999999801</c:v>
                </c:pt>
                <c:pt idx="2981">
                  <c:v>0.43944999999999801</c:v>
                </c:pt>
                <c:pt idx="2982">
                  <c:v>0.43944999999999801</c:v>
                </c:pt>
                <c:pt idx="2983">
                  <c:v>0.43944999999999801</c:v>
                </c:pt>
                <c:pt idx="2984">
                  <c:v>0.43944999999999801</c:v>
                </c:pt>
                <c:pt idx="2985">
                  <c:v>0.43944999999999801</c:v>
                </c:pt>
                <c:pt idx="2986">
                  <c:v>0.43944999999999801</c:v>
                </c:pt>
                <c:pt idx="2987">
                  <c:v>0.43944999999999801</c:v>
                </c:pt>
                <c:pt idx="2988">
                  <c:v>0.43944999999999801</c:v>
                </c:pt>
                <c:pt idx="2989">
                  <c:v>0.44819999999999799</c:v>
                </c:pt>
                <c:pt idx="2990">
                  <c:v>0.44819999999999799</c:v>
                </c:pt>
                <c:pt idx="2991">
                  <c:v>0.44819999999999799</c:v>
                </c:pt>
                <c:pt idx="2992">
                  <c:v>0.44819999999999799</c:v>
                </c:pt>
                <c:pt idx="2993">
                  <c:v>0.44819999999999799</c:v>
                </c:pt>
                <c:pt idx="2994">
                  <c:v>0.44819999999999799</c:v>
                </c:pt>
                <c:pt idx="2995">
                  <c:v>0.44819999999999799</c:v>
                </c:pt>
                <c:pt idx="2996">
                  <c:v>0.44200999999999802</c:v>
                </c:pt>
                <c:pt idx="2997">
                  <c:v>0.44200999999999802</c:v>
                </c:pt>
                <c:pt idx="2998">
                  <c:v>0.44200999999999802</c:v>
                </c:pt>
                <c:pt idx="2999">
                  <c:v>0.44403999999999799</c:v>
                </c:pt>
                <c:pt idx="3000">
                  <c:v>0.44403999999999799</c:v>
                </c:pt>
                <c:pt idx="3001">
                  <c:v>0.45754999999999801</c:v>
                </c:pt>
                <c:pt idx="3002">
                  <c:v>0.45754999999999801</c:v>
                </c:pt>
                <c:pt idx="3003">
                  <c:v>0.45754999999999801</c:v>
                </c:pt>
                <c:pt idx="3004">
                  <c:v>0.45754999999999801</c:v>
                </c:pt>
                <c:pt idx="3005">
                  <c:v>0.45754999999999801</c:v>
                </c:pt>
                <c:pt idx="3006">
                  <c:v>0.45754999999999801</c:v>
                </c:pt>
                <c:pt idx="3007">
                  <c:v>0.45754999999999801</c:v>
                </c:pt>
                <c:pt idx="3008">
                  <c:v>0.45754999999999801</c:v>
                </c:pt>
                <c:pt idx="3009">
                  <c:v>0.45754999999999801</c:v>
                </c:pt>
                <c:pt idx="3010">
                  <c:v>0.45754999999999801</c:v>
                </c:pt>
                <c:pt idx="3011">
                  <c:v>0.45754999999999801</c:v>
                </c:pt>
                <c:pt idx="3012">
                  <c:v>0.45754999999999801</c:v>
                </c:pt>
                <c:pt idx="3013">
                  <c:v>0.45754999999999801</c:v>
                </c:pt>
                <c:pt idx="3014">
                  <c:v>0.45754999999999801</c:v>
                </c:pt>
                <c:pt idx="3015">
                  <c:v>0.45754999999999801</c:v>
                </c:pt>
                <c:pt idx="3016">
                  <c:v>0.45754999999999801</c:v>
                </c:pt>
                <c:pt idx="3017">
                  <c:v>0.45754999999999801</c:v>
                </c:pt>
                <c:pt idx="3018">
                  <c:v>0.45754999999999801</c:v>
                </c:pt>
                <c:pt idx="3019">
                  <c:v>0.45754999999999801</c:v>
                </c:pt>
                <c:pt idx="3020">
                  <c:v>0.45754999999999801</c:v>
                </c:pt>
                <c:pt idx="3021">
                  <c:v>0.454259999999998</c:v>
                </c:pt>
                <c:pt idx="3022">
                  <c:v>0.454259999999998</c:v>
                </c:pt>
                <c:pt idx="3023">
                  <c:v>0.454259999999998</c:v>
                </c:pt>
                <c:pt idx="3024">
                  <c:v>0.454259999999998</c:v>
                </c:pt>
                <c:pt idx="3025">
                  <c:v>0.454259999999998</c:v>
                </c:pt>
                <c:pt idx="3026">
                  <c:v>0.454259999999998</c:v>
                </c:pt>
                <c:pt idx="3027">
                  <c:v>0.454259999999998</c:v>
                </c:pt>
                <c:pt idx="3028">
                  <c:v>0.454259999999998</c:v>
                </c:pt>
                <c:pt idx="3029">
                  <c:v>0.454259999999998</c:v>
                </c:pt>
                <c:pt idx="3030">
                  <c:v>0.454259999999998</c:v>
                </c:pt>
                <c:pt idx="3031">
                  <c:v>0.454259999999998</c:v>
                </c:pt>
                <c:pt idx="3032">
                  <c:v>0.454259999999998</c:v>
                </c:pt>
                <c:pt idx="3033">
                  <c:v>0.45948999999999801</c:v>
                </c:pt>
                <c:pt idx="3034">
                  <c:v>0.44974999999999798</c:v>
                </c:pt>
                <c:pt idx="3035">
                  <c:v>0.44974999999999798</c:v>
                </c:pt>
                <c:pt idx="3036">
                  <c:v>0.44974999999999798</c:v>
                </c:pt>
                <c:pt idx="3037">
                  <c:v>0.44974999999999798</c:v>
                </c:pt>
                <c:pt idx="3038">
                  <c:v>0.44974999999999798</c:v>
                </c:pt>
                <c:pt idx="3039">
                  <c:v>0.44974999999999798</c:v>
                </c:pt>
                <c:pt idx="3040">
                  <c:v>0.44974999999999798</c:v>
                </c:pt>
                <c:pt idx="3041">
                  <c:v>0.44974999999999798</c:v>
                </c:pt>
                <c:pt idx="3042">
                  <c:v>0.44153999999999799</c:v>
                </c:pt>
                <c:pt idx="3043">
                  <c:v>0.44153999999999799</c:v>
                </c:pt>
                <c:pt idx="3044">
                  <c:v>0.44153999999999799</c:v>
                </c:pt>
                <c:pt idx="3045">
                  <c:v>0.44153999999999799</c:v>
                </c:pt>
                <c:pt idx="3046">
                  <c:v>0.44153999999999799</c:v>
                </c:pt>
                <c:pt idx="3047">
                  <c:v>0.44153999999999799</c:v>
                </c:pt>
                <c:pt idx="3048">
                  <c:v>0.44153999999999799</c:v>
                </c:pt>
                <c:pt idx="3049">
                  <c:v>0.44153999999999799</c:v>
                </c:pt>
                <c:pt idx="3050">
                  <c:v>0.44153999999999799</c:v>
                </c:pt>
                <c:pt idx="3051">
                  <c:v>0.44153999999999799</c:v>
                </c:pt>
                <c:pt idx="3052">
                  <c:v>0.44153999999999799</c:v>
                </c:pt>
                <c:pt idx="3053">
                  <c:v>0.44153999999999799</c:v>
                </c:pt>
                <c:pt idx="3054">
                  <c:v>0.44153999999999799</c:v>
                </c:pt>
                <c:pt idx="3055">
                  <c:v>0.44153999999999799</c:v>
                </c:pt>
                <c:pt idx="3056">
                  <c:v>0.44153999999999799</c:v>
                </c:pt>
                <c:pt idx="3057">
                  <c:v>0.44153999999999799</c:v>
                </c:pt>
                <c:pt idx="3058">
                  <c:v>0.44153999999999799</c:v>
                </c:pt>
                <c:pt idx="3059">
                  <c:v>0.44153999999999799</c:v>
                </c:pt>
                <c:pt idx="3060">
                  <c:v>0.44996999999999798</c:v>
                </c:pt>
                <c:pt idx="3061">
                  <c:v>0.44996999999999798</c:v>
                </c:pt>
                <c:pt idx="3062">
                  <c:v>0.44996999999999798</c:v>
                </c:pt>
                <c:pt idx="3063">
                  <c:v>0.44996999999999798</c:v>
                </c:pt>
                <c:pt idx="3064">
                  <c:v>0.44996999999999798</c:v>
                </c:pt>
                <c:pt idx="3065">
                  <c:v>0.44996999999999798</c:v>
                </c:pt>
                <c:pt idx="3066">
                  <c:v>0.44996999999999798</c:v>
                </c:pt>
                <c:pt idx="3067">
                  <c:v>0.44996999999999798</c:v>
                </c:pt>
                <c:pt idx="3068">
                  <c:v>0.44996999999999798</c:v>
                </c:pt>
                <c:pt idx="3069">
                  <c:v>0.44996999999999798</c:v>
                </c:pt>
                <c:pt idx="3070">
                  <c:v>0.44996999999999798</c:v>
                </c:pt>
                <c:pt idx="3071">
                  <c:v>0.44996999999999798</c:v>
                </c:pt>
                <c:pt idx="3072">
                  <c:v>0.44996999999999798</c:v>
                </c:pt>
                <c:pt idx="3073">
                  <c:v>0.44996999999999798</c:v>
                </c:pt>
                <c:pt idx="3074">
                  <c:v>0.45755999999999802</c:v>
                </c:pt>
                <c:pt idx="3075">
                  <c:v>0.45755999999999802</c:v>
                </c:pt>
                <c:pt idx="3076">
                  <c:v>0.45755999999999802</c:v>
                </c:pt>
                <c:pt idx="3077">
                  <c:v>0.45755999999999802</c:v>
                </c:pt>
                <c:pt idx="3078">
                  <c:v>0.45755999999999802</c:v>
                </c:pt>
                <c:pt idx="3079">
                  <c:v>0.45755999999999802</c:v>
                </c:pt>
                <c:pt idx="3080">
                  <c:v>0.45755999999999802</c:v>
                </c:pt>
                <c:pt idx="3081">
                  <c:v>0.45755999999999802</c:v>
                </c:pt>
                <c:pt idx="3082">
                  <c:v>0.45755999999999802</c:v>
                </c:pt>
                <c:pt idx="3083">
                  <c:v>0.45878999999999798</c:v>
                </c:pt>
                <c:pt idx="3084">
                  <c:v>0.45878999999999798</c:v>
                </c:pt>
                <c:pt idx="3085">
                  <c:v>0.45878999999999798</c:v>
                </c:pt>
                <c:pt idx="3086">
                  <c:v>0.45878999999999798</c:v>
                </c:pt>
                <c:pt idx="3087">
                  <c:v>0.45878999999999798</c:v>
                </c:pt>
                <c:pt idx="3088">
                  <c:v>0.45878999999999798</c:v>
                </c:pt>
                <c:pt idx="3089">
                  <c:v>0.45878999999999798</c:v>
                </c:pt>
                <c:pt idx="3090">
                  <c:v>0.45878999999999798</c:v>
                </c:pt>
                <c:pt idx="3091">
                  <c:v>0.45878999999999798</c:v>
                </c:pt>
                <c:pt idx="3092">
                  <c:v>0.45878999999999798</c:v>
                </c:pt>
                <c:pt idx="3093">
                  <c:v>0.45878999999999798</c:v>
                </c:pt>
                <c:pt idx="3094">
                  <c:v>0.45878999999999798</c:v>
                </c:pt>
                <c:pt idx="3095">
                  <c:v>0.45878999999999798</c:v>
                </c:pt>
                <c:pt idx="3096">
                  <c:v>0.45878999999999798</c:v>
                </c:pt>
                <c:pt idx="3097">
                  <c:v>0.45878999999999798</c:v>
                </c:pt>
                <c:pt idx="3098">
                  <c:v>0.45878999999999798</c:v>
                </c:pt>
                <c:pt idx="3099">
                  <c:v>0.45878999999999798</c:v>
                </c:pt>
                <c:pt idx="3100">
                  <c:v>0.45878999999999798</c:v>
                </c:pt>
                <c:pt idx="3101">
                  <c:v>0.45878999999999798</c:v>
                </c:pt>
                <c:pt idx="3102">
                  <c:v>0.45878999999999798</c:v>
                </c:pt>
                <c:pt idx="3103">
                  <c:v>0.45549999999999802</c:v>
                </c:pt>
                <c:pt idx="3104">
                  <c:v>0.45549999999999802</c:v>
                </c:pt>
                <c:pt idx="3105">
                  <c:v>0.45549999999999802</c:v>
                </c:pt>
                <c:pt idx="3106">
                  <c:v>0.45549999999999802</c:v>
                </c:pt>
                <c:pt idx="3107">
                  <c:v>0.45549999999999802</c:v>
                </c:pt>
                <c:pt idx="3108">
                  <c:v>0.45549999999999802</c:v>
                </c:pt>
                <c:pt idx="3109">
                  <c:v>0.45549999999999802</c:v>
                </c:pt>
                <c:pt idx="3110">
                  <c:v>0.45549999999999802</c:v>
                </c:pt>
                <c:pt idx="3111">
                  <c:v>0.45549999999999802</c:v>
                </c:pt>
                <c:pt idx="3112">
                  <c:v>0.45549999999999802</c:v>
                </c:pt>
                <c:pt idx="3113">
                  <c:v>0.45549999999999802</c:v>
                </c:pt>
                <c:pt idx="3114">
                  <c:v>0.45549999999999802</c:v>
                </c:pt>
                <c:pt idx="3115">
                  <c:v>0.45549999999999802</c:v>
                </c:pt>
                <c:pt idx="3116">
                  <c:v>0.45549999999999802</c:v>
                </c:pt>
                <c:pt idx="3117">
                  <c:v>0.45549999999999802</c:v>
                </c:pt>
                <c:pt idx="3118">
                  <c:v>0.45549999999999802</c:v>
                </c:pt>
                <c:pt idx="3119">
                  <c:v>0.45549999999999802</c:v>
                </c:pt>
                <c:pt idx="3120">
                  <c:v>0.45549999999999802</c:v>
                </c:pt>
                <c:pt idx="3121">
                  <c:v>0.45549999999999802</c:v>
                </c:pt>
                <c:pt idx="3122">
                  <c:v>0.45549999999999802</c:v>
                </c:pt>
                <c:pt idx="3123">
                  <c:v>0.45549999999999802</c:v>
                </c:pt>
                <c:pt idx="3124">
                  <c:v>0.45549999999999802</c:v>
                </c:pt>
                <c:pt idx="3125">
                  <c:v>0.45549999999999802</c:v>
                </c:pt>
                <c:pt idx="3126">
                  <c:v>0.45549999999999802</c:v>
                </c:pt>
                <c:pt idx="3127">
                  <c:v>0.45549999999999802</c:v>
                </c:pt>
                <c:pt idx="3128">
                  <c:v>0.45549999999999802</c:v>
                </c:pt>
                <c:pt idx="3129">
                  <c:v>0.45549999999999802</c:v>
                </c:pt>
                <c:pt idx="3130">
                  <c:v>0.45549999999999802</c:v>
                </c:pt>
                <c:pt idx="3131">
                  <c:v>0.45549999999999802</c:v>
                </c:pt>
                <c:pt idx="3132">
                  <c:v>0.45549999999999802</c:v>
                </c:pt>
                <c:pt idx="3133">
                  <c:v>0.45549999999999802</c:v>
                </c:pt>
                <c:pt idx="3134">
                  <c:v>0.45549999999999802</c:v>
                </c:pt>
                <c:pt idx="3135">
                  <c:v>0.45549999999999802</c:v>
                </c:pt>
                <c:pt idx="3136">
                  <c:v>0.45549999999999802</c:v>
                </c:pt>
                <c:pt idx="3137">
                  <c:v>0.45549999999999802</c:v>
                </c:pt>
                <c:pt idx="3138">
                  <c:v>0.45549999999999802</c:v>
                </c:pt>
                <c:pt idx="3139">
                  <c:v>0.45549999999999802</c:v>
                </c:pt>
                <c:pt idx="3140">
                  <c:v>0.45549999999999802</c:v>
                </c:pt>
                <c:pt idx="3141">
                  <c:v>0.45549999999999802</c:v>
                </c:pt>
                <c:pt idx="3142">
                  <c:v>0.45549999999999802</c:v>
                </c:pt>
                <c:pt idx="3143">
                  <c:v>0.45549999999999802</c:v>
                </c:pt>
                <c:pt idx="3144">
                  <c:v>0.45549999999999802</c:v>
                </c:pt>
                <c:pt idx="3145">
                  <c:v>0.45549999999999802</c:v>
                </c:pt>
                <c:pt idx="3146">
                  <c:v>0.45549999999999802</c:v>
                </c:pt>
                <c:pt idx="3147">
                  <c:v>0.45549999999999802</c:v>
                </c:pt>
                <c:pt idx="3148">
                  <c:v>0.45549999999999802</c:v>
                </c:pt>
                <c:pt idx="3149">
                  <c:v>0.45549999999999802</c:v>
                </c:pt>
                <c:pt idx="3150">
                  <c:v>0.45549999999999802</c:v>
                </c:pt>
                <c:pt idx="3151">
                  <c:v>0.45549999999999802</c:v>
                </c:pt>
                <c:pt idx="3152">
                  <c:v>0.45549999999999802</c:v>
                </c:pt>
                <c:pt idx="3153">
                  <c:v>0.45549999999999802</c:v>
                </c:pt>
                <c:pt idx="3154">
                  <c:v>0.45549999999999802</c:v>
                </c:pt>
                <c:pt idx="3155">
                  <c:v>0.46055999999999803</c:v>
                </c:pt>
                <c:pt idx="3156">
                  <c:v>0.46055999999999803</c:v>
                </c:pt>
                <c:pt idx="3157">
                  <c:v>0.458149999999998</c:v>
                </c:pt>
                <c:pt idx="3158">
                  <c:v>0.458149999999998</c:v>
                </c:pt>
                <c:pt idx="3159">
                  <c:v>0.458149999999998</c:v>
                </c:pt>
                <c:pt idx="3160">
                  <c:v>0.458149999999998</c:v>
                </c:pt>
                <c:pt idx="3161">
                  <c:v>0.458149999999998</c:v>
                </c:pt>
                <c:pt idx="3162">
                  <c:v>0.458149999999998</c:v>
                </c:pt>
                <c:pt idx="3163">
                  <c:v>0.458149999999998</c:v>
                </c:pt>
                <c:pt idx="3164">
                  <c:v>0.458149999999998</c:v>
                </c:pt>
                <c:pt idx="3165">
                  <c:v>0.458149999999998</c:v>
                </c:pt>
                <c:pt idx="3166">
                  <c:v>0.458149999999998</c:v>
                </c:pt>
                <c:pt idx="3167">
                  <c:v>0.458149999999998</c:v>
                </c:pt>
                <c:pt idx="3168">
                  <c:v>0.458149999999998</c:v>
                </c:pt>
                <c:pt idx="3169">
                  <c:v>0.458149999999998</c:v>
                </c:pt>
                <c:pt idx="3170">
                  <c:v>0.458149999999998</c:v>
                </c:pt>
                <c:pt idx="3171">
                  <c:v>0.458149999999998</c:v>
                </c:pt>
                <c:pt idx="3172">
                  <c:v>0.458149999999998</c:v>
                </c:pt>
                <c:pt idx="3173">
                  <c:v>0.458149999999998</c:v>
                </c:pt>
                <c:pt idx="3174">
                  <c:v>0.458149999999998</c:v>
                </c:pt>
                <c:pt idx="3175">
                  <c:v>0.458149999999998</c:v>
                </c:pt>
                <c:pt idx="3176">
                  <c:v>0.458149999999998</c:v>
                </c:pt>
                <c:pt idx="3177">
                  <c:v>0.45960999999999802</c:v>
                </c:pt>
                <c:pt idx="3178">
                  <c:v>0.45960999999999802</c:v>
                </c:pt>
                <c:pt idx="3179">
                  <c:v>0.45960999999999802</c:v>
                </c:pt>
                <c:pt idx="3180">
                  <c:v>0.45960999999999802</c:v>
                </c:pt>
                <c:pt idx="3181">
                  <c:v>0.45960999999999802</c:v>
                </c:pt>
                <c:pt idx="3182">
                  <c:v>0.46526999999999802</c:v>
                </c:pt>
                <c:pt idx="3183">
                  <c:v>0.46526999999999802</c:v>
                </c:pt>
                <c:pt idx="3184">
                  <c:v>0.46526999999999802</c:v>
                </c:pt>
                <c:pt idx="3185">
                  <c:v>0.46660999999999803</c:v>
                </c:pt>
                <c:pt idx="3186">
                  <c:v>0.46660999999999803</c:v>
                </c:pt>
                <c:pt idx="3187">
                  <c:v>0.46660999999999803</c:v>
                </c:pt>
                <c:pt idx="3188">
                  <c:v>0.46660999999999803</c:v>
                </c:pt>
                <c:pt idx="3189">
                  <c:v>0.46660999999999803</c:v>
                </c:pt>
                <c:pt idx="3190">
                  <c:v>0.46660999999999803</c:v>
                </c:pt>
                <c:pt idx="3191">
                  <c:v>0.46660999999999803</c:v>
                </c:pt>
                <c:pt idx="3192">
                  <c:v>0.46660999999999803</c:v>
                </c:pt>
                <c:pt idx="3193">
                  <c:v>0.46660999999999803</c:v>
                </c:pt>
                <c:pt idx="3194">
                  <c:v>0.46660999999999803</c:v>
                </c:pt>
                <c:pt idx="3195">
                  <c:v>0.46660999999999803</c:v>
                </c:pt>
                <c:pt idx="3196">
                  <c:v>0.46660999999999803</c:v>
                </c:pt>
                <c:pt idx="3197">
                  <c:v>0.46660999999999803</c:v>
                </c:pt>
                <c:pt idx="3198">
                  <c:v>0.46660999999999803</c:v>
                </c:pt>
                <c:pt idx="3199">
                  <c:v>0.46660999999999803</c:v>
                </c:pt>
                <c:pt idx="3200">
                  <c:v>0.46660999999999803</c:v>
                </c:pt>
                <c:pt idx="3201">
                  <c:v>0.46660999999999803</c:v>
                </c:pt>
                <c:pt idx="3202">
                  <c:v>0.46660999999999803</c:v>
                </c:pt>
                <c:pt idx="3203">
                  <c:v>0.46660999999999803</c:v>
                </c:pt>
                <c:pt idx="3204">
                  <c:v>0.46660999999999803</c:v>
                </c:pt>
                <c:pt idx="3205">
                  <c:v>0.46660999999999803</c:v>
                </c:pt>
                <c:pt idx="3206">
                  <c:v>0.46660999999999803</c:v>
                </c:pt>
                <c:pt idx="3207">
                  <c:v>0.46660999999999803</c:v>
                </c:pt>
                <c:pt idx="3208">
                  <c:v>0.46660999999999803</c:v>
                </c:pt>
                <c:pt idx="3209">
                  <c:v>0.46660999999999803</c:v>
                </c:pt>
                <c:pt idx="3210">
                  <c:v>0.46660999999999803</c:v>
                </c:pt>
                <c:pt idx="3211">
                  <c:v>0.46660999999999803</c:v>
                </c:pt>
                <c:pt idx="3212">
                  <c:v>0.46660999999999803</c:v>
                </c:pt>
                <c:pt idx="3213">
                  <c:v>0.46660999999999803</c:v>
                </c:pt>
                <c:pt idx="3214">
                  <c:v>0.46660999999999803</c:v>
                </c:pt>
                <c:pt idx="3215">
                  <c:v>0.46660999999999803</c:v>
                </c:pt>
                <c:pt idx="3216">
                  <c:v>0.46660999999999803</c:v>
                </c:pt>
                <c:pt idx="3217">
                  <c:v>0.46660999999999803</c:v>
                </c:pt>
                <c:pt idx="3218">
                  <c:v>0.46660999999999803</c:v>
                </c:pt>
                <c:pt idx="3219">
                  <c:v>0.46660999999999803</c:v>
                </c:pt>
                <c:pt idx="3220">
                  <c:v>0.46660999999999803</c:v>
                </c:pt>
                <c:pt idx="3221">
                  <c:v>0.46660999999999803</c:v>
                </c:pt>
                <c:pt idx="3222">
                  <c:v>0.46660999999999803</c:v>
                </c:pt>
                <c:pt idx="3223">
                  <c:v>0.46660999999999803</c:v>
                </c:pt>
                <c:pt idx="3224">
                  <c:v>0.46660999999999803</c:v>
                </c:pt>
                <c:pt idx="3225">
                  <c:v>0.46660999999999803</c:v>
                </c:pt>
                <c:pt idx="3226">
                  <c:v>0.46660999999999803</c:v>
                </c:pt>
                <c:pt idx="3227">
                  <c:v>0.46660999999999803</c:v>
                </c:pt>
                <c:pt idx="3228">
                  <c:v>0.46660999999999803</c:v>
                </c:pt>
                <c:pt idx="3229">
                  <c:v>0.46660999999999803</c:v>
                </c:pt>
                <c:pt idx="3230">
                  <c:v>0.46660999999999803</c:v>
                </c:pt>
                <c:pt idx="3231">
                  <c:v>0.46660999999999803</c:v>
                </c:pt>
                <c:pt idx="3232">
                  <c:v>0.46660999999999803</c:v>
                </c:pt>
                <c:pt idx="3233">
                  <c:v>0.46660999999999803</c:v>
                </c:pt>
                <c:pt idx="3234">
                  <c:v>0.46660999999999803</c:v>
                </c:pt>
                <c:pt idx="3235">
                  <c:v>0.46660999999999803</c:v>
                </c:pt>
                <c:pt idx="3236">
                  <c:v>0.46660999999999803</c:v>
                </c:pt>
                <c:pt idx="3237">
                  <c:v>0.46660999999999803</c:v>
                </c:pt>
                <c:pt idx="3238">
                  <c:v>0.46660999999999803</c:v>
                </c:pt>
                <c:pt idx="3239">
                  <c:v>0.46660999999999803</c:v>
                </c:pt>
                <c:pt idx="3240">
                  <c:v>0.46660999999999803</c:v>
                </c:pt>
                <c:pt idx="3241">
                  <c:v>0.46660999999999803</c:v>
                </c:pt>
                <c:pt idx="3242">
                  <c:v>0.462479999999998</c:v>
                </c:pt>
                <c:pt idx="3243">
                  <c:v>0.462479999999998</c:v>
                </c:pt>
                <c:pt idx="3244">
                  <c:v>0.462479999999998</c:v>
                </c:pt>
                <c:pt idx="3245">
                  <c:v>0.462479999999998</c:v>
                </c:pt>
                <c:pt idx="3246">
                  <c:v>0.462479999999998</c:v>
                </c:pt>
                <c:pt idx="3247">
                  <c:v>0.462479999999998</c:v>
                </c:pt>
                <c:pt idx="3248">
                  <c:v>0.462479999999998</c:v>
                </c:pt>
                <c:pt idx="3249">
                  <c:v>0.462479999999998</c:v>
                </c:pt>
                <c:pt idx="3250">
                  <c:v>0.462479999999998</c:v>
                </c:pt>
                <c:pt idx="3251">
                  <c:v>0.462479999999998</c:v>
                </c:pt>
                <c:pt idx="3252">
                  <c:v>0.462479999999998</c:v>
                </c:pt>
                <c:pt idx="3253">
                  <c:v>0.462479999999998</c:v>
                </c:pt>
                <c:pt idx="3254">
                  <c:v>0.462479999999998</c:v>
                </c:pt>
                <c:pt idx="3255">
                  <c:v>0.462479999999998</c:v>
                </c:pt>
                <c:pt idx="3256">
                  <c:v>0.462479999999998</c:v>
                </c:pt>
                <c:pt idx="3257">
                  <c:v>0.462479999999998</c:v>
                </c:pt>
                <c:pt idx="3258">
                  <c:v>0.462479999999998</c:v>
                </c:pt>
                <c:pt idx="3259">
                  <c:v>0.462479999999998</c:v>
                </c:pt>
                <c:pt idx="3260">
                  <c:v>0.462479999999998</c:v>
                </c:pt>
                <c:pt idx="3261">
                  <c:v>0.462479999999998</c:v>
                </c:pt>
                <c:pt idx="3262">
                  <c:v>0.462479999999998</c:v>
                </c:pt>
                <c:pt idx="3263">
                  <c:v>0.462479999999998</c:v>
                </c:pt>
                <c:pt idx="3264">
                  <c:v>0.462479999999998</c:v>
                </c:pt>
                <c:pt idx="3265">
                  <c:v>0.462479999999998</c:v>
                </c:pt>
                <c:pt idx="3266">
                  <c:v>0.462479999999998</c:v>
                </c:pt>
                <c:pt idx="3267">
                  <c:v>0.462479999999998</c:v>
                </c:pt>
                <c:pt idx="3268">
                  <c:v>0.462479999999998</c:v>
                </c:pt>
                <c:pt idx="3269">
                  <c:v>0.462479999999998</c:v>
                </c:pt>
                <c:pt idx="3270">
                  <c:v>0.46550999999999798</c:v>
                </c:pt>
                <c:pt idx="3271">
                  <c:v>0.46550999999999798</c:v>
                </c:pt>
                <c:pt idx="3272">
                  <c:v>0.46550999999999798</c:v>
                </c:pt>
                <c:pt idx="3273">
                  <c:v>0.46550999999999798</c:v>
                </c:pt>
                <c:pt idx="3274">
                  <c:v>0.46550999999999798</c:v>
                </c:pt>
                <c:pt idx="3275">
                  <c:v>0.46550999999999798</c:v>
                </c:pt>
                <c:pt idx="3276">
                  <c:v>0.46550999999999798</c:v>
                </c:pt>
                <c:pt idx="3277">
                  <c:v>0.46550999999999798</c:v>
                </c:pt>
                <c:pt idx="3278">
                  <c:v>0.46550999999999798</c:v>
                </c:pt>
                <c:pt idx="3279">
                  <c:v>0.46550999999999798</c:v>
                </c:pt>
                <c:pt idx="3280">
                  <c:v>0.46550999999999798</c:v>
                </c:pt>
                <c:pt idx="3281">
                  <c:v>0.46550999999999798</c:v>
                </c:pt>
                <c:pt idx="3282">
                  <c:v>0.46550999999999798</c:v>
                </c:pt>
                <c:pt idx="3283">
                  <c:v>0.46550999999999798</c:v>
                </c:pt>
                <c:pt idx="3284">
                  <c:v>0.46550999999999798</c:v>
                </c:pt>
                <c:pt idx="3285">
                  <c:v>0.46550999999999798</c:v>
                </c:pt>
                <c:pt idx="3286">
                  <c:v>0.46550999999999798</c:v>
                </c:pt>
                <c:pt idx="3287">
                  <c:v>0.46550999999999798</c:v>
                </c:pt>
                <c:pt idx="3288">
                  <c:v>0.466749999999998</c:v>
                </c:pt>
                <c:pt idx="3289">
                  <c:v>0.466749999999998</c:v>
                </c:pt>
                <c:pt idx="3290">
                  <c:v>0.466749999999998</c:v>
                </c:pt>
                <c:pt idx="3291">
                  <c:v>0.466749999999998</c:v>
                </c:pt>
                <c:pt idx="3292">
                  <c:v>0.466749999999998</c:v>
                </c:pt>
                <c:pt idx="3293">
                  <c:v>0.466749999999998</c:v>
                </c:pt>
                <c:pt idx="3294">
                  <c:v>0.466749999999998</c:v>
                </c:pt>
                <c:pt idx="3295">
                  <c:v>0.466749999999998</c:v>
                </c:pt>
                <c:pt idx="3296">
                  <c:v>0.466749999999998</c:v>
                </c:pt>
                <c:pt idx="3297">
                  <c:v>0.466749999999998</c:v>
                </c:pt>
                <c:pt idx="3298">
                  <c:v>0.466749999999998</c:v>
                </c:pt>
                <c:pt idx="3299">
                  <c:v>0.466749999999998</c:v>
                </c:pt>
                <c:pt idx="3300">
                  <c:v>0.466749999999998</c:v>
                </c:pt>
                <c:pt idx="3301">
                  <c:v>0.466749999999998</c:v>
                </c:pt>
                <c:pt idx="3302">
                  <c:v>0.466749999999998</c:v>
                </c:pt>
                <c:pt idx="3303">
                  <c:v>0.466749999999998</c:v>
                </c:pt>
                <c:pt idx="3304">
                  <c:v>0.466749999999998</c:v>
                </c:pt>
                <c:pt idx="3305">
                  <c:v>0.466749999999998</c:v>
                </c:pt>
                <c:pt idx="3306">
                  <c:v>0.466749999999998</c:v>
                </c:pt>
                <c:pt idx="3307">
                  <c:v>0.466749999999998</c:v>
                </c:pt>
                <c:pt idx="3308">
                  <c:v>0.466749999999998</c:v>
                </c:pt>
                <c:pt idx="3309">
                  <c:v>0.466749999999998</c:v>
                </c:pt>
                <c:pt idx="3310">
                  <c:v>0.466749999999998</c:v>
                </c:pt>
                <c:pt idx="3311">
                  <c:v>0.466749999999998</c:v>
                </c:pt>
                <c:pt idx="3312">
                  <c:v>0.466749999999998</c:v>
                </c:pt>
                <c:pt idx="3313">
                  <c:v>0.466749999999998</c:v>
                </c:pt>
                <c:pt idx="3314">
                  <c:v>0.46732999999999802</c:v>
                </c:pt>
                <c:pt idx="3315">
                  <c:v>0.46732999999999802</c:v>
                </c:pt>
                <c:pt idx="3316">
                  <c:v>0.46732999999999802</c:v>
                </c:pt>
                <c:pt idx="3317">
                  <c:v>0.46732999999999802</c:v>
                </c:pt>
                <c:pt idx="3318">
                  <c:v>0.46732999999999802</c:v>
                </c:pt>
                <c:pt idx="3319">
                  <c:v>0.46732999999999802</c:v>
                </c:pt>
                <c:pt idx="3320">
                  <c:v>0.46732999999999802</c:v>
                </c:pt>
                <c:pt idx="3321">
                  <c:v>0.46732999999999802</c:v>
                </c:pt>
                <c:pt idx="3322">
                  <c:v>0.46732999999999802</c:v>
                </c:pt>
                <c:pt idx="3323">
                  <c:v>0.46732999999999802</c:v>
                </c:pt>
                <c:pt idx="3324">
                  <c:v>0.46732999999999802</c:v>
                </c:pt>
                <c:pt idx="3325">
                  <c:v>0.46732999999999802</c:v>
                </c:pt>
                <c:pt idx="3326">
                  <c:v>0.46732999999999802</c:v>
                </c:pt>
                <c:pt idx="3327">
                  <c:v>0.46732999999999802</c:v>
                </c:pt>
                <c:pt idx="3328">
                  <c:v>0.46732999999999802</c:v>
                </c:pt>
                <c:pt idx="3329">
                  <c:v>0.46732999999999802</c:v>
                </c:pt>
                <c:pt idx="3330">
                  <c:v>0.46732999999999802</c:v>
                </c:pt>
                <c:pt idx="3331">
                  <c:v>0.46732999999999802</c:v>
                </c:pt>
                <c:pt idx="3332">
                  <c:v>0.46732999999999802</c:v>
                </c:pt>
                <c:pt idx="3333">
                  <c:v>0.46732999999999802</c:v>
                </c:pt>
                <c:pt idx="3334">
                  <c:v>0.46732999999999802</c:v>
                </c:pt>
                <c:pt idx="3335">
                  <c:v>0.46732999999999802</c:v>
                </c:pt>
                <c:pt idx="3336">
                  <c:v>0.46732999999999802</c:v>
                </c:pt>
                <c:pt idx="3337">
                  <c:v>0.46732999999999802</c:v>
                </c:pt>
                <c:pt idx="3338">
                  <c:v>0.46732999999999802</c:v>
                </c:pt>
                <c:pt idx="3339">
                  <c:v>0.46732999999999802</c:v>
                </c:pt>
                <c:pt idx="3340">
                  <c:v>0.46732999999999802</c:v>
                </c:pt>
                <c:pt idx="3341">
                  <c:v>0.46732999999999802</c:v>
                </c:pt>
                <c:pt idx="3342">
                  <c:v>0.46732999999999802</c:v>
                </c:pt>
                <c:pt idx="3343">
                  <c:v>0.46732999999999802</c:v>
                </c:pt>
                <c:pt idx="3344">
                  <c:v>0.46732999999999802</c:v>
                </c:pt>
                <c:pt idx="3345">
                  <c:v>0.46732999999999802</c:v>
                </c:pt>
                <c:pt idx="3346">
                  <c:v>0.479069999999998</c:v>
                </c:pt>
                <c:pt idx="3347">
                  <c:v>0.479069999999998</c:v>
                </c:pt>
                <c:pt idx="3348">
                  <c:v>0.479069999999998</c:v>
                </c:pt>
                <c:pt idx="3349">
                  <c:v>0.479069999999998</c:v>
                </c:pt>
                <c:pt idx="3350">
                  <c:v>0.479069999999998</c:v>
                </c:pt>
                <c:pt idx="3351">
                  <c:v>0.479069999999998</c:v>
                </c:pt>
                <c:pt idx="3352">
                  <c:v>0.479069999999998</c:v>
                </c:pt>
                <c:pt idx="3353">
                  <c:v>0.485619999999998</c:v>
                </c:pt>
                <c:pt idx="3354">
                  <c:v>0.485619999999998</c:v>
                </c:pt>
                <c:pt idx="3355">
                  <c:v>0.485619999999998</c:v>
                </c:pt>
                <c:pt idx="3356">
                  <c:v>0.485619999999998</c:v>
                </c:pt>
                <c:pt idx="3357">
                  <c:v>0.48854999999999799</c:v>
                </c:pt>
                <c:pt idx="3358">
                  <c:v>0.48854999999999799</c:v>
                </c:pt>
                <c:pt idx="3359">
                  <c:v>0.48854999999999799</c:v>
                </c:pt>
                <c:pt idx="3360">
                  <c:v>0.48854999999999799</c:v>
                </c:pt>
                <c:pt idx="3361">
                  <c:v>0.48854999999999799</c:v>
                </c:pt>
                <c:pt idx="3362">
                  <c:v>0.48854999999999799</c:v>
                </c:pt>
                <c:pt idx="3363">
                  <c:v>0.48854999999999799</c:v>
                </c:pt>
                <c:pt idx="3364">
                  <c:v>0.48854999999999799</c:v>
                </c:pt>
                <c:pt idx="3365">
                  <c:v>0.48854999999999799</c:v>
                </c:pt>
                <c:pt idx="3366">
                  <c:v>0.48854999999999799</c:v>
                </c:pt>
                <c:pt idx="3367">
                  <c:v>0.48854999999999799</c:v>
                </c:pt>
                <c:pt idx="3368">
                  <c:v>0.48854999999999799</c:v>
                </c:pt>
                <c:pt idx="3369">
                  <c:v>0.48854999999999799</c:v>
                </c:pt>
                <c:pt idx="3370">
                  <c:v>0.48854999999999799</c:v>
                </c:pt>
                <c:pt idx="3371">
                  <c:v>0.48854999999999799</c:v>
                </c:pt>
                <c:pt idx="3372">
                  <c:v>0.48854999999999799</c:v>
                </c:pt>
                <c:pt idx="3373">
                  <c:v>0.48854999999999799</c:v>
                </c:pt>
                <c:pt idx="3374">
                  <c:v>0.48854999999999799</c:v>
                </c:pt>
                <c:pt idx="3375">
                  <c:v>0.48854999999999799</c:v>
                </c:pt>
                <c:pt idx="3376">
                  <c:v>0.48854999999999799</c:v>
                </c:pt>
                <c:pt idx="3377">
                  <c:v>0.48854999999999799</c:v>
                </c:pt>
                <c:pt idx="3378">
                  <c:v>0.48854999999999799</c:v>
                </c:pt>
                <c:pt idx="3379">
                  <c:v>0.48854999999999799</c:v>
                </c:pt>
                <c:pt idx="3380">
                  <c:v>0.48854999999999799</c:v>
                </c:pt>
                <c:pt idx="3381">
                  <c:v>0.48854999999999799</c:v>
                </c:pt>
                <c:pt idx="3382">
                  <c:v>0.48854999999999799</c:v>
                </c:pt>
                <c:pt idx="3383">
                  <c:v>0.48854999999999799</c:v>
                </c:pt>
                <c:pt idx="3384">
                  <c:v>0.48854999999999799</c:v>
                </c:pt>
                <c:pt idx="3385">
                  <c:v>0.48854999999999799</c:v>
                </c:pt>
                <c:pt idx="3386">
                  <c:v>0.48854999999999799</c:v>
                </c:pt>
                <c:pt idx="3387">
                  <c:v>0.48854999999999799</c:v>
                </c:pt>
                <c:pt idx="3388">
                  <c:v>0.48854999999999799</c:v>
                </c:pt>
                <c:pt idx="3389">
                  <c:v>0.48854999999999799</c:v>
                </c:pt>
                <c:pt idx="3390">
                  <c:v>0.48854999999999799</c:v>
                </c:pt>
                <c:pt idx="3391">
                  <c:v>0.48854999999999799</c:v>
                </c:pt>
                <c:pt idx="3392">
                  <c:v>0.48854999999999799</c:v>
                </c:pt>
                <c:pt idx="3393">
                  <c:v>0.48854999999999799</c:v>
                </c:pt>
                <c:pt idx="3394">
                  <c:v>0.48854999999999799</c:v>
                </c:pt>
                <c:pt idx="3395">
                  <c:v>0.48854999999999799</c:v>
                </c:pt>
                <c:pt idx="3396">
                  <c:v>0.48854999999999799</c:v>
                </c:pt>
                <c:pt idx="3397">
                  <c:v>0.48854999999999799</c:v>
                </c:pt>
                <c:pt idx="3398">
                  <c:v>0.48854999999999799</c:v>
                </c:pt>
                <c:pt idx="3399">
                  <c:v>0.48854999999999799</c:v>
                </c:pt>
                <c:pt idx="3400">
                  <c:v>0.48854999999999799</c:v>
                </c:pt>
                <c:pt idx="3401">
                  <c:v>0.48854999999999799</c:v>
                </c:pt>
                <c:pt idx="3402">
                  <c:v>0.48854999999999799</c:v>
                </c:pt>
                <c:pt idx="3403">
                  <c:v>0.48664999999999797</c:v>
                </c:pt>
                <c:pt idx="3404">
                  <c:v>0.48664999999999797</c:v>
                </c:pt>
                <c:pt idx="3405">
                  <c:v>0.48664999999999797</c:v>
                </c:pt>
                <c:pt idx="3406">
                  <c:v>0.48664999999999797</c:v>
                </c:pt>
                <c:pt idx="3407">
                  <c:v>0.48664999999999797</c:v>
                </c:pt>
                <c:pt idx="3408">
                  <c:v>0.48664999999999797</c:v>
                </c:pt>
                <c:pt idx="3409">
                  <c:v>0.48664999999999797</c:v>
                </c:pt>
                <c:pt idx="3410">
                  <c:v>0.48664999999999797</c:v>
                </c:pt>
                <c:pt idx="3411">
                  <c:v>0.48664999999999797</c:v>
                </c:pt>
                <c:pt idx="3412">
                  <c:v>0.48664999999999797</c:v>
                </c:pt>
                <c:pt idx="3413">
                  <c:v>0.48664999999999797</c:v>
                </c:pt>
                <c:pt idx="3414">
                  <c:v>0.48664999999999797</c:v>
                </c:pt>
                <c:pt idx="3415">
                  <c:v>0.48664999999999797</c:v>
                </c:pt>
                <c:pt idx="3416">
                  <c:v>0.48664999999999797</c:v>
                </c:pt>
                <c:pt idx="3417">
                  <c:v>0.48664999999999797</c:v>
                </c:pt>
                <c:pt idx="3418">
                  <c:v>0.48664999999999797</c:v>
                </c:pt>
                <c:pt idx="3419">
                  <c:v>0.48664999999999797</c:v>
                </c:pt>
                <c:pt idx="3420">
                  <c:v>0.486009999999998</c:v>
                </c:pt>
                <c:pt idx="3421">
                  <c:v>0.486009999999998</c:v>
                </c:pt>
                <c:pt idx="3422">
                  <c:v>0.486009999999998</c:v>
                </c:pt>
                <c:pt idx="3423">
                  <c:v>0.486009999999998</c:v>
                </c:pt>
                <c:pt idx="3424">
                  <c:v>0.486009999999998</c:v>
                </c:pt>
                <c:pt idx="3425">
                  <c:v>0.486009999999998</c:v>
                </c:pt>
                <c:pt idx="3426">
                  <c:v>0.486009999999998</c:v>
                </c:pt>
                <c:pt idx="3427">
                  <c:v>0.486009999999998</c:v>
                </c:pt>
                <c:pt idx="3428">
                  <c:v>0.486009999999998</c:v>
                </c:pt>
                <c:pt idx="3429">
                  <c:v>0.486009999999998</c:v>
                </c:pt>
                <c:pt idx="3430">
                  <c:v>0.486009999999998</c:v>
                </c:pt>
                <c:pt idx="3431">
                  <c:v>0.486009999999998</c:v>
                </c:pt>
                <c:pt idx="3432">
                  <c:v>0.486009999999998</c:v>
                </c:pt>
                <c:pt idx="3433">
                  <c:v>0.486009999999998</c:v>
                </c:pt>
                <c:pt idx="3434">
                  <c:v>0.486009999999998</c:v>
                </c:pt>
                <c:pt idx="3435">
                  <c:v>0.486009999999998</c:v>
                </c:pt>
                <c:pt idx="3436">
                  <c:v>0.486009999999998</c:v>
                </c:pt>
                <c:pt idx="3437">
                  <c:v>0.486009999999998</c:v>
                </c:pt>
                <c:pt idx="3438">
                  <c:v>0.486009999999998</c:v>
                </c:pt>
                <c:pt idx="3439">
                  <c:v>0.486009999999998</c:v>
                </c:pt>
                <c:pt idx="3440">
                  <c:v>0.486009999999998</c:v>
                </c:pt>
                <c:pt idx="3441">
                  <c:v>0.486009999999998</c:v>
                </c:pt>
                <c:pt idx="3442">
                  <c:v>0.486009999999998</c:v>
                </c:pt>
                <c:pt idx="3443">
                  <c:v>0.486009999999998</c:v>
                </c:pt>
                <c:pt idx="3444">
                  <c:v>0.486009999999998</c:v>
                </c:pt>
                <c:pt idx="3445">
                  <c:v>0.486009999999998</c:v>
                </c:pt>
                <c:pt idx="3446">
                  <c:v>0.486009999999998</c:v>
                </c:pt>
                <c:pt idx="3447">
                  <c:v>0.486009999999998</c:v>
                </c:pt>
                <c:pt idx="3448">
                  <c:v>0.486009999999998</c:v>
                </c:pt>
                <c:pt idx="3449">
                  <c:v>0.486009999999998</c:v>
                </c:pt>
                <c:pt idx="3450">
                  <c:v>0.486009999999998</c:v>
                </c:pt>
                <c:pt idx="3451">
                  <c:v>0.486009999999998</c:v>
                </c:pt>
                <c:pt idx="3452">
                  <c:v>0.486009999999998</c:v>
                </c:pt>
                <c:pt idx="3453">
                  <c:v>0.49324999999999702</c:v>
                </c:pt>
                <c:pt idx="3454">
                  <c:v>0.49324999999999702</c:v>
                </c:pt>
                <c:pt idx="3455">
                  <c:v>0.49324999999999702</c:v>
                </c:pt>
                <c:pt idx="3456">
                  <c:v>0.49324999999999702</c:v>
                </c:pt>
                <c:pt idx="3457">
                  <c:v>0.49324999999999702</c:v>
                </c:pt>
                <c:pt idx="3458">
                  <c:v>0.49324999999999702</c:v>
                </c:pt>
                <c:pt idx="3459">
                  <c:v>0.49324999999999702</c:v>
                </c:pt>
                <c:pt idx="3460">
                  <c:v>0.49324999999999702</c:v>
                </c:pt>
                <c:pt idx="3461">
                  <c:v>0.49324999999999702</c:v>
                </c:pt>
                <c:pt idx="3462">
                  <c:v>0.48941999999999702</c:v>
                </c:pt>
                <c:pt idx="3463">
                  <c:v>0.48941999999999702</c:v>
                </c:pt>
                <c:pt idx="3464">
                  <c:v>0.48941999999999702</c:v>
                </c:pt>
                <c:pt idx="3465">
                  <c:v>0.48941999999999702</c:v>
                </c:pt>
                <c:pt idx="3466">
                  <c:v>0.48941999999999702</c:v>
                </c:pt>
                <c:pt idx="3467">
                  <c:v>0.48941999999999702</c:v>
                </c:pt>
                <c:pt idx="3468">
                  <c:v>0.48941999999999702</c:v>
                </c:pt>
                <c:pt idx="3469">
                  <c:v>0.48941999999999702</c:v>
                </c:pt>
                <c:pt idx="3470">
                  <c:v>0.48941999999999702</c:v>
                </c:pt>
                <c:pt idx="3471">
                  <c:v>0.48941999999999702</c:v>
                </c:pt>
                <c:pt idx="3472">
                  <c:v>0.48941999999999702</c:v>
                </c:pt>
                <c:pt idx="3473">
                  <c:v>0.48941999999999702</c:v>
                </c:pt>
                <c:pt idx="3474">
                  <c:v>0.48941999999999702</c:v>
                </c:pt>
                <c:pt idx="3475">
                  <c:v>0.48941999999999702</c:v>
                </c:pt>
                <c:pt idx="3476">
                  <c:v>0.48941999999999702</c:v>
                </c:pt>
                <c:pt idx="3477">
                  <c:v>0.48941999999999702</c:v>
                </c:pt>
                <c:pt idx="3478">
                  <c:v>0.48941999999999702</c:v>
                </c:pt>
                <c:pt idx="3479">
                  <c:v>0.48941999999999702</c:v>
                </c:pt>
                <c:pt idx="3480">
                  <c:v>0.48941999999999702</c:v>
                </c:pt>
                <c:pt idx="3481">
                  <c:v>0.48941999999999702</c:v>
                </c:pt>
                <c:pt idx="3482">
                  <c:v>0.48941999999999702</c:v>
                </c:pt>
                <c:pt idx="3483">
                  <c:v>0.48941999999999702</c:v>
                </c:pt>
                <c:pt idx="3484">
                  <c:v>0.48941999999999702</c:v>
                </c:pt>
                <c:pt idx="3485">
                  <c:v>0.48941999999999702</c:v>
                </c:pt>
                <c:pt idx="3486">
                  <c:v>0.48941999999999702</c:v>
                </c:pt>
                <c:pt idx="3487">
                  <c:v>0.48941999999999702</c:v>
                </c:pt>
                <c:pt idx="3488">
                  <c:v>0.48941999999999702</c:v>
                </c:pt>
                <c:pt idx="3489">
                  <c:v>0.48941999999999702</c:v>
                </c:pt>
                <c:pt idx="3490">
                  <c:v>0.48941999999999702</c:v>
                </c:pt>
                <c:pt idx="3491">
                  <c:v>0.48941999999999702</c:v>
                </c:pt>
                <c:pt idx="3492">
                  <c:v>0.48941999999999702</c:v>
                </c:pt>
                <c:pt idx="3493">
                  <c:v>0.48941999999999702</c:v>
                </c:pt>
                <c:pt idx="3494">
                  <c:v>0.48941999999999702</c:v>
                </c:pt>
                <c:pt idx="3495">
                  <c:v>0.48941999999999702</c:v>
                </c:pt>
                <c:pt idx="3496">
                  <c:v>0.48941999999999702</c:v>
                </c:pt>
                <c:pt idx="3497">
                  <c:v>0.48941999999999702</c:v>
                </c:pt>
                <c:pt idx="3498">
                  <c:v>0.48941999999999702</c:v>
                </c:pt>
                <c:pt idx="3499">
                  <c:v>0.48941999999999702</c:v>
                </c:pt>
                <c:pt idx="3500">
                  <c:v>0.48941999999999702</c:v>
                </c:pt>
                <c:pt idx="3501">
                  <c:v>0.48941999999999702</c:v>
                </c:pt>
                <c:pt idx="3502">
                  <c:v>0.48941999999999702</c:v>
                </c:pt>
                <c:pt idx="3503">
                  <c:v>0.48941999999999702</c:v>
                </c:pt>
                <c:pt idx="3504">
                  <c:v>0.48941999999999702</c:v>
                </c:pt>
                <c:pt idx="3505">
                  <c:v>0.48941999999999702</c:v>
                </c:pt>
                <c:pt idx="3506">
                  <c:v>0.48941999999999702</c:v>
                </c:pt>
                <c:pt idx="3507">
                  <c:v>0.48941999999999702</c:v>
                </c:pt>
                <c:pt idx="3508">
                  <c:v>0.48941999999999702</c:v>
                </c:pt>
                <c:pt idx="3509">
                  <c:v>0.48941999999999702</c:v>
                </c:pt>
                <c:pt idx="3510">
                  <c:v>0.48941999999999702</c:v>
                </c:pt>
                <c:pt idx="3511">
                  <c:v>0.48941999999999702</c:v>
                </c:pt>
                <c:pt idx="3512">
                  <c:v>0.48941999999999702</c:v>
                </c:pt>
                <c:pt idx="3513">
                  <c:v>0.48941999999999702</c:v>
                </c:pt>
                <c:pt idx="3514">
                  <c:v>0.48941999999999702</c:v>
                </c:pt>
                <c:pt idx="3515">
                  <c:v>0.48941999999999702</c:v>
                </c:pt>
                <c:pt idx="3516">
                  <c:v>0.48941999999999702</c:v>
                </c:pt>
                <c:pt idx="3517">
                  <c:v>0.48941999999999702</c:v>
                </c:pt>
                <c:pt idx="3518">
                  <c:v>0.48941999999999702</c:v>
                </c:pt>
                <c:pt idx="3519">
                  <c:v>0.48941999999999702</c:v>
                </c:pt>
                <c:pt idx="3520">
                  <c:v>0.48941999999999702</c:v>
                </c:pt>
                <c:pt idx="3521">
                  <c:v>0.48941999999999702</c:v>
                </c:pt>
                <c:pt idx="3522">
                  <c:v>0.48941999999999702</c:v>
                </c:pt>
                <c:pt idx="3523">
                  <c:v>0.48941999999999702</c:v>
                </c:pt>
                <c:pt idx="3524">
                  <c:v>0.48941999999999702</c:v>
                </c:pt>
                <c:pt idx="3525">
                  <c:v>0.48941999999999702</c:v>
                </c:pt>
                <c:pt idx="3526">
                  <c:v>0.48941999999999702</c:v>
                </c:pt>
                <c:pt idx="3527">
                  <c:v>0.48941999999999702</c:v>
                </c:pt>
                <c:pt idx="3528">
                  <c:v>0.48941999999999702</c:v>
                </c:pt>
                <c:pt idx="3529">
                  <c:v>0.48941999999999702</c:v>
                </c:pt>
                <c:pt idx="3530">
                  <c:v>0.48941999999999702</c:v>
                </c:pt>
                <c:pt idx="3531">
                  <c:v>0.48941999999999702</c:v>
                </c:pt>
                <c:pt idx="3532">
                  <c:v>0.48941999999999702</c:v>
                </c:pt>
                <c:pt idx="3533">
                  <c:v>0.48941999999999702</c:v>
                </c:pt>
                <c:pt idx="3534">
                  <c:v>0.48941999999999702</c:v>
                </c:pt>
                <c:pt idx="3535">
                  <c:v>0.48941999999999702</c:v>
                </c:pt>
                <c:pt idx="3536">
                  <c:v>0.48266999999999699</c:v>
                </c:pt>
                <c:pt idx="3537">
                  <c:v>0.48266999999999699</c:v>
                </c:pt>
                <c:pt idx="3538">
                  <c:v>0.48266999999999699</c:v>
                </c:pt>
                <c:pt idx="3539">
                  <c:v>0.48266999999999699</c:v>
                </c:pt>
                <c:pt idx="3540">
                  <c:v>0.48266999999999699</c:v>
                </c:pt>
                <c:pt idx="3541">
                  <c:v>0.48266999999999699</c:v>
                </c:pt>
                <c:pt idx="3542">
                  <c:v>0.48266999999999699</c:v>
                </c:pt>
                <c:pt idx="3543">
                  <c:v>0.48266999999999699</c:v>
                </c:pt>
                <c:pt idx="3544">
                  <c:v>0.48266999999999699</c:v>
                </c:pt>
                <c:pt idx="3545">
                  <c:v>0.48266999999999699</c:v>
                </c:pt>
                <c:pt idx="3546">
                  <c:v>0.48266999999999699</c:v>
                </c:pt>
                <c:pt idx="3547">
                  <c:v>0.48266999999999699</c:v>
                </c:pt>
                <c:pt idx="3548">
                  <c:v>0.48266999999999699</c:v>
                </c:pt>
                <c:pt idx="3549">
                  <c:v>0.48266999999999699</c:v>
                </c:pt>
                <c:pt idx="3550">
                  <c:v>0.48266999999999699</c:v>
                </c:pt>
                <c:pt idx="3551">
                  <c:v>0.48266999999999699</c:v>
                </c:pt>
                <c:pt idx="3552">
                  <c:v>0.48266999999999699</c:v>
                </c:pt>
                <c:pt idx="3553">
                  <c:v>0.48266999999999699</c:v>
                </c:pt>
                <c:pt idx="3554">
                  <c:v>0.48266999999999699</c:v>
                </c:pt>
                <c:pt idx="3555">
                  <c:v>0.48266999999999699</c:v>
                </c:pt>
                <c:pt idx="3556">
                  <c:v>0.48266999999999699</c:v>
                </c:pt>
                <c:pt idx="3557">
                  <c:v>0.48266999999999699</c:v>
                </c:pt>
                <c:pt idx="3558">
                  <c:v>0.48266999999999699</c:v>
                </c:pt>
                <c:pt idx="3559">
                  <c:v>0.48266999999999699</c:v>
                </c:pt>
                <c:pt idx="3560">
                  <c:v>0.48266999999999699</c:v>
                </c:pt>
                <c:pt idx="3561">
                  <c:v>0.48266999999999699</c:v>
                </c:pt>
                <c:pt idx="3562">
                  <c:v>0.48266999999999699</c:v>
                </c:pt>
                <c:pt idx="3563">
                  <c:v>0.48266999999999699</c:v>
                </c:pt>
                <c:pt idx="3564">
                  <c:v>0.48266999999999699</c:v>
                </c:pt>
                <c:pt idx="3565">
                  <c:v>0.48266999999999699</c:v>
                </c:pt>
                <c:pt idx="3566">
                  <c:v>0.48266999999999699</c:v>
                </c:pt>
                <c:pt idx="3567">
                  <c:v>0.47426999999999703</c:v>
                </c:pt>
                <c:pt idx="3568">
                  <c:v>0.47426999999999703</c:v>
                </c:pt>
                <c:pt idx="3569">
                  <c:v>0.47426999999999703</c:v>
                </c:pt>
                <c:pt idx="3570">
                  <c:v>0.47426999999999703</c:v>
                </c:pt>
                <c:pt idx="3571">
                  <c:v>0.47426999999999703</c:v>
                </c:pt>
                <c:pt idx="3572">
                  <c:v>0.47426999999999703</c:v>
                </c:pt>
                <c:pt idx="3573">
                  <c:v>0.47426999999999703</c:v>
                </c:pt>
                <c:pt idx="3574">
                  <c:v>0.47426999999999703</c:v>
                </c:pt>
                <c:pt idx="3575">
                  <c:v>0.47426999999999703</c:v>
                </c:pt>
                <c:pt idx="3576">
                  <c:v>0.47426999999999703</c:v>
                </c:pt>
                <c:pt idx="3577">
                  <c:v>0.47426999999999703</c:v>
                </c:pt>
                <c:pt idx="3578">
                  <c:v>0.47426999999999703</c:v>
                </c:pt>
                <c:pt idx="3579">
                  <c:v>0.47426999999999703</c:v>
                </c:pt>
                <c:pt idx="3580">
                  <c:v>0.47426999999999703</c:v>
                </c:pt>
                <c:pt idx="3581">
                  <c:v>0.47426999999999703</c:v>
                </c:pt>
                <c:pt idx="3582">
                  <c:v>0.47426999999999703</c:v>
                </c:pt>
                <c:pt idx="3583">
                  <c:v>0.47426999999999703</c:v>
                </c:pt>
                <c:pt idx="3584">
                  <c:v>0.47426999999999703</c:v>
                </c:pt>
                <c:pt idx="3585">
                  <c:v>0.47426999999999703</c:v>
                </c:pt>
                <c:pt idx="3586">
                  <c:v>0.47426999999999703</c:v>
                </c:pt>
                <c:pt idx="3587">
                  <c:v>0.47426999999999703</c:v>
                </c:pt>
                <c:pt idx="3588">
                  <c:v>0.47426999999999703</c:v>
                </c:pt>
                <c:pt idx="3589">
                  <c:v>0.47426999999999703</c:v>
                </c:pt>
                <c:pt idx="3590">
                  <c:v>0.47426999999999703</c:v>
                </c:pt>
                <c:pt idx="3591">
                  <c:v>0.477129999999998</c:v>
                </c:pt>
                <c:pt idx="3592">
                  <c:v>0.477129999999998</c:v>
                </c:pt>
                <c:pt idx="3593">
                  <c:v>0.477129999999998</c:v>
                </c:pt>
                <c:pt idx="3594">
                  <c:v>0.477129999999998</c:v>
                </c:pt>
                <c:pt idx="3595">
                  <c:v>0.477129999999998</c:v>
                </c:pt>
                <c:pt idx="3596">
                  <c:v>0.477129999999998</c:v>
                </c:pt>
                <c:pt idx="3597">
                  <c:v>0.477129999999998</c:v>
                </c:pt>
                <c:pt idx="3598">
                  <c:v>0.477129999999998</c:v>
                </c:pt>
                <c:pt idx="3599">
                  <c:v>0.477129999999998</c:v>
                </c:pt>
                <c:pt idx="3600">
                  <c:v>0.477129999999998</c:v>
                </c:pt>
                <c:pt idx="3601">
                  <c:v>0.477129999999998</c:v>
                </c:pt>
                <c:pt idx="3602">
                  <c:v>0.477129999999998</c:v>
                </c:pt>
                <c:pt idx="3603">
                  <c:v>0.477129999999998</c:v>
                </c:pt>
                <c:pt idx="3604">
                  <c:v>0.477129999999998</c:v>
                </c:pt>
                <c:pt idx="3605">
                  <c:v>0.477129999999998</c:v>
                </c:pt>
                <c:pt idx="3606">
                  <c:v>0.477129999999998</c:v>
                </c:pt>
                <c:pt idx="3607">
                  <c:v>0.477129999999998</c:v>
                </c:pt>
                <c:pt idx="3608">
                  <c:v>0.477129999999998</c:v>
                </c:pt>
                <c:pt idx="3609">
                  <c:v>0.477129999999998</c:v>
                </c:pt>
                <c:pt idx="3610">
                  <c:v>0.477129999999998</c:v>
                </c:pt>
                <c:pt idx="3611">
                  <c:v>0.477129999999998</c:v>
                </c:pt>
                <c:pt idx="3612">
                  <c:v>0.477129999999998</c:v>
                </c:pt>
                <c:pt idx="3613">
                  <c:v>0.477129999999998</c:v>
                </c:pt>
                <c:pt idx="3614">
                  <c:v>0.477129999999998</c:v>
                </c:pt>
                <c:pt idx="3615">
                  <c:v>0.477129999999998</c:v>
                </c:pt>
                <c:pt idx="3616">
                  <c:v>0.477129999999998</c:v>
                </c:pt>
                <c:pt idx="3617">
                  <c:v>0.477129999999998</c:v>
                </c:pt>
                <c:pt idx="3618">
                  <c:v>0.477129999999998</c:v>
                </c:pt>
                <c:pt idx="3619">
                  <c:v>0.47815999999999698</c:v>
                </c:pt>
                <c:pt idx="3620">
                  <c:v>0.47815999999999698</c:v>
                </c:pt>
                <c:pt idx="3621">
                  <c:v>0.47815999999999698</c:v>
                </c:pt>
                <c:pt idx="3622">
                  <c:v>0.47815999999999698</c:v>
                </c:pt>
                <c:pt idx="3623">
                  <c:v>0.47815999999999698</c:v>
                </c:pt>
                <c:pt idx="3624">
                  <c:v>0.47815999999999698</c:v>
                </c:pt>
                <c:pt idx="3625">
                  <c:v>0.47815999999999698</c:v>
                </c:pt>
                <c:pt idx="3626">
                  <c:v>0.47815999999999698</c:v>
                </c:pt>
                <c:pt idx="3627">
                  <c:v>0.47815999999999698</c:v>
                </c:pt>
                <c:pt idx="3628">
                  <c:v>0.47815999999999698</c:v>
                </c:pt>
                <c:pt idx="3629">
                  <c:v>0.47815999999999698</c:v>
                </c:pt>
                <c:pt idx="3630">
                  <c:v>0.47270999999999702</c:v>
                </c:pt>
                <c:pt idx="3631">
                  <c:v>0.47270999999999702</c:v>
                </c:pt>
                <c:pt idx="3632">
                  <c:v>0.47270999999999702</c:v>
                </c:pt>
                <c:pt idx="3633">
                  <c:v>0.47270999999999702</c:v>
                </c:pt>
                <c:pt idx="3634">
                  <c:v>0.47270999999999702</c:v>
                </c:pt>
                <c:pt idx="3635">
                  <c:v>0.47270999999999702</c:v>
                </c:pt>
                <c:pt idx="3636">
                  <c:v>0.47270999999999702</c:v>
                </c:pt>
                <c:pt idx="3637">
                  <c:v>0.47270999999999702</c:v>
                </c:pt>
                <c:pt idx="3638">
                  <c:v>0.47270999999999702</c:v>
                </c:pt>
                <c:pt idx="3639">
                  <c:v>0.47270999999999702</c:v>
                </c:pt>
                <c:pt idx="3640">
                  <c:v>0.47270999999999702</c:v>
                </c:pt>
                <c:pt idx="3641">
                  <c:v>0.47270999999999702</c:v>
                </c:pt>
                <c:pt idx="3642">
                  <c:v>0.47270999999999702</c:v>
                </c:pt>
                <c:pt idx="3643">
                  <c:v>0.47270999999999702</c:v>
                </c:pt>
                <c:pt idx="3644">
                  <c:v>0.47270999999999702</c:v>
                </c:pt>
                <c:pt idx="3645">
                  <c:v>0.47270999999999702</c:v>
                </c:pt>
                <c:pt idx="3646">
                  <c:v>0.47270999999999702</c:v>
                </c:pt>
                <c:pt idx="3647">
                  <c:v>0.47115999999999802</c:v>
                </c:pt>
                <c:pt idx="3648">
                  <c:v>0.47115999999999802</c:v>
                </c:pt>
                <c:pt idx="3649">
                  <c:v>0.47115999999999802</c:v>
                </c:pt>
                <c:pt idx="3650">
                  <c:v>0.47115999999999802</c:v>
                </c:pt>
                <c:pt idx="3651">
                  <c:v>0.47115999999999802</c:v>
                </c:pt>
                <c:pt idx="3652">
                  <c:v>0.47115999999999802</c:v>
                </c:pt>
                <c:pt idx="3653">
                  <c:v>0.47115999999999802</c:v>
                </c:pt>
                <c:pt idx="3654">
                  <c:v>0.47115999999999802</c:v>
                </c:pt>
                <c:pt idx="3655">
                  <c:v>0.47115999999999802</c:v>
                </c:pt>
                <c:pt idx="3656">
                  <c:v>0.47043999999999703</c:v>
                </c:pt>
                <c:pt idx="3657">
                  <c:v>0.47043999999999703</c:v>
                </c:pt>
                <c:pt idx="3658">
                  <c:v>0.47043999999999703</c:v>
                </c:pt>
                <c:pt idx="3659">
                  <c:v>0.47043999999999703</c:v>
                </c:pt>
                <c:pt idx="3660">
                  <c:v>0.47043999999999703</c:v>
                </c:pt>
                <c:pt idx="3661">
                  <c:v>0.47043999999999703</c:v>
                </c:pt>
                <c:pt idx="3662">
                  <c:v>0.47043999999999703</c:v>
                </c:pt>
                <c:pt idx="3663">
                  <c:v>0.47043999999999703</c:v>
                </c:pt>
                <c:pt idx="3664">
                  <c:v>0.47043999999999703</c:v>
                </c:pt>
                <c:pt idx="3665">
                  <c:v>0.47043999999999703</c:v>
                </c:pt>
                <c:pt idx="3666">
                  <c:v>0.47043999999999703</c:v>
                </c:pt>
                <c:pt idx="3667">
                  <c:v>0.47043999999999703</c:v>
                </c:pt>
                <c:pt idx="3668">
                  <c:v>0.47043999999999703</c:v>
                </c:pt>
                <c:pt idx="3669">
                  <c:v>0.47143999999999697</c:v>
                </c:pt>
                <c:pt idx="3670">
                  <c:v>0.47143999999999697</c:v>
                </c:pt>
                <c:pt idx="3671">
                  <c:v>0.47143999999999697</c:v>
                </c:pt>
                <c:pt idx="3672">
                  <c:v>0.47143999999999697</c:v>
                </c:pt>
                <c:pt idx="3673">
                  <c:v>0.47143999999999697</c:v>
                </c:pt>
                <c:pt idx="3674">
                  <c:v>0.47143999999999697</c:v>
                </c:pt>
                <c:pt idx="3675">
                  <c:v>0.47143999999999697</c:v>
                </c:pt>
                <c:pt idx="3676">
                  <c:v>0.47143999999999697</c:v>
                </c:pt>
                <c:pt idx="3677">
                  <c:v>0.47143999999999697</c:v>
                </c:pt>
                <c:pt idx="3678">
                  <c:v>0.47143999999999697</c:v>
                </c:pt>
                <c:pt idx="3679">
                  <c:v>0.47143999999999697</c:v>
                </c:pt>
                <c:pt idx="3680">
                  <c:v>0.47143999999999697</c:v>
                </c:pt>
                <c:pt idx="3681">
                  <c:v>0.47143999999999697</c:v>
                </c:pt>
                <c:pt idx="3682">
                  <c:v>0.47143999999999697</c:v>
                </c:pt>
                <c:pt idx="3683">
                  <c:v>0.47143999999999697</c:v>
                </c:pt>
                <c:pt idx="3684">
                  <c:v>0.47143999999999697</c:v>
                </c:pt>
                <c:pt idx="3685">
                  <c:v>0.47143999999999697</c:v>
                </c:pt>
                <c:pt idx="3686">
                  <c:v>0.47143999999999697</c:v>
                </c:pt>
                <c:pt idx="3687">
                  <c:v>0.47143999999999697</c:v>
                </c:pt>
                <c:pt idx="3688">
                  <c:v>0.47143999999999697</c:v>
                </c:pt>
                <c:pt idx="3689">
                  <c:v>0.47143999999999697</c:v>
                </c:pt>
                <c:pt idx="3690">
                  <c:v>0.47143999999999697</c:v>
                </c:pt>
                <c:pt idx="3691">
                  <c:v>0.47143999999999697</c:v>
                </c:pt>
                <c:pt idx="3692">
                  <c:v>0.47143999999999697</c:v>
                </c:pt>
                <c:pt idx="3693">
                  <c:v>0.47143999999999697</c:v>
                </c:pt>
                <c:pt idx="3694">
                  <c:v>0.47143999999999697</c:v>
                </c:pt>
                <c:pt idx="3695">
                  <c:v>0.47143999999999697</c:v>
                </c:pt>
                <c:pt idx="3696">
                  <c:v>0.473849999999997</c:v>
                </c:pt>
                <c:pt idx="3697">
                  <c:v>0.473849999999997</c:v>
                </c:pt>
                <c:pt idx="3698">
                  <c:v>0.473849999999997</c:v>
                </c:pt>
                <c:pt idx="3699">
                  <c:v>0.473849999999997</c:v>
                </c:pt>
                <c:pt idx="3700">
                  <c:v>0.473849999999997</c:v>
                </c:pt>
                <c:pt idx="3701">
                  <c:v>0.473849999999997</c:v>
                </c:pt>
                <c:pt idx="3702">
                  <c:v>0.473849999999997</c:v>
                </c:pt>
                <c:pt idx="3703">
                  <c:v>0.473849999999997</c:v>
                </c:pt>
                <c:pt idx="3704">
                  <c:v>0.473849999999997</c:v>
                </c:pt>
                <c:pt idx="3705">
                  <c:v>0.473849999999997</c:v>
                </c:pt>
                <c:pt idx="3706">
                  <c:v>0.473849999999997</c:v>
                </c:pt>
                <c:pt idx="3707">
                  <c:v>0.473849999999997</c:v>
                </c:pt>
                <c:pt idx="3708">
                  <c:v>0.473849999999997</c:v>
                </c:pt>
                <c:pt idx="3709">
                  <c:v>0.473849999999997</c:v>
                </c:pt>
                <c:pt idx="3710">
                  <c:v>0.473849999999997</c:v>
                </c:pt>
                <c:pt idx="3711">
                  <c:v>0.473849999999997</c:v>
                </c:pt>
                <c:pt idx="3712">
                  <c:v>0.473849999999997</c:v>
                </c:pt>
                <c:pt idx="3713">
                  <c:v>0.473849999999997</c:v>
                </c:pt>
                <c:pt idx="3714">
                  <c:v>0.473849999999997</c:v>
                </c:pt>
                <c:pt idx="3715">
                  <c:v>0.473849999999997</c:v>
                </c:pt>
                <c:pt idx="3716">
                  <c:v>0.473849999999997</c:v>
                </c:pt>
                <c:pt idx="3717">
                  <c:v>0.473849999999997</c:v>
                </c:pt>
                <c:pt idx="3718">
                  <c:v>0.473849999999997</c:v>
                </c:pt>
                <c:pt idx="3719">
                  <c:v>0.473849999999997</c:v>
                </c:pt>
                <c:pt idx="3720">
                  <c:v>0.473849999999997</c:v>
                </c:pt>
                <c:pt idx="3721">
                  <c:v>0.47539999999999699</c:v>
                </c:pt>
                <c:pt idx="3722">
                  <c:v>0.47539999999999699</c:v>
                </c:pt>
                <c:pt idx="3723">
                  <c:v>0.47539999999999699</c:v>
                </c:pt>
                <c:pt idx="3724">
                  <c:v>0.47539999999999699</c:v>
                </c:pt>
                <c:pt idx="3725">
                  <c:v>0.47539999999999699</c:v>
                </c:pt>
                <c:pt idx="3726">
                  <c:v>0.47879999999999701</c:v>
                </c:pt>
                <c:pt idx="3727">
                  <c:v>0.47879999999999701</c:v>
                </c:pt>
                <c:pt idx="3728">
                  <c:v>0.47879999999999701</c:v>
                </c:pt>
                <c:pt idx="3729">
                  <c:v>0.47879999999999701</c:v>
                </c:pt>
                <c:pt idx="3730">
                  <c:v>0.47879999999999701</c:v>
                </c:pt>
                <c:pt idx="3731">
                  <c:v>0.47879999999999701</c:v>
                </c:pt>
                <c:pt idx="3732">
                  <c:v>0.47879999999999701</c:v>
                </c:pt>
                <c:pt idx="3733">
                  <c:v>0.47879999999999701</c:v>
                </c:pt>
                <c:pt idx="3734">
                  <c:v>0.47879999999999701</c:v>
                </c:pt>
                <c:pt idx="3735">
                  <c:v>0.47879999999999701</c:v>
                </c:pt>
                <c:pt idx="3736">
                  <c:v>0.47879999999999701</c:v>
                </c:pt>
                <c:pt idx="3737">
                  <c:v>0.47879999999999701</c:v>
                </c:pt>
                <c:pt idx="3738">
                  <c:v>0.47879999999999701</c:v>
                </c:pt>
                <c:pt idx="3739">
                  <c:v>0.47879999999999701</c:v>
                </c:pt>
                <c:pt idx="3740">
                  <c:v>0.47879999999999701</c:v>
                </c:pt>
                <c:pt idx="3741">
                  <c:v>0.47879999999999701</c:v>
                </c:pt>
                <c:pt idx="3742">
                  <c:v>0.47879999999999701</c:v>
                </c:pt>
                <c:pt idx="3743">
                  <c:v>0.47879999999999701</c:v>
                </c:pt>
                <c:pt idx="3744">
                  <c:v>0.47879999999999701</c:v>
                </c:pt>
                <c:pt idx="3745">
                  <c:v>0.47879999999999701</c:v>
                </c:pt>
                <c:pt idx="3746">
                  <c:v>0.47879999999999701</c:v>
                </c:pt>
                <c:pt idx="3747">
                  <c:v>0.47879999999999701</c:v>
                </c:pt>
                <c:pt idx="3748">
                  <c:v>0.47879999999999701</c:v>
                </c:pt>
                <c:pt idx="3749">
                  <c:v>0.47879999999999701</c:v>
                </c:pt>
                <c:pt idx="3750">
                  <c:v>0.47879999999999701</c:v>
                </c:pt>
                <c:pt idx="3751">
                  <c:v>0.47879999999999701</c:v>
                </c:pt>
                <c:pt idx="3752">
                  <c:v>0.47879999999999701</c:v>
                </c:pt>
                <c:pt idx="3753">
                  <c:v>0.47879999999999701</c:v>
                </c:pt>
                <c:pt idx="3754">
                  <c:v>0.47879999999999701</c:v>
                </c:pt>
                <c:pt idx="3755">
                  <c:v>0.47879999999999701</c:v>
                </c:pt>
                <c:pt idx="3756">
                  <c:v>0.47879999999999701</c:v>
                </c:pt>
                <c:pt idx="3757">
                  <c:v>0.47879999999999701</c:v>
                </c:pt>
                <c:pt idx="3758">
                  <c:v>0.47879999999999701</c:v>
                </c:pt>
                <c:pt idx="3759">
                  <c:v>0.47879999999999701</c:v>
                </c:pt>
                <c:pt idx="3760">
                  <c:v>0.47879999999999701</c:v>
                </c:pt>
                <c:pt idx="3761">
                  <c:v>0.47879999999999701</c:v>
                </c:pt>
                <c:pt idx="3762">
                  <c:v>0.47879999999999701</c:v>
                </c:pt>
                <c:pt idx="3763">
                  <c:v>0.47879999999999701</c:v>
                </c:pt>
                <c:pt idx="3764">
                  <c:v>0.47879999999999701</c:v>
                </c:pt>
                <c:pt idx="3765">
                  <c:v>0.47879999999999701</c:v>
                </c:pt>
                <c:pt idx="3766">
                  <c:v>0.47879999999999701</c:v>
                </c:pt>
                <c:pt idx="3767">
                  <c:v>0.47879999999999701</c:v>
                </c:pt>
                <c:pt idx="3768">
                  <c:v>0.47879999999999701</c:v>
                </c:pt>
                <c:pt idx="3769">
                  <c:v>0.47879999999999701</c:v>
                </c:pt>
                <c:pt idx="3770">
                  <c:v>0.48364999999999703</c:v>
                </c:pt>
                <c:pt idx="3771">
                  <c:v>0.48364999999999703</c:v>
                </c:pt>
                <c:pt idx="3772">
                  <c:v>0.48364999999999703</c:v>
                </c:pt>
                <c:pt idx="3773">
                  <c:v>0.48364999999999703</c:v>
                </c:pt>
                <c:pt idx="3774">
                  <c:v>0.48364999999999703</c:v>
                </c:pt>
                <c:pt idx="3775">
                  <c:v>0.48157999999999701</c:v>
                </c:pt>
                <c:pt idx="3776">
                  <c:v>0.48157999999999701</c:v>
                </c:pt>
                <c:pt idx="3777">
                  <c:v>0.48157999999999701</c:v>
                </c:pt>
                <c:pt idx="3778">
                  <c:v>0.48157999999999701</c:v>
                </c:pt>
                <c:pt idx="3779">
                  <c:v>0.48157999999999701</c:v>
                </c:pt>
                <c:pt idx="3780">
                  <c:v>0.48157999999999701</c:v>
                </c:pt>
                <c:pt idx="3781">
                  <c:v>0.471129999999997</c:v>
                </c:pt>
                <c:pt idx="3782">
                  <c:v>0.471129999999997</c:v>
                </c:pt>
                <c:pt idx="3783">
                  <c:v>0.471129999999997</c:v>
                </c:pt>
                <c:pt idx="3784">
                  <c:v>0.471129999999997</c:v>
                </c:pt>
                <c:pt idx="3785">
                  <c:v>0.471129999999997</c:v>
                </c:pt>
                <c:pt idx="3786">
                  <c:v>0.471129999999997</c:v>
                </c:pt>
                <c:pt idx="3787">
                  <c:v>0.471129999999997</c:v>
                </c:pt>
                <c:pt idx="3788">
                  <c:v>0.471129999999997</c:v>
                </c:pt>
                <c:pt idx="3789">
                  <c:v>0.471129999999997</c:v>
                </c:pt>
                <c:pt idx="3790">
                  <c:v>0.471129999999997</c:v>
                </c:pt>
                <c:pt idx="3791">
                  <c:v>0.47480999999999701</c:v>
                </c:pt>
                <c:pt idx="3792">
                  <c:v>0.47480999999999701</c:v>
                </c:pt>
                <c:pt idx="3793">
                  <c:v>0.47480999999999701</c:v>
                </c:pt>
                <c:pt idx="3794">
                  <c:v>0.47480999999999701</c:v>
                </c:pt>
                <c:pt idx="3795">
                  <c:v>0.47480999999999701</c:v>
                </c:pt>
                <c:pt idx="3796">
                  <c:v>0.47480999999999701</c:v>
                </c:pt>
                <c:pt idx="3797">
                  <c:v>0.47480999999999701</c:v>
                </c:pt>
                <c:pt idx="3798">
                  <c:v>0.47480999999999701</c:v>
                </c:pt>
                <c:pt idx="3799">
                  <c:v>0.47480999999999701</c:v>
                </c:pt>
                <c:pt idx="3800">
                  <c:v>0.47480999999999701</c:v>
                </c:pt>
                <c:pt idx="3801">
                  <c:v>0.47480999999999701</c:v>
                </c:pt>
                <c:pt idx="3802">
                  <c:v>0.47480999999999701</c:v>
                </c:pt>
                <c:pt idx="3803">
                  <c:v>0.47480999999999701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9663640"/>
        <c:axId val="359662464"/>
      </c:lineChart>
      <c:catAx>
        <c:axId val="3596636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662464"/>
        <c:crosses val="autoZero"/>
        <c:auto val="1"/>
        <c:lblAlgn val="ctr"/>
        <c:lblOffset val="100"/>
        <c:noMultiLvlLbl val="0"/>
      </c:catAx>
      <c:valAx>
        <c:axId val="359662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663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6</xdr:row>
      <xdr:rowOff>121920</xdr:rowOff>
    </xdr:from>
    <xdr:to>
      <xdr:col>16</xdr:col>
      <xdr:colOff>556260</xdr:colOff>
      <xdr:row>24</xdr:row>
      <xdr:rowOff>144780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B1:M36"/>
  <sheetViews>
    <sheetView topLeftCell="A13" workbookViewId="0">
      <selection activeCell="H35" sqref="H35"/>
    </sheetView>
  </sheetViews>
  <sheetFormatPr defaultRowHeight="14.4" x14ac:dyDescent="0.3"/>
  <cols>
    <col min="3" max="3" width="24.5546875" customWidth="1"/>
    <col min="4" max="4" width="13.77734375" customWidth="1"/>
    <col min="9" max="9" width="47.109375" customWidth="1"/>
    <col min="12" max="12" width="12.44140625" customWidth="1"/>
  </cols>
  <sheetData>
    <row r="1" spans="2:13" ht="15" thickBot="1" x14ac:dyDescent="0.35">
      <c r="L1" s="23" t="s">
        <v>26</v>
      </c>
      <c r="M1" s="24" t="s">
        <v>25</v>
      </c>
    </row>
    <row r="2" spans="2:13" ht="15" thickBot="1" x14ac:dyDescent="0.35">
      <c r="B2" s="2"/>
      <c r="C2" s="3"/>
      <c r="D2" s="4" t="s">
        <v>4</v>
      </c>
      <c r="E2" s="4" t="s">
        <v>2</v>
      </c>
      <c r="F2" s="4"/>
      <c r="G2" s="4" t="s">
        <v>3</v>
      </c>
      <c r="H2" s="3"/>
      <c r="I2" s="4" t="s">
        <v>14</v>
      </c>
      <c r="J2" s="5"/>
      <c r="L2" s="23" t="s">
        <v>20</v>
      </c>
      <c r="M2" s="1" t="s">
        <v>31</v>
      </c>
    </row>
    <row r="3" spans="2:13" x14ac:dyDescent="0.3">
      <c r="B3" s="6"/>
      <c r="C3" s="16" t="s">
        <v>0</v>
      </c>
      <c r="D3" s="7"/>
      <c r="E3" s="8">
        <f>E4-D7</f>
        <v>3697</v>
      </c>
      <c r="F3" s="7"/>
      <c r="G3" s="9">
        <f>E3-D8</f>
        <v>3597</v>
      </c>
      <c r="H3" s="20"/>
      <c r="I3" s="21" t="str">
        <f>"N_Agents = """&amp;D13&amp;""""</f>
        <v>N_Agents = "05k"</v>
      </c>
      <c r="J3" s="10"/>
      <c r="L3" s="26" t="s">
        <v>21</v>
      </c>
      <c r="M3">
        <v>100</v>
      </c>
    </row>
    <row r="4" spans="2:13" x14ac:dyDescent="0.3">
      <c r="B4" s="6"/>
      <c r="C4" s="16" t="s">
        <v>1</v>
      </c>
      <c r="D4" s="11">
        <v>43347</v>
      </c>
      <c r="E4" s="12">
        <v>3997</v>
      </c>
      <c r="F4" s="7"/>
      <c r="G4" s="7">
        <f>E4-D8</f>
        <v>3897</v>
      </c>
      <c r="H4" s="7"/>
      <c r="I4" s="21" t="str">
        <f>"AltrevaConfig = """&amp;D12&amp;""" "</f>
        <v xml:space="preserve">AltrevaConfig = "05k-EURUSD-T1-30m-T130.acn" </v>
      </c>
      <c r="J4" s="13"/>
    </row>
    <row r="5" spans="2:13" x14ac:dyDescent="0.3">
      <c r="B5" s="6"/>
      <c r="C5" s="16" t="s">
        <v>7</v>
      </c>
      <c r="D5" s="7"/>
      <c r="E5" s="7"/>
      <c r="F5" s="7"/>
      <c r="G5" s="7"/>
      <c r="H5" s="7"/>
      <c r="I5" s="21" t="str">
        <f>"UniqueConfPrefix = """&amp;D9&amp;D14&amp;""""</f>
        <v>UniqueConfPrefix = "T130"</v>
      </c>
      <c r="J5" s="13"/>
    </row>
    <row r="6" spans="2:13" x14ac:dyDescent="0.3">
      <c r="B6" s="6"/>
      <c r="C6" s="16"/>
      <c r="D6" s="7"/>
      <c r="E6" s="7"/>
      <c r="F6" s="7"/>
      <c r="G6" s="7"/>
      <c r="H6" s="7"/>
      <c r="I6" s="21" t="str">
        <f>"ModelsNamePrefix = " &amp;D16</f>
        <v>ModelsNamePrefix = 1000</v>
      </c>
      <c r="J6" s="13"/>
    </row>
    <row r="7" spans="2:13" x14ac:dyDescent="0.3">
      <c r="B7" s="6"/>
      <c r="C7" s="16" t="s">
        <v>5</v>
      </c>
      <c r="D7" s="7">
        <v>300</v>
      </c>
      <c r="E7" s="7"/>
      <c r="F7" s="7"/>
      <c r="G7" s="7"/>
      <c r="H7" s="7"/>
      <c r="I7" s="21" t="str">
        <f>"NumberOfModels = " &amp;D15</f>
        <v>NumberOfModels = 100</v>
      </c>
      <c r="J7" s="13"/>
    </row>
    <row r="8" spans="2:13" x14ac:dyDescent="0.3">
      <c r="B8" s="6"/>
      <c r="C8" s="16" t="s">
        <v>6</v>
      </c>
      <c r="D8" s="7">
        <v>100</v>
      </c>
      <c r="E8" s="7"/>
      <c r="F8" s="7"/>
      <c r="G8" s="7"/>
      <c r="H8" s="7"/>
      <c r="I8" s="21" t="str">
        <f>"Style = """&amp;D17&amp;""""</f>
        <v>Style = "1FDA-style.aps"</v>
      </c>
      <c r="J8" s="13"/>
    </row>
    <row r="9" spans="2:13" x14ac:dyDescent="0.3">
      <c r="B9" s="6"/>
      <c r="C9" s="16" t="s">
        <v>16</v>
      </c>
      <c r="D9" s="12" t="s">
        <v>443</v>
      </c>
      <c r="E9" s="7"/>
      <c r="F9" s="7"/>
      <c r="G9" s="7"/>
      <c r="H9" s="7"/>
      <c r="J9" s="13"/>
    </row>
    <row r="10" spans="2:13" x14ac:dyDescent="0.3">
      <c r="B10" s="6"/>
      <c r="C10" s="16" t="s">
        <v>17</v>
      </c>
      <c r="D10" s="12" t="s">
        <v>28</v>
      </c>
      <c r="E10" s="7"/>
      <c r="F10" s="7"/>
      <c r="G10" s="7"/>
      <c r="H10" s="7"/>
      <c r="I10" s="22" t="s">
        <v>15</v>
      </c>
      <c r="J10" s="13"/>
    </row>
    <row r="11" spans="2:13" x14ac:dyDescent="0.3">
      <c r="B11" s="6"/>
      <c r="C11" s="17" t="s">
        <v>8</v>
      </c>
      <c r="D11" t="s">
        <v>445</v>
      </c>
      <c r="E11" s="7"/>
      <c r="F11" s="7"/>
      <c r="G11" s="7"/>
      <c r="H11" s="7"/>
      <c r="I11" s="25" t="str">
        <f>D12&amp;"-"&amp; D16 &amp; "-.vbs"</f>
        <v>05k-EURUSD-T1-30m-T130.acn-1000-.vbs</v>
      </c>
      <c r="J11" s="13"/>
    </row>
    <row r="12" spans="2:13" x14ac:dyDescent="0.3">
      <c r="B12" s="6"/>
      <c r="C12" s="17" t="s">
        <v>10</v>
      </c>
      <c r="D12" s="12" t="str">
        <f>D13&amp;"-" &amp; D10&amp;"-"&amp;D9&amp;"-" &amp;D14&amp;"m-" &amp; D18&amp; ".acn"</f>
        <v>05k-EURUSD-T1-30m-T130.acn</v>
      </c>
      <c r="E12" s="7"/>
      <c r="F12" s="7"/>
      <c r="G12" s="7"/>
      <c r="H12" s="7"/>
      <c r="I12" s="20"/>
      <c r="J12" s="13"/>
    </row>
    <row r="13" spans="2:13" x14ac:dyDescent="0.3">
      <c r="B13" s="6"/>
      <c r="C13" s="17" t="s">
        <v>9</v>
      </c>
      <c r="D13" s="12" t="str">
        <f>$M$2</f>
        <v>05k</v>
      </c>
      <c r="E13" s="7"/>
      <c r="F13" s="7"/>
      <c r="G13" s="7"/>
      <c r="H13" s="7"/>
      <c r="I13" s="7"/>
      <c r="J13" s="13"/>
    </row>
    <row r="14" spans="2:13" x14ac:dyDescent="0.3">
      <c r="B14" s="6"/>
      <c r="C14" s="17" t="s">
        <v>30</v>
      </c>
      <c r="D14" s="12">
        <v>30</v>
      </c>
      <c r="E14" s="7"/>
      <c r="F14" s="7"/>
      <c r="G14" s="7"/>
      <c r="H14" s="7"/>
      <c r="I14" s="7"/>
      <c r="J14" s="13"/>
    </row>
    <row r="15" spans="2:13" x14ac:dyDescent="0.3">
      <c r="B15" s="6"/>
      <c r="C15" s="17" t="s">
        <v>11</v>
      </c>
      <c r="D15" s="12">
        <f>$M$3</f>
        <v>100</v>
      </c>
      <c r="E15" s="7"/>
      <c r="F15" s="7"/>
      <c r="G15" s="7"/>
      <c r="H15" s="7"/>
      <c r="I15" s="7"/>
      <c r="J15" s="13"/>
    </row>
    <row r="16" spans="2:13" x14ac:dyDescent="0.3">
      <c r="B16" s="6"/>
      <c r="C16" s="17" t="s">
        <v>12</v>
      </c>
      <c r="D16" s="12">
        <v>1000</v>
      </c>
      <c r="E16" s="7"/>
      <c r="F16" s="7"/>
      <c r="G16" s="7"/>
      <c r="H16" s="7"/>
      <c r="I16" s="7"/>
      <c r="J16" s="13"/>
    </row>
    <row r="17" spans="2:10" x14ac:dyDescent="0.3">
      <c r="B17" s="6"/>
      <c r="C17" s="17" t="s">
        <v>19</v>
      </c>
      <c r="D17" s="27" t="s">
        <v>22</v>
      </c>
      <c r="E17" s="7"/>
      <c r="F17" s="7"/>
      <c r="G17" s="7"/>
      <c r="H17" s="7"/>
      <c r="I17" s="28" t="s">
        <v>447</v>
      </c>
      <c r="J17" s="13"/>
    </row>
    <row r="18" spans="2:10" x14ac:dyDescent="0.3">
      <c r="B18" s="14"/>
      <c r="C18" s="18" t="s">
        <v>13</v>
      </c>
      <c r="D18" s="15" t="str">
        <f>D9&amp;D14</f>
        <v>T130</v>
      </c>
      <c r="E18" s="15"/>
      <c r="F18" s="15"/>
      <c r="G18" s="15"/>
      <c r="H18" s="15"/>
      <c r="I18" s="15"/>
      <c r="J18" s="19"/>
    </row>
    <row r="20" spans="2:10" x14ac:dyDescent="0.3">
      <c r="B20" s="2"/>
      <c r="C20" s="3"/>
      <c r="D20" s="4" t="s">
        <v>4</v>
      </c>
      <c r="E20" s="4" t="s">
        <v>2</v>
      </c>
      <c r="F20" s="4"/>
      <c r="G20" s="4" t="s">
        <v>3</v>
      </c>
      <c r="H20" s="3"/>
      <c r="I20" s="4" t="s">
        <v>14</v>
      </c>
      <c r="J20" s="5"/>
    </row>
    <row r="21" spans="2:10" x14ac:dyDescent="0.3">
      <c r="B21" s="6"/>
      <c r="C21" s="16" t="s">
        <v>0</v>
      </c>
      <c r="D21" s="7"/>
      <c r="E21" s="8">
        <f>E22-D25</f>
        <v>3697</v>
      </c>
      <c r="F21" s="7"/>
      <c r="G21" s="9">
        <f>E21-D26</f>
        <v>3597</v>
      </c>
      <c r="H21" s="20"/>
      <c r="I21" s="21" t="str">
        <f>"N_Agents = """&amp;D31&amp;""""</f>
        <v>N_Agents = "05k"</v>
      </c>
      <c r="J21" s="10"/>
    </row>
    <row r="22" spans="2:10" x14ac:dyDescent="0.3">
      <c r="B22" s="6"/>
      <c r="C22" s="16" t="s">
        <v>1</v>
      </c>
      <c r="D22" s="11">
        <v>43347</v>
      </c>
      <c r="E22" s="12">
        <v>3997</v>
      </c>
      <c r="F22" s="7"/>
      <c r="G22" s="7">
        <f>E22-D26</f>
        <v>3897</v>
      </c>
      <c r="H22" s="7"/>
      <c r="I22" s="21" t="str">
        <f>"AltrevaConfig = """&amp;D30&amp;""" "</f>
        <v xml:space="preserve">AltrevaConfig = "05k-EURUSD-T2-30m-T230.acn" </v>
      </c>
      <c r="J22" s="13"/>
    </row>
    <row r="23" spans="2:10" x14ac:dyDescent="0.3">
      <c r="B23" s="6"/>
      <c r="C23" s="16" t="s">
        <v>7</v>
      </c>
      <c r="D23" s="7"/>
      <c r="E23" s="7"/>
      <c r="F23" s="7"/>
      <c r="G23" s="7"/>
      <c r="H23" s="7"/>
      <c r="I23" s="21" t="str">
        <f>"UniqueConfPrefix = """&amp;D27&amp;D32&amp;""""</f>
        <v>UniqueConfPrefix = "T230"</v>
      </c>
      <c r="J23" s="13"/>
    </row>
    <row r="24" spans="2:10" x14ac:dyDescent="0.3">
      <c r="B24" s="6"/>
      <c r="C24" s="16"/>
      <c r="D24" s="7"/>
      <c r="E24" s="7"/>
      <c r="F24" s="7"/>
      <c r="G24" s="7"/>
      <c r="H24" s="7"/>
      <c r="I24" s="21" t="str">
        <f>"ModelsNamePrefix = " &amp;D34</f>
        <v>ModelsNamePrefix = 1000</v>
      </c>
      <c r="J24" s="13"/>
    </row>
    <row r="25" spans="2:10" x14ac:dyDescent="0.3">
      <c r="B25" s="6"/>
      <c r="C25" s="16" t="s">
        <v>5</v>
      </c>
      <c r="D25" s="7">
        <v>300</v>
      </c>
      <c r="E25" s="7"/>
      <c r="F25" s="7"/>
      <c r="G25" s="7"/>
      <c r="H25" s="7"/>
      <c r="I25" s="21" t="str">
        <f>"NumberOfModels = " &amp;D33</f>
        <v>NumberOfModels = 100</v>
      </c>
      <c r="J25" s="13"/>
    </row>
    <row r="26" spans="2:10" x14ac:dyDescent="0.3">
      <c r="B26" s="6"/>
      <c r="C26" s="16" t="s">
        <v>6</v>
      </c>
      <c r="D26" s="7">
        <v>100</v>
      </c>
      <c r="E26" s="7"/>
      <c r="F26" s="7"/>
      <c r="G26" s="7"/>
      <c r="H26" s="7"/>
      <c r="I26" s="21" t="str">
        <f>"Style = """&amp;D35&amp;""""</f>
        <v>Style = "1FDA-style.aps"</v>
      </c>
      <c r="J26" s="13"/>
    </row>
    <row r="27" spans="2:10" x14ac:dyDescent="0.3">
      <c r="B27" s="6"/>
      <c r="C27" s="16" t="s">
        <v>16</v>
      </c>
      <c r="D27" s="12" t="s">
        <v>444</v>
      </c>
      <c r="E27" s="7"/>
      <c r="F27" s="7"/>
      <c r="G27" s="7"/>
      <c r="H27" s="7"/>
      <c r="J27" s="13"/>
    </row>
    <row r="28" spans="2:10" x14ac:dyDescent="0.3">
      <c r="B28" s="6"/>
      <c r="C28" s="16" t="s">
        <v>17</v>
      </c>
      <c r="D28" s="12" t="s">
        <v>28</v>
      </c>
      <c r="E28" s="7"/>
      <c r="F28" s="7"/>
      <c r="G28" s="7"/>
      <c r="H28" s="7"/>
      <c r="I28" s="22" t="s">
        <v>15</v>
      </c>
      <c r="J28" s="13"/>
    </row>
    <row r="29" spans="2:10" x14ac:dyDescent="0.3">
      <c r="B29" s="6"/>
      <c r="C29" s="17" t="s">
        <v>8</v>
      </c>
      <c r="D29" t="s">
        <v>446</v>
      </c>
      <c r="E29" s="7"/>
      <c r="F29" s="7"/>
      <c r="G29" s="7"/>
      <c r="H29" s="7"/>
      <c r="I29" s="25" t="str">
        <f>D30&amp;"-"&amp; D34 &amp; "-.vbs"</f>
        <v>05k-EURUSD-T2-30m-T230.acn-1000-.vbs</v>
      </c>
      <c r="J29" s="13"/>
    </row>
    <row r="30" spans="2:10" x14ac:dyDescent="0.3">
      <c r="B30" s="6"/>
      <c r="C30" s="17" t="s">
        <v>10</v>
      </c>
      <c r="D30" s="12" t="str">
        <f>D31&amp;"-" &amp; D28&amp;"-"&amp;D27&amp;"-" &amp;D32&amp;"m-" &amp; D36&amp; ".acn"</f>
        <v>05k-EURUSD-T2-30m-T230.acn</v>
      </c>
      <c r="E30" s="7"/>
      <c r="F30" s="7"/>
      <c r="G30" s="7"/>
      <c r="H30" s="7"/>
      <c r="I30" s="20"/>
      <c r="J30" s="13"/>
    </row>
    <row r="31" spans="2:10" x14ac:dyDescent="0.3">
      <c r="B31" s="6"/>
      <c r="C31" s="17" t="s">
        <v>9</v>
      </c>
      <c r="D31" s="12" t="str">
        <f>$M$2</f>
        <v>05k</v>
      </c>
      <c r="E31" s="7"/>
      <c r="F31" s="7"/>
      <c r="G31" s="7"/>
      <c r="H31" s="7"/>
      <c r="I31" s="7"/>
      <c r="J31" s="13"/>
    </row>
    <row r="32" spans="2:10" x14ac:dyDescent="0.3">
      <c r="B32" s="6"/>
      <c r="C32" s="17" t="s">
        <v>30</v>
      </c>
      <c r="D32" s="12">
        <v>30</v>
      </c>
      <c r="E32" s="7"/>
      <c r="F32" s="7"/>
      <c r="G32" s="7"/>
      <c r="H32" s="7"/>
      <c r="I32" s="7"/>
      <c r="J32" s="13"/>
    </row>
    <row r="33" spans="2:10" x14ac:dyDescent="0.3">
      <c r="B33" s="6"/>
      <c r="C33" s="17" t="s">
        <v>11</v>
      </c>
      <c r="D33" s="12">
        <f>$M$3</f>
        <v>100</v>
      </c>
      <c r="E33" s="7"/>
      <c r="F33" s="7"/>
      <c r="G33" s="7"/>
      <c r="H33" s="7"/>
      <c r="I33" s="7"/>
      <c r="J33" s="13"/>
    </row>
    <row r="34" spans="2:10" x14ac:dyDescent="0.3">
      <c r="B34" s="6"/>
      <c r="C34" s="17" t="s">
        <v>12</v>
      </c>
      <c r="D34" s="12">
        <v>1000</v>
      </c>
      <c r="E34" s="7"/>
      <c r="F34" s="7"/>
      <c r="G34" s="7"/>
      <c r="H34" s="7"/>
      <c r="I34" s="7"/>
      <c r="J34" s="13"/>
    </row>
    <row r="35" spans="2:10" x14ac:dyDescent="0.3">
      <c r="B35" s="6"/>
      <c r="C35" s="17" t="s">
        <v>19</v>
      </c>
      <c r="D35" s="27" t="s">
        <v>22</v>
      </c>
      <c r="E35" s="7"/>
      <c r="F35" s="7"/>
      <c r="G35" s="7"/>
      <c r="H35" s="7"/>
      <c r="I35" s="28" t="s">
        <v>447</v>
      </c>
      <c r="J35" s="13"/>
    </row>
    <row r="36" spans="2:10" x14ac:dyDescent="0.3">
      <c r="B36" s="14"/>
      <c r="C36" s="18" t="s">
        <v>13</v>
      </c>
      <c r="D36" s="15" t="str">
        <f>D27&amp;D32</f>
        <v>T230</v>
      </c>
      <c r="E36" s="15"/>
      <c r="F36" s="15"/>
      <c r="G36" s="15"/>
      <c r="H36" s="15"/>
      <c r="I36" s="15"/>
      <c r="J36" s="19"/>
    </row>
  </sheetData>
  <pageMargins left="0.7" right="0.7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B1:M54"/>
  <sheetViews>
    <sheetView workbookViewId="0">
      <selection activeCell="I47" sqref="I47"/>
    </sheetView>
  </sheetViews>
  <sheetFormatPr defaultRowHeight="14.4" x14ac:dyDescent="0.3"/>
  <cols>
    <col min="3" max="3" width="24.5546875" customWidth="1"/>
    <col min="4" max="4" width="13.77734375" customWidth="1"/>
    <col min="9" max="9" width="47.109375" customWidth="1"/>
    <col min="12" max="12" width="12.44140625" customWidth="1"/>
  </cols>
  <sheetData>
    <row r="1" spans="2:13" ht="15" thickBot="1" x14ac:dyDescent="0.35">
      <c r="L1" s="23" t="s">
        <v>26</v>
      </c>
      <c r="M1" s="24" t="s">
        <v>25</v>
      </c>
    </row>
    <row r="2" spans="2:13" ht="15" thickBot="1" x14ac:dyDescent="0.35">
      <c r="B2" s="2"/>
      <c r="C2" s="3"/>
      <c r="D2" s="4" t="s">
        <v>4</v>
      </c>
      <c r="E2" s="4" t="s">
        <v>2</v>
      </c>
      <c r="F2" s="4"/>
      <c r="G2" s="4" t="s">
        <v>3</v>
      </c>
      <c r="H2" s="3"/>
      <c r="I2" s="4" t="s">
        <v>14</v>
      </c>
      <c r="J2" s="5"/>
      <c r="L2" s="23" t="s">
        <v>20</v>
      </c>
      <c r="M2" s="1" t="s">
        <v>36</v>
      </c>
    </row>
    <row r="3" spans="2:13" x14ac:dyDescent="0.3">
      <c r="B3" s="6"/>
      <c r="C3" s="16" t="s">
        <v>0</v>
      </c>
      <c r="D3" s="7"/>
      <c r="E3" s="8">
        <f>E4-D7</f>
        <v>3697</v>
      </c>
      <c r="F3" s="7"/>
      <c r="G3" s="9">
        <f>E3-D8</f>
        <v>3597</v>
      </c>
      <c r="H3" s="20"/>
      <c r="I3" s="21" t="str">
        <f>"N_Agents = """&amp;D13&amp;""""</f>
        <v>N_Agents = "50k"</v>
      </c>
      <c r="J3" s="10"/>
      <c r="L3" s="26" t="s">
        <v>21</v>
      </c>
      <c r="M3">
        <v>100</v>
      </c>
    </row>
    <row r="4" spans="2:13" x14ac:dyDescent="0.3">
      <c r="B4" s="6"/>
      <c r="C4" s="16" t="s">
        <v>1</v>
      </c>
      <c r="D4" s="11">
        <v>43347</v>
      </c>
      <c r="E4" s="12">
        <v>3997</v>
      </c>
      <c r="F4" s="7"/>
      <c r="G4" s="7">
        <f>E4-D8</f>
        <v>3897</v>
      </c>
      <c r="H4" s="7"/>
      <c r="I4" s="21" t="str">
        <f>"AltrevaConfig = """&amp;D12&amp;""" "</f>
        <v xml:space="preserve">AltrevaConfig = "50k-EURUSD-1D-00m-1D00.acn" </v>
      </c>
      <c r="J4" s="13"/>
    </row>
    <row r="5" spans="2:13" x14ac:dyDescent="0.3">
      <c r="B5" s="6"/>
      <c r="C5" s="16" t="s">
        <v>7</v>
      </c>
      <c r="D5" s="7"/>
      <c r="E5" s="7"/>
      <c r="F5" s="7"/>
      <c r="G5" s="7"/>
      <c r="H5" s="7"/>
      <c r="I5" s="21" t="str">
        <f>"UniqueConfPrefix = """&amp;D9&amp;D14&amp;""""</f>
        <v>UniqueConfPrefix = "1D00"</v>
      </c>
      <c r="J5" s="13"/>
    </row>
    <row r="6" spans="2:13" x14ac:dyDescent="0.3">
      <c r="B6" s="6"/>
      <c r="C6" s="16"/>
      <c r="D6" s="7"/>
      <c r="E6" s="7"/>
      <c r="F6" s="7"/>
      <c r="G6" s="7"/>
      <c r="H6" s="7"/>
      <c r="I6" s="21" t="str">
        <f>"ModelsNamePrefix = " &amp;D16</f>
        <v>ModelsNamePrefix = 1000</v>
      </c>
      <c r="J6" s="13"/>
    </row>
    <row r="7" spans="2:13" x14ac:dyDescent="0.3">
      <c r="B7" s="6"/>
      <c r="C7" s="16" t="s">
        <v>5</v>
      </c>
      <c r="D7" s="7">
        <v>300</v>
      </c>
      <c r="E7" s="7"/>
      <c r="F7" s="7"/>
      <c r="G7" s="7"/>
      <c r="H7" s="7"/>
      <c r="I7" s="21" t="str">
        <f>"NumberOfModels = " &amp;D15</f>
        <v>NumberOfModels = 100</v>
      </c>
      <c r="J7" s="13"/>
    </row>
    <row r="8" spans="2:13" x14ac:dyDescent="0.3">
      <c r="B8" s="6"/>
      <c r="C8" s="16" t="s">
        <v>6</v>
      </c>
      <c r="D8" s="7">
        <v>100</v>
      </c>
      <c r="E8" s="7"/>
      <c r="F8" s="7"/>
      <c r="G8" s="7"/>
      <c r="H8" s="7"/>
      <c r="I8" s="21" t="str">
        <f>"Style = """&amp;D17&amp;""""</f>
        <v>Style = "1FDA-style.aps"</v>
      </c>
      <c r="J8" s="13"/>
    </row>
    <row r="9" spans="2:13" x14ac:dyDescent="0.3">
      <c r="B9" s="6"/>
      <c r="C9" s="16" t="s">
        <v>16</v>
      </c>
      <c r="D9" s="12" t="s">
        <v>27</v>
      </c>
      <c r="E9" s="7"/>
      <c r="F9" s="7"/>
      <c r="G9" s="7"/>
      <c r="H9" s="7"/>
      <c r="J9" s="13"/>
    </row>
    <row r="10" spans="2:13" x14ac:dyDescent="0.3">
      <c r="B10" s="6"/>
      <c r="C10" s="16" t="s">
        <v>17</v>
      </c>
      <c r="D10" s="12" t="s">
        <v>28</v>
      </c>
      <c r="E10" s="7"/>
      <c r="F10" s="7"/>
      <c r="G10" s="7"/>
      <c r="H10" s="7"/>
      <c r="I10" s="22" t="s">
        <v>15</v>
      </c>
      <c r="J10" s="13"/>
    </row>
    <row r="11" spans="2:13" x14ac:dyDescent="0.3">
      <c r="B11" s="6"/>
      <c r="C11" s="17" t="s">
        <v>8</v>
      </c>
      <c r="D11" t="s">
        <v>29</v>
      </c>
      <c r="E11" s="7"/>
      <c r="F11" s="7"/>
      <c r="G11" s="7"/>
      <c r="H11" s="7"/>
      <c r="I11" s="25" t="str">
        <f>D12&amp;"-"&amp; D16 &amp; "-.vbs"</f>
        <v>50k-EURUSD-1D-00m-1D00.acn-1000-.vbs</v>
      </c>
      <c r="J11" s="13"/>
    </row>
    <row r="12" spans="2:13" x14ac:dyDescent="0.3">
      <c r="B12" s="6"/>
      <c r="C12" s="17" t="s">
        <v>10</v>
      </c>
      <c r="D12" s="12" t="str">
        <f>D13&amp;"-" &amp; D10&amp;"-"&amp;D9&amp;"-" &amp;D14&amp;"m-" &amp; D18&amp; ".acn"</f>
        <v>50k-EURUSD-1D-00m-1D00.acn</v>
      </c>
      <c r="E12" s="7"/>
      <c r="F12" s="7"/>
      <c r="G12" s="7"/>
      <c r="H12" s="7"/>
      <c r="I12" s="20"/>
      <c r="J12" s="13"/>
    </row>
    <row r="13" spans="2:13" x14ac:dyDescent="0.3">
      <c r="B13" s="6"/>
      <c r="C13" s="17" t="s">
        <v>9</v>
      </c>
      <c r="D13" s="12" t="str">
        <f>$M$2</f>
        <v>50k</v>
      </c>
      <c r="E13" s="7"/>
      <c r="F13" s="7"/>
      <c r="G13" s="7"/>
      <c r="H13" s="7"/>
      <c r="I13" s="7"/>
      <c r="J13" s="13"/>
    </row>
    <row r="14" spans="2:13" x14ac:dyDescent="0.3">
      <c r="B14" s="6"/>
      <c r="C14" s="17" t="s">
        <v>30</v>
      </c>
      <c r="D14" s="12" t="str">
        <f>"00"</f>
        <v>00</v>
      </c>
      <c r="E14" s="7"/>
      <c r="F14" s="7"/>
      <c r="G14" s="7"/>
      <c r="H14" s="7"/>
      <c r="I14" s="7"/>
      <c r="J14" s="13"/>
    </row>
    <row r="15" spans="2:13" x14ac:dyDescent="0.3">
      <c r="B15" s="6"/>
      <c r="C15" s="17" t="s">
        <v>11</v>
      </c>
      <c r="D15" s="12">
        <f>$M$3</f>
        <v>100</v>
      </c>
      <c r="E15" s="7"/>
      <c r="F15" s="7"/>
      <c r="G15" s="7"/>
      <c r="H15" s="7"/>
      <c r="I15" s="7"/>
      <c r="J15" s="13"/>
    </row>
    <row r="16" spans="2:13" x14ac:dyDescent="0.3">
      <c r="B16" s="6"/>
      <c r="C16" s="17" t="s">
        <v>12</v>
      </c>
      <c r="D16" s="12">
        <v>1000</v>
      </c>
      <c r="E16" s="7"/>
      <c r="F16" s="7"/>
      <c r="G16" s="7"/>
      <c r="H16" s="7"/>
      <c r="I16" s="7"/>
      <c r="J16" s="13"/>
    </row>
    <row r="17" spans="2:10" x14ac:dyDescent="0.3">
      <c r="B17" s="6"/>
      <c r="C17" s="17" t="s">
        <v>19</v>
      </c>
      <c r="D17" s="27" t="s">
        <v>22</v>
      </c>
      <c r="E17" s="7"/>
      <c r="F17" s="7"/>
      <c r="G17" s="7"/>
      <c r="H17" s="7" t="s">
        <v>23</v>
      </c>
      <c r="I17" s="28" t="s">
        <v>24</v>
      </c>
      <c r="J17" s="13"/>
    </row>
    <row r="18" spans="2:10" x14ac:dyDescent="0.3">
      <c r="B18" s="14"/>
      <c r="C18" s="18" t="s">
        <v>13</v>
      </c>
      <c r="D18" s="15" t="str">
        <f>D9&amp;D14</f>
        <v>1D00</v>
      </c>
      <c r="E18" s="15"/>
      <c r="F18" s="15"/>
      <c r="G18" s="15"/>
      <c r="H18" s="15"/>
      <c r="I18" s="15"/>
      <c r="J18" s="19"/>
    </row>
    <row r="20" spans="2:10" x14ac:dyDescent="0.3">
      <c r="B20" s="2"/>
      <c r="C20" s="3"/>
      <c r="D20" s="4" t="s">
        <v>4</v>
      </c>
      <c r="E20" s="4" t="s">
        <v>2</v>
      </c>
      <c r="F20" s="4"/>
      <c r="G20" s="4" t="s">
        <v>3</v>
      </c>
      <c r="H20" s="3"/>
      <c r="I20" s="4" t="s">
        <v>14</v>
      </c>
      <c r="J20" s="5"/>
    </row>
    <row r="21" spans="2:10" x14ac:dyDescent="0.3">
      <c r="B21" s="6"/>
      <c r="C21" s="16" t="s">
        <v>0</v>
      </c>
      <c r="D21" s="7"/>
      <c r="E21" s="8">
        <f>E22-D25</f>
        <v>3697</v>
      </c>
      <c r="F21" s="7"/>
      <c r="G21" s="9">
        <f>E21-D26</f>
        <v>3597</v>
      </c>
      <c r="H21" s="20"/>
      <c r="I21" s="21" t="str">
        <f>"N_Agents = """&amp;D31&amp;""""</f>
        <v>N_Agents = "50k"</v>
      </c>
      <c r="J21" s="10"/>
    </row>
    <row r="22" spans="2:10" x14ac:dyDescent="0.3">
      <c r="B22" s="6"/>
      <c r="C22" s="16" t="s">
        <v>1</v>
      </c>
      <c r="D22" s="11">
        <v>43347</v>
      </c>
      <c r="E22" s="12">
        <v>3997</v>
      </c>
      <c r="F22" s="7"/>
      <c r="G22" s="7">
        <f>E22-D26</f>
        <v>3897</v>
      </c>
      <c r="H22" s="7"/>
      <c r="I22" s="21" t="str">
        <f>"AltrevaConfig = """&amp;D30&amp;""" "</f>
        <v xml:space="preserve">AltrevaConfig = "50k-EURUSD-1D-15m-1D15.acn" </v>
      </c>
      <c r="J22" s="13"/>
    </row>
    <row r="23" spans="2:10" x14ac:dyDescent="0.3">
      <c r="B23" s="6"/>
      <c r="C23" s="16" t="s">
        <v>7</v>
      </c>
      <c r="D23" s="7"/>
      <c r="E23" s="7"/>
      <c r="F23" s="7"/>
      <c r="G23" s="7"/>
      <c r="H23" s="7"/>
      <c r="I23" s="21" t="str">
        <f>"UniqueConfPrefix = """&amp;D27&amp;D32&amp;""""</f>
        <v>UniqueConfPrefix = "1D15"</v>
      </c>
      <c r="J23" s="13"/>
    </row>
    <row r="24" spans="2:10" x14ac:dyDescent="0.3">
      <c r="B24" s="6"/>
      <c r="C24" s="16"/>
      <c r="D24" s="7"/>
      <c r="E24" s="7"/>
      <c r="F24" s="7"/>
      <c r="G24" s="7"/>
      <c r="H24" s="7"/>
      <c r="I24" s="21" t="str">
        <f>"ModelsNamePrefix = " &amp;D34</f>
        <v>ModelsNamePrefix = 2000</v>
      </c>
      <c r="J24" s="13"/>
    </row>
    <row r="25" spans="2:10" x14ac:dyDescent="0.3">
      <c r="B25" s="6"/>
      <c r="C25" s="16" t="s">
        <v>5</v>
      </c>
      <c r="D25" s="7">
        <v>300</v>
      </c>
      <c r="E25" s="7"/>
      <c r="F25" s="7"/>
      <c r="G25" s="7"/>
      <c r="H25" s="7"/>
      <c r="I25" s="21" t="str">
        <f>"NumberOfModels = " &amp;D33</f>
        <v>NumberOfModels = 100</v>
      </c>
      <c r="J25" s="13"/>
    </row>
    <row r="26" spans="2:10" x14ac:dyDescent="0.3">
      <c r="B26" s="6"/>
      <c r="C26" s="16" t="s">
        <v>6</v>
      </c>
      <c r="D26" s="7">
        <v>100</v>
      </c>
      <c r="E26" s="7"/>
      <c r="F26" s="7"/>
      <c r="G26" s="7"/>
      <c r="H26" s="7"/>
      <c r="I26" s="21" t="str">
        <f>"Style = """&amp;D35&amp;""""</f>
        <v>Style = "1FDA-style.aps"</v>
      </c>
      <c r="J26" s="13"/>
    </row>
    <row r="27" spans="2:10" x14ac:dyDescent="0.3">
      <c r="B27" s="6"/>
      <c r="C27" s="16" t="s">
        <v>16</v>
      </c>
      <c r="D27" s="12" t="s">
        <v>27</v>
      </c>
      <c r="E27" s="7"/>
      <c r="F27" s="7"/>
      <c r="G27" s="7"/>
      <c r="H27" s="7"/>
      <c r="J27" s="13"/>
    </row>
    <row r="28" spans="2:10" x14ac:dyDescent="0.3">
      <c r="B28" s="6"/>
      <c r="C28" s="16" t="s">
        <v>17</v>
      </c>
      <c r="D28" s="12" t="s">
        <v>28</v>
      </c>
      <c r="E28" s="7"/>
      <c r="F28" s="7"/>
      <c r="G28" s="7"/>
      <c r="H28" s="7"/>
      <c r="I28" s="22" t="s">
        <v>15</v>
      </c>
      <c r="J28" s="13"/>
    </row>
    <row r="29" spans="2:10" x14ac:dyDescent="0.3">
      <c r="B29" s="6"/>
      <c r="C29" s="17" t="s">
        <v>8</v>
      </c>
      <c r="D29" t="s">
        <v>29</v>
      </c>
      <c r="E29" s="7"/>
      <c r="F29" s="7"/>
      <c r="G29" s="7"/>
      <c r="H29" s="7"/>
      <c r="I29" s="25" t="str">
        <f>D30&amp;"-"&amp; D34 &amp; "-.vbs"</f>
        <v>50k-EURUSD-1D-15m-1D15.acn-2000-.vbs</v>
      </c>
      <c r="J29" s="13"/>
    </row>
    <row r="30" spans="2:10" x14ac:dyDescent="0.3">
      <c r="B30" s="6"/>
      <c r="C30" s="17" t="s">
        <v>10</v>
      </c>
      <c r="D30" s="12" t="str">
        <f>D31&amp;"-" &amp; D28&amp;"-"&amp;D27&amp;"-" &amp;D32&amp;"m-" &amp; D36&amp; ".acn"</f>
        <v>50k-EURUSD-1D-15m-1D15.acn</v>
      </c>
      <c r="E30" s="7"/>
      <c r="F30" s="7"/>
      <c r="G30" s="7"/>
      <c r="H30" s="7"/>
      <c r="I30" s="20"/>
      <c r="J30" s="13"/>
    </row>
    <row r="31" spans="2:10" x14ac:dyDescent="0.3">
      <c r="B31" s="6"/>
      <c r="C31" s="17" t="s">
        <v>9</v>
      </c>
      <c r="D31" s="12" t="str">
        <f>$M$2</f>
        <v>50k</v>
      </c>
      <c r="E31" s="7"/>
      <c r="F31" s="7"/>
      <c r="G31" s="7"/>
      <c r="H31" s="7"/>
      <c r="I31" s="7"/>
      <c r="J31" s="13"/>
    </row>
    <row r="32" spans="2:10" x14ac:dyDescent="0.3">
      <c r="B32" s="6"/>
      <c r="C32" s="17" t="s">
        <v>30</v>
      </c>
      <c r="D32" s="12">
        <v>15</v>
      </c>
      <c r="E32" s="7"/>
      <c r="F32" s="7"/>
      <c r="G32" s="7"/>
      <c r="H32" s="7"/>
      <c r="I32" s="7"/>
      <c r="J32" s="13"/>
    </row>
    <row r="33" spans="2:10" x14ac:dyDescent="0.3">
      <c r="B33" s="6"/>
      <c r="C33" s="17" t="s">
        <v>11</v>
      </c>
      <c r="D33" s="12">
        <f>$M$3</f>
        <v>100</v>
      </c>
      <c r="E33" s="7"/>
      <c r="F33" s="7"/>
      <c r="G33" s="7"/>
      <c r="H33" s="7"/>
      <c r="I33" s="7"/>
      <c r="J33" s="13"/>
    </row>
    <row r="34" spans="2:10" x14ac:dyDescent="0.3">
      <c r="B34" s="6"/>
      <c r="C34" s="17" t="s">
        <v>12</v>
      </c>
      <c r="D34" s="12">
        <v>2000</v>
      </c>
      <c r="E34" s="7"/>
      <c r="F34" s="7"/>
      <c r="G34" s="7"/>
      <c r="H34" s="7"/>
      <c r="I34" s="7"/>
      <c r="J34" s="13"/>
    </row>
    <row r="35" spans="2:10" x14ac:dyDescent="0.3">
      <c r="B35" s="6"/>
      <c r="C35" s="17" t="s">
        <v>19</v>
      </c>
      <c r="D35" s="27" t="s">
        <v>22</v>
      </c>
      <c r="E35" s="7"/>
      <c r="F35" s="7"/>
      <c r="G35" s="7"/>
      <c r="H35" s="7" t="s">
        <v>23</v>
      </c>
      <c r="I35" s="28" t="s">
        <v>24</v>
      </c>
      <c r="J35" s="13"/>
    </row>
    <row r="36" spans="2:10" x14ac:dyDescent="0.3">
      <c r="B36" s="14"/>
      <c r="C36" s="18" t="s">
        <v>13</v>
      </c>
      <c r="D36" s="15" t="str">
        <f>D27&amp;D32</f>
        <v>1D15</v>
      </c>
      <c r="E36" s="15"/>
      <c r="F36" s="15"/>
      <c r="G36" s="15"/>
      <c r="H36" s="15"/>
      <c r="I36" s="15"/>
      <c r="J36" s="19"/>
    </row>
    <row r="38" spans="2:10" x14ac:dyDescent="0.3">
      <c r="B38" s="2"/>
      <c r="C38" s="3"/>
      <c r="D38" s="4" t="s">
        <v>4</v>
      </c>
      <c r="E38" s="4" t="s">
        <v>2</v>
      </c>
      <c r="F38" s="4"/>
      <c r="G38" s="4" t="s">
        <v>3</v>
      </c>
      <c r="H38" s="3"/>
      <c r="I38" s="4" t="s">
        <v>14</v>
      </c>
      <c r="J38" s="5"/>
    </row>
    <row r="39" spans="2:10" x14ac:dyDescent="0.3">
      <c r="B39" s="6"/>
      <c r="C39" s="16" t="s">
        <v>0</v>
      </c>
      <c r="D39" s="7"/>
      <c r="E39" s="8">
        <f>E40-D43</f>
        <v>3697</v>
      </c>
      <c r="F39" s="7"/>
      <c r="G39" s="9">
        <f>E39-D44</f>
        <v>3597</v>
      </c>
      <c r="H39" s="20"/>
      <c r="I39" s="21" t="str">
        <f>"N_Agents = """&amp;D49&amp;""""</f>
        <v>N_Agents = "50k"</v>
      </c>
      <c r="J39" s="10"/>
    </row>
    <row r="40" spans="2:10" x14ac:dyDescent="0.3">
      <c r="B40" s="6"/>
      <c r="C40" s="16" t="s">
        <v>1</v>
      </c>
      <c r="D40" s="11">
        <v>43347</v>
      </c>
      <c r="E40" s="12">
        <v>3997</v>
      </c>
      <c r="F40" s="7"/>
      <c r="G40" s="7">
        <f>E40-D44</f>
        <v>3897</v>
      </c>
      <c r="H40" s="7"/>
      <c r="I40" s="21" t="str">
        <f>"AltrevaConfig = """&amp;D48&amp;""" "</f>
        <v xml:space="preserve">AltrevaConfig = "50k-EURUSD-1D-30m-1D30.acn" </v>
      </c>
      <c r="J40" s="13"/>
    </row>
    <row r="41" spans="2:10" x14ac:dyDescent="0.3">
      <c r="B41" s="6"/>
      <c r="C41" s="16" t="s">
        <v>7</v>
      </c>
      <c r="D41" s="7"/>
      <c r="E41" s="7"/>
      <c r="F41" s="7"/>
      <c r="G41" s="7"/>
      <c r="H41" s="7"/>
      <c r="I41" s="21" t="str">
        <f>"UniqueConfPrefix = """&amp;D45&amp;D50&amp;""""</f>
        <v>UniqueConfPrefix = "1D30"</v>
      </c>
      <c r="J41" s="13"/>
    </row>
    <row r="42" spans="2:10" x14ac:dyDescent="0.3">
      <c r="B42" s="6"/>
      <c r="C42" s="16"/>
      <c r="D42" s="7"/>
      <c r="E42" s="7"/>
      <c r="F42" s="7"/>
      <c r="G42" s="7"/>
      <c r="H42" s="7"/>
      <c r="I42" s="21" t="str">
        <f>"ModelsNamePrefix = " &amp;D52</f>
        <v>ModelsNamePrefix = 3000</v>
      </c>
      <c r="J42" s="13"/>
    </row>
    <row r="43" spans="2:10" x14ac:dyDescent="0.3">
      <c r="B43" s="6"/>
      <c r="C43" s="16" t="s">
        <v>5</v>
      </c>
      <c r="D43" s="7">
        <v>300</v>
      </c>
      <c r="E43" s="7"/>
      <c r="F43" s="7"/>
      <c r="G43" s="7"/>
      <c r="H43" s="7"/>
      <c r="I43" s="21" t="str">
        <f>"NumberOfModels = " &amp;D51</f>
        <v>NumberOfModels = 100</v>
      </c>
      <c r="J43" s="13"/>
    </row>
    <row r="44" spans="2:10" x14ac:dyDescent="0.3">
      <c r="B44" s="6"/>
      <c r="C44" s="16" t="s">
        <v>6</v>
      </c>
      <c r="D44" s="7">
        <v>100</v>
      </c>
      <c r="E44" s="7"/>
      <c r="F44" s="7"/>
      <c r="G44" s="7"/>
      <c r="H44" s="7"/>
      <c r="I44" s="21" t="str">
        <f>"Style = """&amp;D53&amp;""""</f>
        <v>Style = "1FDA-style.aps"</v>
      </c>
      <c r="J44" s="13"/>
    </row>
    <row r="45" spans="2:10" x14ac:dyDescent="0.3">
      <c r="B45" s="6"/>
      <c r="C45" s="16" t="s">
        <v>16</v>
      </c>
      <c r="D45" s="12" t="s">
        <v>27</v>
      </c>
      <c r="E45" s="7"/>
      <c r="F45" s="7"/>
      <c r="G45" s="7"/>
      <c r="H45" s="7"/>
      <c r="J45" s="13"/>
    </row>
    <row r="46" spans="2:10" x14ac:dyDescent="0.3">
      <c r="B46" s="6"/>
      <c r="C46" s="16" t="s">
        <v>17</v>
      </c>
      <c r="D46" s="12" t="s">
        <v>28</v>
      </c>
      <c r="E46" s="7"/>
      <c r="F46" s="7"/>
      <c r="G46" s="7"/>
      <c r="H46" s="7"/>
      <c r="I46" s="22" t="s">
        <v>15</v>
      </c>
      <c r="J46" s="13"/>
    </row>
    <row r="47" spans="2:10" x14ac:dyDescent="0.3">
      <c r="B47" s="6"/>
      <c r="C47" s="17" t="s">
        <v>8</v>
      </c>
      <c r="D47" t="s">
        <v>29</v>
      </c>
      <c r="E47" s="7"/>
      <c r="F47" s="7"/>
      <c r="G47" s="7"/>
      <c r="H47" s="7"/>
      <c r="I47" s="25" t="str">
        <f>D48&amp;"-"&amp; D52 &amp; "-.vbs"</f>
        <v>50k-EURUSD-1D-30m-1D30.acn-3000-.vbs</v>
      </c>
      <c r="J47" s="13"/>
    </row>
    <row r="48" spans="2:10" x14ac:dyDescent="0.3">
      <c r="B48" s="6"/>
      <c r="C48" s="17" t="s">
        <v>10</v>
      </c>
      <c r="D48" s="12" t="str">
        <f>D49&amp;"-" &amp; D46&amp;"-"&amp;D45&amp;"-" &amp;D50&amp;"m-" &amp; D54&amp; ".acn"</f>
        <v>50k-EURUSD-1D-30m-1D30.acn</v>
      </c>
      <c r="E48" s="7"/>
      <c r="F48" s="7"/>
      <c r="G48" s="7"/>
      <c r="H48" s="7"/>
      <c r="I48" s="20"/>
      <c r="J48" s="13"/>
    </row>
    <row r="49" spans="2:10" x14ac:dyDescent="0.3">
      <c r="B49" s="6"/>
      <c r="C49" s="17" t="s">
        <v>9</v>
      </c>
      <c r="D49" s="12" t="str">
        <f>$M$2</f>
        <v>50k</v>
      </c>
      <c r="E49" s="7"/>
      <c r="F49" s="7"/>
      <c r="G49" s="7"/>
      <c r="H49" s="7"/>
      <c r="I49" s="7"/>
      <c r="J49" s="13"/>
    </row>
    <row r="50" spans="2:10" x14ac:dyDescent="0.3">
      <c r="B50" s="6"/>
      <c r="C50" s="17" t="s">
        <v>30</v>
      </c>
      <c r="D50" s="12">
        <v>30</v>
      </c>
      <c r="E50" s="7"/>
      <c r="F50" s="7"/>
      <c r="G50" s="7"/>
      <c r="H50" s="7"/>
      <c r="I50" s="7"/>
      <c r="J50" s="13"/>
    </row>
    <row r="51" spans="2:10" x14ac:dyDescent="0.3">
      <c r="B51" s="6"/>
      <c r="C51" s="17" t="s">
        <v>11</v>
      </c>
      <c r="D51" s="12">
        <f>$M$3</f>
        <v>100</v>
      </c>
      <c r="E51" s="7"/>
      <c r="F51" s="7"/>
      <c r="G51" s="7"/>
      <c r="H51" s="7"/>
      <c r="I51" s="7"/>
      <c r="J51" s="13"/>
    </row>
    <row r="52" spans="2:10" x14ac:dyDescent="0.3">
      <c r="B52" s="6"/>
      <c r="C52" s="17" t="s">
        <v>12</v>
      </c>
      <c r="D52" s="12">
        <v>3000</v>
      </c>
      <c r="E52" s="7"/>
      <c r="F52" s="7"/>
      <c r="G52" s="7"/>
      <c r="H52" s="7"/>
      <c r="I52" s="7"/>
      <c r="J52" s="13"/>
    </row>
    <row r="53" spans="2:10" x14ac:dyDescent="0.3">
      <c r="B53" s="6"/>
      <c r="C53" s="17" t="s">
        <v>19</v>
      </c>
      <c r="D53" s="27" t="s">
        <v>22</v>
      </c>
      <c r="E53" s="7"/>
      <c r="F53" s="7"/>
      <c r="G53" s="7"/>
      <c r="H53" s="7" t="s">
        <v>23</v>
      </c>
      <c r="I53" s="28" t="s">
        <v>24</v>
      </c>
      <c r="J53" s="13"/>
    </row>
    <row r="54" spans="2:10" x14ac:dyDescent="0.3">
      <c r="B54" s="14"/>
      <c r="C54" s="18" t="s">
        <v>13</v>
      </c>
      <c r="D54" s="15" t="str">
        <f>D45&amp;D50</f>
        <v>1D30</v>
      </c>
      <c r="E54" s="15"/>
      <c r="F54" s="15"/>
      <c r="G54" s="15"/>
      <c r="H54" s="15"/>
      <c r="I54" s="15"/>
      <c r="J54" s="19"/>
    </row>
  </sheetData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S221"/>
  <sheetViews>
    <sheetView workbookViewId="0">
      <selection activeCell="J24" sqref="J2:J221"/>
    </sheetView>
  </sheetViews>
  <sheetFormatPr defaultRowHeight="14.4" x14ac:dyDescent="0.3"/>
  <cols>
    <col min="1" max="1" width="16" customWidth="1"/>
  </cols>
  <sheetData>
    <row r="1" spans="1:19" x14ac:dyDescent="0.3">
      <c r="A1" t="s">
        <v>60</v>
      </c>
      <c r="B1" t="s">
        <v>68</v>
      </c>
      <c r="C1" t="s">
        <v>69</v>
      </c>
      <c r="D1" t="s">
        <v>70</v>
      </c>
      <c r="E1" t="s">
        <v>71</v>
      </c>
      <c r="F1" t="s">
        <v>72</v>
      </c>
      <c r="R1" s="33" t="s">
        <v>73</v>
      </c>
      <c r="S1" s="1">
        <v>1</v>
      </c>
    </row>
    <row r="2" spans="1:19" x14ac:dyDescent="0.3">
      <c r="A2" t="s">
        <v>468</v>
      </c>
      <c r="B2">
        <v>95</v>
      </c>
      <c r="C2">
        <v>0.95</v>
      </c>
      <c r="D2">
        <v>0.05</v>
      </c>
      <c r="E2">
        <v>1</v>
      </c>
      <c r="F2">
        <v>0.5</v>
      </c>
      <c r="J2" t="str">
        <f>"start python sig-gen.py hist " &amp;A2 &amp; " " &amp; B2 &amp; " " &amp; C2 &amp; " " &amp; D2 &amp; " " &amp;F2 &amp; " " &amp; $S$1 &amp; " " &amp;A2</f>
        <v>start python sig-gen.py hist 05k_SBER_7001group.pkl 95 0.95 0.05 0.5 1 05k_SBER_7001group.pkl</v>
      </c>
    </row>
    <row r="3" spans="1:19" x14ac:dyDescent="0.3">
      <c r="A3" t="s">
        <v>469</v>
      </c>
      <c r="B3">
        <v>95</v>
      </c>
      <c r="C3">
        <v>0.95</v>
      </c>
      <c r="D3">
        <v>1</v>
      </c>
      <c r="E3">
        <v>1</v>
      </c>
      <c r="F3">
        <v>0.52</v>
      </c>
      <c r="J3" t="str">
        <f t="shared" ref="J3:J66" si="0">"start python sig-gen.py hist " &amp;A3 &amp; " " &amp; B3 &amp; " " &amp; C3 &amp; " " &amp; D3 &amp; " " &amp;F3 &amp; " " &amp; $S$1 &amp; " " &amp;A3</f>
        <v>start python sig-gen.py hist 05k_SBER_7002group.pkl 95 0.95 1 0.52 1 05k_SBER_7002group.pkl</v>
      </c>
    </row>
    <row r="4" spans="1:19" x14ac:dyDescent="0.3">
      <c r="A4" t="s">
        <v>470</v>
      </c>
      <c r="B4">
        <v>55</v>
      </c>
      <c r="C4">
        <v>0.5</v>
      </c>
      <c r="D4">
        <v>0.55000000000000004</v>
      </c>
      <c r="E4">
        <v>1</v>
      </c>
      <c r="F4">
        <v>0.52</v>
      </c>
      <c r="J4" t="str">
        <f t="shared" si="0"/>
        <v>start python sig-gen.py hist 05k_SBER_7003group.pkl 55 0.5 0.55 0.52 1 05k_SBER_7003group.pkl</v>
      </c>
    </row>
    <row r="5" spans="1:19" x14ac:dyDescent="0.3">
      <c r="A5" t="s">
        <v>471</v>
      </c>
      <c r="B5">
        <v>40</v>
      </c>
      <c r="C5">
        <v>0.5</v>
      </c>
      <c r="D5">
        <v>0.55000000000000004</v>
      </c>
      <c r="E5">
        <v>1</v>
      </c>
      <c r="F5">
        <v>0.51</v>
      </c>
      <c r="J5" t="str">
        <f t="shared" si="0"/>
        <v>start python sig-gen.py hist 05k_SBER_7004group.pkl 40 0.5 0.55 0.51 1 05k_SBER_7004group.pkl</v>
      </c>
    </row>
    <row r="6" spans="1:19" x14ac:dyDescent="0.3">
      <c r="A6" t="s">
        <v>472</v>
      </c>
      <c r="B6">
        <v>95</v>
      </c>
      <c r="C6">
        <v>0.5</v>
      </c>
      <c r="D6">
        <v>0.55000000000000004</v>
      </c>
      <c r="E6">
        <v>1</v>
      </c>
      <c r="F6">
        <v>0.51500000000000001</v>
      </c>
      <c r="J6" t="str">
        <f t="shared" si="0"/>
        <v>start python sig-gen.py hist 05k_SBER_7005group.pkl 95 0.5 0.55 0.515 1 05k_SBER_7005group.pkl</v>
      </c>
    </row>
    <row r="7" spans="1:19" x14ac:dyDescent="0.3">
      <c r="A7" t="s">
        <v>473</v>
      </c>
      <c r="B7">
        <v>30</v>
      </c>
      <c r="C7">
        <v>0.95</v>
      </c>
      <c r="D7">
        <v>1</v>
      </c>
      <c r="E7">
        <v>1</v>
      </c>
      <c r="F7">
        <v>0.52</v>
      </c>
      <c r="J7" t="str">
        <f t="shared" si="0"/>
        <v>start python sig-gen.py hist 05k_SBER_7006group.pkl 30 0.95 1 0.52 1 05k_SBER_7006group.pkl</v>
      </c>
    </row>
    <row r="8" spans="1:19" x14ac:dyDescent="0.3">
      <c r="A8" t="s">
        <v>474</v>
      </c>
      <c r="B8">
        <v>35</v>
      </c>
      <c r="C8">
        <v>0.95</v>
      </c>
      <c r="D8">
        <v>1</v>
      </c>
      <c r="E8">
        <v>1</v>
      </c>
      <c r="F8">
        <v>0.52</v>
      </c>
      <c r="J8" t="str">
        <f t="shared" si="0"/>
        <v>start python sig-gen.py hist 05k_SBER_7007group.pkl 35 0.95 1 0.52 1 05k_SBER_7007group.pkl</v>
      </c>
    </row>
    <row r="9" spans="1:19" x14ac:dyDescent="0.3">
      <c r="A9" t="s">
        <v>475</v>
      </c>
      <c r="B9">
        <v>95</v>
      </c>
      <c r="C9">
        <v>0.95</v>
      </c>
      <c r="D9">
        <v>0.05</v>
      </c>
      <c r="E9">
        <v>1</v>
      </c>
      <c r="F9">
        <v>0.5</v>
      </c>
      <c r="J9" t="str">
        <f t="shared" si="0"/>
        <v>start python sig-gen.py hist 05k_SBER_7008group.pkl 95 0.95 0.05 0.5 1 05k_SBER_7008group.pkl</v>
      </c>
    </row>
    <row r="10" spans="1:19" x14ac:dyDescent="0.3">
      <c r="A10" t="s">
        <v>476</v>
      </c>
      <c r="B10">
        <v>40</v>
      </c>
      <c r="C10">
        <v>0.5</v>
      </c>
      <c r="D10">
        <v>0.55000000000000004</v>
      </c>
      <c r="E10">
        <v>1</v>
      </c>
      <c r="F10">
        <v>0.505</v>
      </c>
      <c r="J10" t="str">
        <f t="shared" si="0"/>
        <v>start python sig-gen.py hist 05k_SBER_7009group.pkl 40 0.5 0.55 0.505 1 05k_SBER_7009group.pkl</v>
      </c>
    </row>
    <row r="11" spans="1:19" x14ac:dyDescent="0.3">
      <c r="A11" t="s">
        <v>458</v>
      </c>
      <c r="B11">
        <v>40</v>
      </c>
      <c r="C11">
        <v>0.5</v>
      </c>
      <c r="D11">
        <v>0.55000000000000004</v>
      </c>
      <c r="E11">
        <v>1</v>
      </c>
      <c r="F11">
        <v>0.52</v>
      </c>
      <c r="J11" t="str">
        <f t="shared" si="0"/>
        <v>start python sig-gen.py hist 05k_SBER_700group.pkl 40 0.5 0.55 0.52 1 05k_SBER_700group.pkl</v>
      </c>
    </row>
    <row r="12" spans="1:19" x14ac:dyDescent="0.3">
      <c r="A12" t="s">
        <v>477</v>
      </c>
      <c r="B12">
        <v>10</v>
      </c>
      <c r="C12">
        <v>0.5</v>
      </c>
      <c r="D12">
        <v>0.55000000000000004</v>
      </c>
      <c r="E12">
        <v>1</v>
      </c>
      <c r="F12">
        <v>0.51</v>
      </c>
      <c r="J12" t="str">
        <f t="shared" si="0"/>
        <v>start python sig-gen.py hist 05k_SBER_7010group.pkl 10 0.5 0.55 0.51 1 05k_SBER_7010group.pkl</v>
      </c>
    </row>
    <row r="13" spans="1:19" x14ac:dyDescent="0.3">
      <c r="A13" s="35" t="s">
        <v>478</v>
      </c>
      <c r="B13" s="35">
        <v>40</v>
      </c>
      <c r="C13" s="35">
        <v>0.5</v>
      </c>
      <c r="D13" s="35">
        <v>0.55000000000000004</v>
      </c>
      <c r="E13" s="35">
        <v>1</v>
      </c>
      <c r="F13" s="35">
        <v>0.51</v>
      </c>
      <c r="J13" t="str">
        <f t="shared" si="0"/>
        <v>start python sig-gen.py hist 05k_SBER_7011group.pkl 40 0.5 0.55 0.51 1 05k_SBER_7011group.pkl</v>
      </c>
    </row>
    <row r="14" spans="1:19" x14ac:dyDescent="0.3">
      <c r="A14" s="35" t="s">
        <v>479</v>
      </c>
      <c r="B14" s="35">
        <v>40</v>
      </c>
      <c r="C14" s="35">
        <v>0.5</v>
      </c>
      <c r="D14" s="35">
        <v>1</v>
      </c>
      <c r="E14" s="35">
        <v>1</v>
      </c>
      <c r="F14" s="35">
        <v>0.505</v>
      </c>
      <c r="J14" t="str">
        <f t="shared" si="0"/>
        <v>start python sig-gen.py hist 05k_SBER_7012group.pkl 40 0.5 1 0.505 1 05k_SBER_7012group.pkl</v>
      </c>
    </row>
    <row r="15" spans="1:19" x14ac:dyDescent="0.3">
      <c r="A15" s="35" t="s">
        <v>480</v>
      </c>
      <c r="B15" s="35">
        <v>45</v>
      </c>
      <c r="C15" s="35">
        <v>0.95</v>
      </c>
      <c r="D15" s="35">
        <v>1</v>
      </c>
      <c r="E15" s="35">
        <v>1</v>
      </c>
      <c r="F15" s="35">
        <v>0.51500000000000001</v>
      </c>
      <c r="J15" t="str">
        <f t="shared" si="0"/>
        <v>start python sig-gen.py hist 05k_SBER_7013group.pkl 45 0.95 1 0.515 1 05k_SBER_7013group.pkl</v>
      </c>
    </row>
    <row r="16" spans="1:19" x14ac:dyDescent="0.3">
      <c r="A16" s="35" t="s">
        <v>481</v>
      </c>
      <c r="B16" s="35">
        <v>35</v>
      </c>
      <c r="C16" s="35">
        <v>0.5</v>
      </c>
      <c r="D16" s="35">
        <v>1</v>
      </c>
      <c r="E16" s="35">
        <v>1</v>
      </c>
      <c r="F16" s="35">
        <v>0.52</v>
      </c>
      <c r="J16" t="str">
        <f t="shared" si="0"/>
        <v>start python sig-gen.py hist 05k_SBER_7014group.pkl 35 0.5 1 0.52 1 05k_SBER_7014group.pkl</v>
      </c>
    </row>
    <row r="17" spans="1:10" x14ac:dyDescent="0.3">
      <c r="A17" s="35" t="s">
        <v>482</v>
      </c>
      <c r="B17" s="35">
        <v>35</v>
      </c>
      <c r="C17" s="35">
        <v>0.5</v>
      </c>
      <c r="D17" s="35">
        <v>1</v>
      </c>
      <c r="E17" s="35">
        <v>1</v>
      </c>
      <c r="F17" s="35">
        <v>0.51500000000000001</v>
      </c>
      <c r="J17" t="str">
        <f t="shared" si="0"/>
        <v>start python sig-gen.py hist 05k_SBER_7015group.pkl 35 0.5 1 0.515 1 05k_SBER_7015group.pkl</v>
      </c>
    </row>
    <row r="18" spans="1:10" x14ac:dyDescent="0.3">
      <c r="A18" s="35" t="s">
        <v>483</v>
      </c>
      <c r="B18" s="35">
        <v>5</v>
      </c>
      <c r="C18" s="35">
        <v>0.5</v>
      </c>
      <c r="D18" s="35">
        <v>0.55000000000000004</v>
      </c>
      <c r="E18" s="35">
        <v>1</v>
      </c>
      <c r="F18" s="35">
        <v>0.51</v>
      </c>
      <c r="J18" t="str">
        <f t="shared" si="0"/>
        <v>start python sig-gen.py hist 05k_SBER_7016group.pkl 5 0.5 0.55 0.51 1 05k_SBER_7016group.pkl</v>
      </c>
    </row>
    <row r="19" spans="1:10" x14ac:dyDescent="0.3">
      <c r="A19" s="35" t="s">
        <v>484</v>
      </c>
      <c r="B19" s="35">
        <v>10</v>
      </c>
      <c r="C19" s="35">
        <v>0.95</v>
      </c>
      <c r="D19" s="35">
        <v>1</v>
      </c>
      <c r="E19" s="35">
        <v>1</v>
      </c>
      <c r="F19" s="35">
        <v>0.52</v>
      </c>
      <c r="J19" t="str">
        <f t="shared" si="0"/>
        <v>start python sig-gen.py hist 05k_SBER_7017group.pkl 10 0.95 1 0.52 1 05k_SBER_7017group.pkl</v>
      </c>
    </row>
    <row r="20" spans="1:10" x14ac:dyDescent="0.3">
      <c r="A20" s="35" t="s">
        <v>485</v>
      </c>
      <c r="B20" s="35">
        <v>10</v>
      </c>
      <c r="C20" s="35">
        <v>0.5</v>
      </c>
      <c r="D20" s="35">
        <v>1</v>
      </c>
      <c r="E20" s="35">
        <v>1</v>
      </c>
      <c r="F20" s="35">
        <v>0.52</v>
      </c>
      <c r="J20" t="str">
        <f t="shared" si="0"/>
        <v>start python sig-gen.py hist 05k_SBER_7018group.pkl 10 0.5 1 0.52 1 05k_SBER_7018group.pkl</v>
      </c>
    </row>
    <row r="21" spans="1:10" x14ac:dyDescent="0.3">
      <c r="A21" s="35" t="s">
        <v>486</v>
      </c>
      <c r="B21" s="35">
        <v>95</v>
      </c>
      <c r="C21" s="35">
        <v>0.5</v>
      </c>
      <c r="D21" s="35">
        <v>0.55000000000000004</v>
      </c>
      <c r="E21" s="35">
        <v>1</v>
      </c>
      <c r="F21" s="35">
        <v>0.51500000000000001</v>
      </c>
      <c r="J21" t="str">
        <f>"start python sig-gen.py hist " &amp;A21 &amp; " " &amp; B21 &amp; " " &amp; C21 &amp; " " &amp; D21 &amp; " " &amp;F21 &amp; " " &amp; $S$1 &amp; " " &amp;A21</f>
        <v>start python sig-gen.py hist 05k_SBER_7019group.pkl 95 0.5 0.55 0.515 1 05k_SBER_7019group.pkl</v>
      </c>
    </row>
    <row r="22" spans="1:10" x14ac:dyDescent="0.3">
      <c r="A22" s="35" t="s">
        <v>463</v>
      </c>
      <c r="B22" s="35">
        <v>25</v>
      </c>
      <c r="C22" s="35">
        <v>0.5</v>
      </c>
      <c r="D22" s="35">
        <v>0.55000000000000004</v>
      </c>
      <c r="E22" s="35">
        <v>1</v>
      </c>
      <c r="F22" s="35">
        <v>0.52</v>
      </c>
      <c r="J22" t="str">
        <f t="shared" si="0"/>
        <v>start python sig-gen.py hist 05k_SBER_701group.pkl 25 0.5 0.55 0.52 1 05k_SBER_701group.pkl</v>
      </c>
    </row>
    <row r="23" spans="1:10" x14ac:dyDescent="0.3">
      <c r="A23" s="35" t="s">
        <v>487</v>
      </c>
      <c r="B23" s="35">
        <v>40</v>
      </c>
      <c r="C23" s="35">
        <v>0.5</v>
      </c>
      <c r="D23" s="35">
        <v>0.55000000000000004</v>
      </c>
      <c r="E23" s="35">
        <v>1</v>
      </c>
      <c r="F23" s="35">
        <v>0.52</v>
      </c>
      <c r="J23" t="str">
        <f t="shared" si="0"/>
        <v>start python sig-gen.py hist 05k_SBER_7020group.pkl 40 0.5 0.55 0.52 1 05k_SBER_7020group.pkl</v>
      </c>
    </row>
    <row r="24" spans="1:10" x14ac:dyDescent="0.3">
      <c r="A24" s="35" t="s">
        <v>488</v>
      </c>
      <c r="B24" s="35">
        <v>10</v>
      </c>
      <c r="C24" s="35">
        <v>0.5</v>
      </c>
      <c r="D24" s="35">
        <v>1</v>
      </c>
      <c r="E24" s="35">
        <v>1</v>
      </c>
      <c r="F24" s="35">
        <v>0.52</v>
      </c>
      <c r="J24" t="str">
        <f>"python sig-gen.py hist " &amp;A24 &amp; " " &amp; B24 &amp; " " &amp; C24 &amp; " " &amp; D24 &amp; " " &amp;F24 &amp; " " &amp; $S$1 &amp; " " &amp;A24</f>
        <v>python sig-gen.py hist 05k_SBER_7021group.pkl 10 0.5 1 0.52 1 05k_SBER_7021group.pkl</v>
      </c>
    </row>
    <row r="25" spans="1:10" x14ac:dyDescent="0.3">
      <c r="A25" s="35" t="s">
        <v>489</v>
      </c>
      <c r="B25" s="35">
        <v>15</v>
      </c>
      <c r="C25" s="35">
        <v>0.95</v>
      </c>
      <c r="D25" s="35">
        <v>1</v>
      </c>
      <c r="E25" s="35">
        <v>1</v>
      </c>
      <c r="F25" s="35">
        <v>0.5</v>
      </c>
      <c r="J25" t="str">
        <f t="shared" ref="J25:J56" si="1">"start python sig-gen.py hist " &amp;A25 &amp; " " &amp; B25 &amp; " " &amp; C25 &amp; " " &amp; D25 &amp; " " &amp;F25 &amp; " " &amp; $S$1 &amp; " " &amp;A25</f>
        <v>start python sig-gen.py hist 05k_SBER_7022group.pkl 15 0.95 1 0.5 1 05k_SBER_7022group.pkl</v>
      </c>
    </row>
    <row r="26" spans="1:10" x14ac:dyDescent="0.3">
      <c r="A26" s="35" t="s">
        <v>490</v>
      </c>
      <c r="B26" s="35">
        <v>40</v>
      </c>
      <c r="C26" s="35">
        <v>0.5</v>
      </c>
      <c r="D26" s="35">
        <v>0.55000000000000004</v>
      </c>
      <c r="E26" s="35">
        <v>1</v>
      </c>
      <c r="F26" s="35">
        <v>0.5</v>
      </c>
      <c r="J26" t="str">
        <f t="shared" si="0"/>
        <v>start python sig-gen.py hist 05k_SBER_7023group.pkl 40 0.5 0.55 0.5 1 05k_SBER_7023group.pkl</v>
      </c>
    </row>
    <row r="27" spans="1:10" x14ac:dyDescent="0.3">
      <c r="A27" s="35" t="s">
        <v>491</v>
      </c>
      <c r="B27" s="35">
        <v>40</v>
      </c>
      <c r="C27" s="35">
        <v>0.5</v>
      </c>
      <c r="D27" s="35">
        <v>0.55000000000000004</v>
      </c>
      <c r="E27" s="35">
        <v>1</v>
      </c>
      <c r="F27" s="35">
        <v>0.51500000000000001</v>
      </c>
      <c r="J27" t="str">
        <f t="shared" si="0"/>
        <v>start python sig-gen.py hist 05k_SBER_7024group.pkl 40 0.5 0.55 0.515 1 05k_SBER_7024group.pkl</v>
      </c>
    </row>
    <row r="28" spans="1:10" x14ac:dyDescent="0.3">
      <c r="A28" s="35" t="s">
        <v>492</v>
      </c>
      <c r="B28" s="35">
        <v>25</v>
      </c>
      <c r="C28" s="35">
        <v>0.5</v>
      </c>
      <c r="D28" s="35">
        <v>0.55000000000000004</v>
      </c>
      <c r="E28" s="35">
        <v>1</v>
      </c>
      <c r="F28" s="35">
        <v>0.5</v>
      </c>
      <c r="J28" t="str">
        <f t="shared" si="0"/>
        <v>start python sig-gen.py hist 05k_SBER_7025group.pkl 25 0.5 0.55 0.5 1 05k_SBER_7025group.pkl</v>
      </c>
    </row>
    <row r="29" spans="1:10" x14ac:dyDescent="0.3">
      <c r="A29" s="35" t="s">
        <v>493</v>
      </c>
      <c r="B29" s="35">
        <v>95</v>
      </c>
      <c r="C29" s="35">
        <v>0.95</v>
      </c>
      <c r="D29" s="35">
        <v>0.05</v>
      </c>
      <c r="E29" s="35">
        <v>1</v>
      </c>
      <c r="F29" s="35">
        <v>0.5</v>
      </c>
      <c r="J29" t="str">
        <f t="shared" si="0"/>
        <v>start python sig-gen.py hist 05k_SBER_7026group.pkl 95 0.95 0.05 0.5 1 05k_SBER_7026group.pkl</v>
      </c>
    </row>
    <row r="30" spans="1:10" x14ac:dyDescent="0.3">
      <c r="A30" s="35" t="s">
        <v>494</v>
      </c>
      <c r="B30" s="35">
        <v>95</v>
      </c>
      <c r="C30" s="35">
        <v>0.5</v>
      </c>
      <c r="D30" s="35">
        <v>1</v>
      </c>
      <c r="E30" s="35">
        <v>1</v>
      </c>
      <c r="F30" s="35">
        <v>0.51</v>
      </c>
      <c r="J30" t="str">
        <f t="shared" si="0"/>
        <v>start python sig-gen.py hist 05k_SBER_7027group.pkl 95 0.5 1 0.51 1 05k_SBER_7027group.pkl</v>
      </c>
    </row>
    <row r="31" spans="1:10" x14ac:dyDescent="0.3">
      <c r="A31" s="35" t="s">
        <v>495</v>
      </c>
      <c r="B31" s="35">
        <v>95</v>
      </c>
      <c r="C31" s="35">
        <v>0.5</v>
      </c>
      <c r="D31" s="35">
        <v>0.55000000000000004</v>
      </c>
      <c r="E31" s="35">
        <v>1</v>
      </c>
      <c r="F31" s="35">
        <v>0.51</v>
      </c>
      <c r="J31" t="str">
        <f t="shared" si="0"/>
        <v>start python sig-gen.py hist 05k_SBER_7028group.pkl 95 0.5 0.55 0.51 1 05k_SBER_7028group.pkl</v>
      </c>
    </row>
    <row r="32" spans="1:10" x14ac:dyDescent="0.3">
      <c r="A32" s="35" t="s">
        <v>496</v>
      </c>
      <c r="B32" s="35">
        <v>20</v>
      </c>
      <c r="C32" s="35">
        <v>0.5</v>
      </c>
      <c r="D32" s="35">
        <v>0.55000000000000004</v>
      </c>
      <c r="E32" s="35">
        <v>1</v>
      </c>
      <c r="F32" s="35">
        <v>0.51</v>
      </c>
      <c r="J32" t="str">
        <f t="shared" si="0"/>
        <v>start python sig-gen.py hist 05k_SBER_7029group.pkl 20 0.5 0.55 0.51 1 05k_SBER_7029group.pkl</v>
      </c>
    </row>
    <row r="33" spans="1:10" x14ac:dyDescent="0.3">
      <c r="A33" s="35" t="s">
        <v>448</v>
      </c>
      <c r="B33" s="35">
        <v>80</v>
      </c>
      <c r="C33" s="35">
        <v>0.5</v>
      </c>
      <c r="D33" s="35">
        <v>0.55000000000000004</v>
      </c>
      <c r="E33" s="35">
        <v>1</v>
      </c>
      <c r="F33" s="35">
        <v>0.5</v>
      </c>
      <c r="J33" t="str">
        <f t="shared" si="0"/>
        <v>start python sig-gen.py hist 05k_SBER_702group.pkl 80 0.5 0.55 0.5 1 05k_SBER_702group.pkl</v>
      </c>
    </row>
    <row r="34" spans="1:10" x14ac:dyDescent="0.3">
      <c r="A34" s="35" t="s">
        <v>497</v>
      </c>
      <c r="B34" s="35">
        <v>95</v>
      </c>
      <c r="C34" s="35">
        <v>0.5</v>
      </c>
      <c r="D34" s="35">
        <v>0.55000000000000004</v>
      </c>
      <c r="E34" s="35">
        <v>1</v>
      </c>
      <c r="F34" s="35">
        <v>0.5</v>
      </c>
      <c r="J34" t="str">
        <f t="shared" si="0"/>
        <v>start python sig-gen.py hist 05k_SBER_7030group.pkl 95 0.5 0.55 0.5 1 05k_SBER_7030group.pkl</v>
      </c>
    </row>
    <row r="35" spans="1:10" x14ac:dyDescent="0.3">
      <c r="A35" s="35" t="s">
        <v>498</v>
      </c>
      <c r="B35" s="35">
        <v>5</v>
      </c>
      <c r="C35" s="35">
        <v>0.95</v>
      </c>
      <c r="D35" s="35">
        <v>0.05</v>
      </c>
      <c r="E35" s="35">
        <v>1</v>
      </c>
      <c r="F35" s="35">
        <v>0.5</v>
      </c>
      <c r="J35" t="str">
        <f t="shared" si="0"/>
        <v>start python sig-gen.py hist 05k_SBER_7031group.pkl 5 0.95 0.05 0.5 1 05k_SBER_7031group.pkl</v>
      </c>
    </row>
    <row r="36" spans="1:10" x14ac:dyDescent="0.3">
      <c r="A36" s="35" t="s">
        <v>499</v>
      </c>
      <c r="B36" s="35">
        <v>40</v>
      </c>
      <c r="C36" s="35">
        <v>0.5</v>
      </c>
      <c r="D36" s="35">
        <v>0.55000000000000004</v>
      </c>
      <c r="E36" s="35">
        <v>1</v>
      </c>
      <c r="F36" s="35">
        <v>0.5</v>
      </c>
      <c r="J36" t="str">
        <f t="shared" si="0"/>
        <v>start python sig-gen.py hist 05k_SBER_7032group.pkl 40 0.5 0.55 0.5 1 05k_SBER_7032group.pkl</v>
      </c>
    </row>
    <row r="37" spans="1:10" x14ac:dyDescent="0.3">
      <c r="A37" s="35" t="s">
        <v>500</v>
      </c>
      <c r="B37" s="35">
        <v>95</v>
      </c>
      <c r="C37" s="35">
        <v>0.5</v>
      </c>
      <c r="D37" s="35">
        <v>0.55000000000000004</v>
      </c>
      <c r="E37" s="35">
        <v>1</v>
      </c>
      <c r="F37" s="35">
        <v>0.52</v>
      </c>
      <c r="J37" t="str">
        <f t="shared" si="0"/>
        <v>start python sig-gen.py hist 05k_SBER_7033group.pkl 95 0.5 0.55 0.52 1 05k_SBER_7033group.pkl</v>
      </c>
    </row>
    <row r="38" spans="1:10" x14ac:dyDescent="0.3">
      <c r="A38" s="35" t="s">
        <v>501</v>
      </c>
      <c r="B38" s="35">
        <v>35</v>
      </c>
      <c r="C38" s="35">
        <v>0.95</v>
      </c>
      <c r="D38" s="35">
        <v>0.05</v>
      </c>
      <c r="E38" s="35">
        <v>1</v>
      </c>
      <c r="F38" s="35">
        <v>0.5</v>
      </c>
      <c r="J38" t="str">
        <f t="shared" si="0"/>
        <v>start python sig-gen.py hist 05k_SBER_7034group.pkl 35 0.95 0.05 0.5 1 05k_SBER_7034group.pkl</v>
      </c>
    </row>
    <row r="39" spans="1:10" x14ac:dyDescent="0.3">
      <c r="A39" s="35" t="s">
        <v>502</v>
      </c>
      <c r="B39" s="35">
        <v>95</v>
      </c>
      <c r="C39" s="35">
        <v>0.95</v>
      </c>
      <c r="D39" s="35">
        <v>1</v>
      </c>
      <c r="E39" s="35">
        <v>1</v>
      </c>
      <c r="F39" s="35">
        <v>0.505</v>
      </c>
      <c r="J39" t="str">
        <f t="shared" si="0"/>
        <v>start python sig-gen.py hist 05k_SBER_7035group.pkl 95 0.95 1 0.505 1 05k_SBER_7035group.pkl</v>
      </c>
    </row>
    <row r="40" spans="1:10" x14ac:dyDescent="0.3">
      <c r="A40" t="s">
        <v>503</v>
      </c>
      <c r="B40">
        <v>95</v>
      </c>
      <c r="C40">
        <v>0.9</v>
      </c>
      <c r="D40">
        <v>0.95</v>
      </c>
      <c r="E40">
        <v>1</v>
      </c>
      <c r="F40">
        <v>0.5</v>
      </c>
      <c r="J40" t="str">
        <f t="shared" si="0"/>
        <v>start python sig-gen.py hist 05k_SBER_7036group.pkl 95 0.9 0.95 0.5 1 05k_SBER_7036group.pkl</v>
      </c>
    </row>
    <row r="41" spans="1:10" x14ac:dyDescent="0.3">
      <c r="A41" t="s">
        <v>504</v>
      </c>
      <c r="B41">
        <v>95</v>
      </c>
      <c r="C41">
        <v>0.5</v>
      </c>
      <c r="D41">
        <v>0.55000000000000004</v>
      </c>
      <c r="E41">
        <v>1</v>
      </c>
      <c r="F41">
        <v>0.52</v>
      </c>
      <c r="J41" t="str">
        <f t="shared" si="0"/>
        <v>start python sig-gen.py hist 05k_SBER_7037group.pkl 95 0.5 0.55 0.52 1 05k_SBER_7037group.pkl</v>
      </c>
    </row>
    <row r="42" spans="1:10" x14ac:dyDescent="0.3">
      <c r="A42" t="s">
        <v>505</v>
      </c>
      <c r="B42">
        <v>95</v>
      </c>
      <c r="C42">
        <v>0.5</v>
      </c>
      <c r="D42">
        <v>0.55000000000000004</v>
      </c>
      <c r="E42">
        <v>1</v>
      </c>
      <c r="F42">
        <v>0.51500000000000001</v>
      </c>
      <c r="J42" t="str">
        <f t="shared" si="0"/>
        <v>start python sig-gen.py hist 05k_SBER_7038group.pkl 95 0.5 0.55 0.515 1 05k_SBER_7038group.pkl</v>
      </c>
    </row>
    <row r="43" spans="1:10" x14ac:dyDescent="0.3">
      <c r="A43" t="s">
        <v>506</v>
      </c>
      <c r="B43">
        <v>95</v>
      </c>
      <c r="C43">
        <v>0.5</v>
      </c>
      <c r="D43">
        <v>0.55000000000000004</v>
      </c>
      <c r="E43">
        <v>1</v>
      </c>
      <c r="F43">
        <v>0.505</v>
      </c>
      <c r="J43" t="str">
        <f t="shared" si="0"/>
        <v>start python sig-gen.py hist 05k_SBER_7039group.pkl 95 0.5 0.55 0.505 1 05k_SBER_7039group.pkl</v>
      </c>
    </row>
    <row r="44" spans="1:10" x14ac:dyDescent="0.3">
      <c r="A44" t="s">
        <v>456</v>
      </c>
      <c r="B44">
        <v>95</v>
      </c>
      <c r="C44">
        <v>0.5</v>
      </c>
      <c r="D44">
        <v>0.55000000000000004</v>
      </c>
      <c r="E44">
        <v>1</v>
      </c>
      <c r="F44">
        <v>0.52</v>
      </c>
      <c r="J44" t="str">
        <f t="shared" si="0"/>
        <v>start python sig-gen.py hist 05k_SBER_703group.pkl 95 0.5 0.55 0.52 1 05k_SBER_703group.pkl</v>
      </c>
    </row>
    <row r="45" spans="1:10" x14ac:dyDescent="0.3">
      <c r="A45" t="s">
        <v>507</v>
      </c>
      <c r="B45">
        <v>40</v>
      </c>
      <c r="C45">
        <v>0.5</v>
      </c>
      <c r="D45">
        <v>1</v>
      </c>
      <c r="E45">
        <v>1</v>
      </c>
      <c r="F45">
        <v>0.51</v>
      </c>
      <c r="J45" t="str">
        <f t="shared" si="0"/>
        <v>start python sig-gen.py hist 05k_SBER_7040group.pkl 40 0.5 1 0.51 1 05k_SBER_7040group.pkl</v>
      </c>
    </row>
    <row r="46" spans="1:10" x14ac:dyDescent="0.3">
      <c r="A46" t="s">
        <v>508</v>
      </c>
      <c r="B46">
        <v>35</v>
      </c>
      <c r="C46">
        <v>0.5</v>
      </c>
      <c r="D46">
        <v>0.55000000000000004</v>
      </c>
      <c r="E46">
        <v>1</v>
      </c>
      <c r="F46">
        <v>0.52</v>
      </c>
      <c r="J46" t="str">
        <f t="shared" si="0"/>
        <v>start python sig-gen.py hist 05k_SBER_7041group.pkl 35 0.5 0.55 0.52 1 05k_SBER_7041group.pkl</v>
      </c>
    </row>
    <row r="47" spans="1:10" x14ac:dyDescent="0.3">
      <c r="A47" t="s">
        <v>509</v>
      </c>
      <c r="B47">
        <v>5</v>
      </c>
      <c r="C47">
        <v>0.95</v>
      </c>
      <c r="D47">
        <v>0.05</v>
      </c>
      <c r="E47">
        <v>1</v>
      </c>
      <c r="F47">
        <v>0.5</v>
      </c>
      <c r="J47" t="str">
        <f t="shared" ref="J47:J78" si="2">"python sig-gen.py hist " &amp;A47 &amp; " " &amp; B47 &amp; " " &amp; C47 &amp; " " &amp; D47 &amp; " " &amp;F47 &amp; " " &amp; $S$1 &amp; " " &amp;A47</f>
        <v>python sig-gen.py hist 05k_SBER_7042group.pkl 5 0.95 0.05 0.5 1 05k_SBER_7042group.pkl</v>
      </c>
    </row>
    <row r="48" spans="1:10" x14ac:dyDescent="0.3">
      <c r="A48" t="s">
        <v>510</v>
      </c>
      <c r="B48">
        <v>95</v>
      </c>
      <c r="C48">
        <v>0.5</v>
      </c>
      <c r="D48">
        <v>0.55000000000000004</v>
      </c>
      <c r="E48">
        <v>1</v>
      </c>
      <c r="F48">
        <v>0.51500000000000001</v>
      </c>
      <c r="J48" t="str">
        <f t="shared" ref="J48:J79" si="3">"start python sig-gen.py hist " &amp;A48 &amp; " " &amp; B48 &amp; " " &amp; C48 &amp; " " &amp; D48 &amp; " " &amp;F48 &amp; " " &amp; $S$1 &amp; " " &amp;A48</f>
        <v>start python sig-gen.py hist 05k_SBER_7043group.pkl 95 0.5 0.55 0.515 1 05k_SBER_7043group.pkl</v>
      </c>
    </row>
    <row r="49" spans="1:10" x14ac:dyDescent="0.3">
      <c r="A49" t="s">
        <v>511</v>
      </c>
      <c r="B49">
        <v>40</v>
      </c>
      <c r="C49">
        <v>0.5</v>
      </c>
      <c r="D49">
        <v>0.55000000000000004</v>
      </c>
      <c r="E49">
        <v>1</v>
      </c>
      <c r="F49">
        <v>0.505</v>
      </c>
      <c r="J49" t="str">
        <f t="shared" si="0"/>
        <v>start python sig-gen.py hist 05k_SBER_7044group.pkl 40 0.5 0.55 0.505 1 05k_SBER_7044group.pkl</v>
      </c>
    </row>
    <row r="50" spans="1:10" x14ac:dyDescent="0.3">
      <c r="A50" t="s">
        <v>512</v>
      </c>
      <c r="B50">
        <v>40</v>
      </c>
      <c r="C50">
        <v>0.5</v>
      </c>
      <c r="D50">
        <v>0.55000000000000004</v>
      </c>
      <c r="E50">
        <v>1</v>
      </c>
      <c r="F50">
        <v>0.505</v>
      </c>
      <c r="J50" t="str">
        <f t="shared" si="0"/>
        <v>start python sig-gen.py hist 05k_SBER_7045group.pkl 40 0.5 0.55 0.505 1 05k_SBER_7045group.pkl</v>
      </c>
    </row>
    <row r="51" spans="1:10" x14ac:dyDescent="0.3">
      <c r="A51" t="s">
        <v>513</v>
      </c>
      <c r="B51">
        <v>15</v>
      </c>
      <c r="C51">
        <v>0.95</v>
      </c>
      <c r="D51">
        <v>0.05</v>
      </c>
      <c r="E51">
        <v>1</v>
      </c>
      <c r="F51">
        <v>0.5</v>
      </c>
      <c r="J51" t="str">
        <f t="shared" si="0"/>
        <v>start python sig-gen.py hist 05k_SBER_7046group.pkl 15 0.95 0.05 0.5 1 05k_SBER_7046group.pkl</v>
      </c>
    </row>
    <row r="52" spans="1:10" x14ac:dyDescent="0.3">
      <c r="A52" t="s">
        <v>514</v>
      </c>
      <c r="B52">
        <v>35</v>
      </c>
      <c r="C52">
        <v>0.95</v>
      </c>
      <c r="D52">
        <v>1</v>
      </c>
      <c r="E52">
        <v>1</v>
      </c>
      <c r="F52">
        <v>0.51</v>
      </c>
      <c r="J52" t="str">
        <f t="shared" si="0"/>
        <v>start python sig-gen.py hist 05k_SBER_7047group.pkl 35 0.95 1 0.51 1 05k_SBER_7047group.pkl</v>
      </c>
    </row>
    <row r="53" spans="1:10" x14ac:dyDescent="0.3">
      <c r="A53" t="s">
        <v>515</v>
      </c>
      <c r="B53">
        <v>35</v>
      </c>
      <c r="C53">
        <v>0.95</v>
      </c>
      <c r="D53">
        <v>1</v>
      </c>
      <c r="E53">
        <v>1</v>
      </c>
      <c r="F53">
        <v>0.52</v>
      </c>
      <c r="J53" t="str">
        <f t="shared" si="0"/>
        <v>start python sig-gen.py hist 05k_SBER_7048group.pkl 35 0.95 1 0.52 1 05k_SBER_7048group.pkl</v>
      </c>
    </row>
    <row r="54" spans="1:10" x14ac:dyDescent="0.3">
      <c r="A54" t="s">
        <v>516</v>
      </c>
      <c r="B54">
        <v>95</v>
      </c>
      <c r="C54">
        <v>0.95</v>
      </c>
      <c r="D54">
        <v>0.05</v>
      </c>
      <c r="E54">
        <v>1</v>
      </c>
      <c r="F54">
        <v>0.5</v>
      </c>
      <c r="J54" t="str">
        <f t="shared" si="0"/>
        <v>start python sig-gen.py hist 05k_SBER_7049group.pkl 95 0.95 0.05 0.5 1 05k_SBER_7049group.pkl</v>
      </c>
    </row>
    <row r="55" spans="1:10" x14ac:dyDescent="0.3">
      <c r="A55" t="s">
        <v>462</v>
      </c>
      <c r="B55">
        <v>95</v>
      </c>
      <c r="C55">
        <v>0.95</v>
      </c>
      <c r="D55">
        <v>0.05</v>
      </c>
      <c r="E55">
        <v>1</v>
      </c>
      <c r="F55">
        <v>0.5</v>
      </c>
      <c r="J55" t="str">
        <f t="shared" si="0"/>
        <v>start python sig-gen.py hist 05k_SBER_704group.pkl 95 0.95 0.05 0.5 1 05k_SBER_704group.pkl</v>
      </c>
    </row>
    <row r="56" spans="1:10" x14ac:dyDescent="0.3">
      <c r="A56" t="s">
        <v>517</v>
      </c>
      <c r="B56">
        <v>95</v>
      </c>
      <c r="C56">
        <v>0.95</v>
      </c>
      <c r="D56">
        <v>0.05</v>
      </c>
      <c r="E56">
        <v>1</v>
      </c>
      <c r="F56">
        <v>0.5</v>
      </c>
      <c r="J56" t="str">
        <f t="shared" si="0"/>
        <v>start python sig-gen.py hist 05k_SBER_7050group.pkl 95 0.95 0.05 0.5 1 05k_SBER_7050group.pkl</v>
      </c>
    </row>
    <row r="57" spans="1:10" x14ac:dyDescent="0.3">
      <c r="A57" t="s">
        <v>518</v>
      </c>
      <c r="B57">
        <v>35</v>
      </c>
      <c r="C57">
        <v>0.5</v>
      </c>
      <c r="D57">
        <v>1</v>
      </c>
      <c r="E57">
        <v>1</v>
      </c>
      <c r="F57">
        <v>0.505</v>
      </c>
      <c r="J57" t="str">
        <f t="shared" si="0"/>
        <v>start python sig-gen.py hist 05k_SBER_7051group.pkl 35 0.5 1 0.505 1 05k_SBER_7051group.pkl</v>
      </c>
    </row>
    <row r="58" spans="1:10" x14ac:dyDescent="0.3">
      <c r="A58" t="s">
        <v>519</v>
      </c>
      <c r="B58">
        <v>95</v>
      </c>
      <c r="C58">
        <v>0.5</v>
      </c>
      <c r="D58">
        <v>0.55000000000000004</v>
      </c>
      <c r="E58">
        <v>1</v>
      </c>
      <c r="F58">
        <v>0.51500000000000001</v>
      </c>
      <c r="J58" t="str">
        <f t="shared" si="0"/>
        <v>start python sig-gen.py hist 05k_SBER_7052group.pkl 95 0.5 0.55 0.515 1 05k_SBER_7052group.pkl</v>
      </c>
    </row>
    <row r="59" spans="1:10" x14ac:dyDescent="0.3">
      <c r="A59" t="s">
        <v>520</v>
      </c>
      <c r="B59">
        <v>95</v>
      </c>
      <c r="C59">
        <v>0.5</v>
      </c>
      <c r="D59">
        <v>0.55000000000000004</v>
      </c>
      <c r="E59">
        <v>1</v>
      </c>
      <c r="F59">
        <v>0.52</v>
      </c>
      <c r="J59" t="str">
        <f t="shared" si="0"/>
        <v>start python sig-gen.py hist 05k_SBER_7053group.pkl 95 0.5 0.55 0.52 1 05k_SBER_7053group.pkl</v>
      </c>
    </row>
    <row r="60" spans="1:10" x14ac:dyDescent="0.3">
      <c r="A60" t="s">
        <v>521</v>
      </c>
      <c r="B60">
        <v>25</v>
      </c>
      <c r="C60">
        <v>0.5</v>
      </c>
      <c r="D60">
        <v>0.55000000000000004</v>
      </c>
      <c r="E60">
        <v>1</v>
      </c>
      <c r="F60">
        <v>0.51500000000000001</v>
      </c>
      <c r="J60" t="str">
        <f t="shared" si="0"/>
        <v>start python sig-gen.py hist 05k_SBER_7054group.pkl 25 0.5 0.55 0.515 1 05k_SBER_7054group.pkl</v>
      </c>
    </row>
    <row r="61" spans="1:10" x14ac:dyDescent="0.3">
      <c r="A61" t="s">
        <v>522</v>
      </c>
      <c r="B61">
        <v>95</v>
      </c>
      <c r="C61">
        <v>0.5</v>
      </c>
      <c r="D61">
        <v>0.55000000000000004</v>
      </c>
      <c r="E61">
        <v>1</v>
      </c>
      <c r="F61">
        <v>0.51</v>
      </c>
      <c r="J61" t="str">
        <f t="shared" si="0"/>
        <v>start python sig-gen.py hist 05k_SBER_7055group.pkl 95 0.5 0.55 0.51 1 05k_SBER_7055group.pkl</v>
      </c>
    </row>
    <row r="62" spans="1:10" x14ac:dyDescent="0.3">
      <c r="A62" t="s">
        <v>523</v>
      </c>
      <c r="B62">
        <v>80</v>
      </c>
      <c r="C62">
        <v>0.95</v>
      </c>
      <c r="D62">
        <v>0.05</v>
      </c>
      <c r="E62">
        <v>1</v>
      </c>
      <c r="F62">
        <v>0.5</v>
      </c>
      <c r="J62" t="str">
        <f t="shared" si="0"/>
        <v>start python sig-gen.py hist 05k_SBER_7056group.pkl 80 0.95 0.05 0.5 1 05k_SBER_7056group.pkl</v>
      </c>
    </row>
    <row r="63" spans="1:10" x14ac:dyDescent="0.3">
      <c r="A63" t="s">
        <v>524</v>
      </c>
      <c r="B63">
        <v>95</v>
      </c>
      <c r="C63">
        <v>0.95</v>
      </c>
      <c r="D63">
        <v>0.05</v>
      </c>
      <c r="E63">
        <v>1</v>
      </c>
      <c r="F63">
        <v>0.5</v>
      </c>
      <c r="J63" t="str">
        <f t="shared" si="0"/>
        <v>start python sig-gen.py hist 05k_SBER_7057group.pkl 95 0.95 0.05 0.5 1 05k_SBER_7057group.pkl</v>
      </c>
    </row>
    <row r="64" spans="1:10" x14ac:dyDescent="0.3">
      <c r="A64" t="s">
        <v>525</v>
      </c>
      <c r="B64">
        <v>95</v>
      </c>
      <c r="C64">
        <v>0.5</v>
      </c>
      <c r="D64">
        <v>0.55000000000000004</v>
      </c>
      <c r="E64">
        <v>1</v>
      </c>
      <c r="F64">
        <v>0.52</v>
      </c>
      <c r="J64" t="str">
        <f t="shared" si="0"/>
        <v>start python sig-gen.py hist 05k_SBER_7058group.pkl 95 0.5 0.55 0.52 1 05k_SBER_7058group.pkl</v>
      </c>
    </row>
    <row r="65" spans="1:10" x14ac:dyDescent="0.3">
      <c r="A65" t="s">
        <v>526</v>
      </c>
      <c r="B65">
        <v>95</v>
      </c>
      <c r="C65">
        <v>0.5</v>
      </c>
      <c r="D65">
        <v>0.55000000000000004</v>
      </c>
      <c r="E65">
        <v>1</v>
      </c>
      <c r="F65">
        <v>0.5</v>
      </c>
      <c r="J65" t="str">
        <f t="shared" si="0"/>
        <v>start python sig-gen.py hist 05k_SBER_7059group.pkl 95 0.5 0.55 0.5 1 05k_SBER_7059group.pkl</v>
      </c>
    </row>
    <row r="66" spans="1:10" x14ac:dyDescent="0.3">
      <c r="A66" t="s">
        <v>459</v>
      </c>
      <c r="B66">
        <v>35</v>
      </c>
      <c r="C66">
        <v>0.5</v>
      </c>
      <c r="D66">
        <v>0.55000000000000004</v>
      </c>
      <c r="E66">
        <v>1</v>
      </c>
      <c r="F66">
        <v>0.52</v>
      </c>
      <c r="J66" t="str">
        <f t="shared" si="0"/>
        <v>start python sig-gen.py hist 05k_SBER_705group.pkl 35 0.5 0.55 0.52 1 05k_SBER_705group.pkl</v>
      </c>
    </row>
    <row r="67" spans="1:10" x14ac:dyDescent="0.3">
      <c r="A67" t="s">
        <v>527</v>
      </c>
      <c r="B67">
        <v>95</v>
      </c>
      <c r="C67">
        <v>0.5</v>
      </c>
      <c r="D67">
        <v>0.55000000000000004</v>
      </c>
      <c r="E67">
        <v>1</v>
      </c>
      <c r="F67">
        <v>0.51</v>
      </c>
      <c r="J67" t="str">
        <f t="shared" ref="J67:J130" si="4">"start python sig-gen.py hist " &amp;A67 &amp; " " &amp; B67 &amp; " " &amp; C67 &amp; " " &amp; D67 &amp; " " &amp;F67 &amp; " " &amp; $S$1 &amp; " " &amp;A67</f>
        <v>start python sig-gen.py hist 05k_SBER_7060group.pkl 95 0.5 0.55 0.51 1 05k_SBER_7060group.pkl</v>
      </c>
    </row>
    <row r="68" spans="1:10" x14ac:dyDescent="0.3">
      <c r="A68" t="s">
        <v>528</v>
      </c>
      <c r="B68">
        <v>35</v>
      </c>
      <c r="C68">
        <v>0.95</v>
      </c>
      <c r="D68">
        <v>1</v>
      </c>
      <c r="E68">
        <v>1</v>
      </c>
      <c r="F68">
        <v>0.51</v>
      </c>
      <c r="J68" t="str">
        <f t="shared" si="4"/>
        <v>start python sig-gen.py hist 05k_SBER_7061group.pkl 35 0.95 1 0.51 1 05k_SBER_7061group.pkl</v>
      </c>
    </row>
    <row r="69" spans="1:10" x14ac:dyDescent="0.3">
      <c r="A69" t="s">
        <v>529</v>
      </c>
      <c r="B69">
        <v>95</v>
      </c>
      <c r="C69">
        <v>0.5</v>
      </c>
      <c r="D69">
        <v>0.55000000000000004</v>
      </c>
      <c r="E69">
        <v>1</v>
      </c>
      <c r="F69">
        <v>0.51500000000000001</v>
      </c>
      <c r="J69" t="str">
        <f t="shared" si="4"/>
        <v>start python sig-gen.py hist 05k_SBER_7062group.pkl 95 0.5 0.55 0.515 1 05k_SBER_7062group.pkl</v>
      </c>
    </row>
    <row r="70" spans="1:10" x14ac:dyDescent="0.3">
      <c r="A70" t="s">
        <v>530</v>
      </c>
      <c r="B70">
        <v>5</v>
      </c>
      <c r="C70">
        <v>0.5</v>
      </c>
      <c r="D70">
        <v>1</v>
      </c>
      <c r="E70">
        <v>1</v>
      </c>
      <c r="F70">
        <v>0.52</v>
      </c>
      <c r="J70" t="str">
        <f t="shared" ref="J70:J101" si="5">"python sig-gen.py hist " &amp;A70 &amp; " " &amp; B70 &amp; " " &amp; C70 &amp; " " &amp; D70 &amp; " " &amp;F70 &amp; " " &amp; $S$1 &amp; " " &amp;A70</f>
        <v>python sig-gen.py hist 05k_SBER_7063group.pkl 5 0.5 1 0.52 1 05k_SBER_7063group.pkl</v>
      </c>
    </row>
    <row r="71" spans="1:10" x14ac:dyDescent="0.3">
      <c r="A71" t="s">
        <v>531</v>
      </c>
      <c r="B71">
        <v>95</v>
      </c>
      <c r="C71">
        <v>0.5</v>
      </c>
      <c r="D71">
        <v>0.55000000000000004</v>
      </c>
      <c r="E71">
        <v>1</v>
      </c>
      <c r="F71">
        <v>0.51</v>
      </c>
      <c r="J71" t="str">
        <f t="shared" ref="J71:J102" si="6">"start python sig-gen.py hist " &amp;A71 &amp; " " &amp; B71 &amp; " " &amp; C71 &amp; " " &amp; D71 &amp; " " &amp;F71 &amp; " " &amp; $S$1 &amp; " " &amp;A71</f>
        <v>start python sig-gen.py hist 05k_SBER_7064group.pkl 95 0.5 0.55 0.51 1 05k_SBER_7064group.pkl</v>
      </c>
    </row>
    <row r="72" spans="1:10" x14ac:dyDescent="0.3">
      <c r="A72" t="s">
        <v>532</v>
      </c>
      <c r="B72">
        <v>95</v>
      </c>
      <c r="C72">
        <v>0.95</v>
      </c>
      <c r="D72">
        <v>0.05</v>
      </c>
      <c r="E72">
        <v>1</v>
      </c>
      <c r="F72">
        <v>0.5</v>
      </c>
      <c r="J72" t="str">
        <f t="shared" si="4"/>
        <v>start python sig-gen.py hist 05k_SBER_7065group.pkl 95 0.95 0.05 0.5 1 05k_SBER_7065group.pkl</v>
      </c>
    </row>
    <row r="73" spans="1:10" x14ac:dyDescent="0.3">
      <c r="A73" t="s">
        <v>533</v>
      </c>
      <c r="B73">
        <v>95</v>
      </c>
      <c r="C73">
        <v>0.5</v>
      </c>
      <c r="D73">
        <v>0.55000000000000004</v>
      </c>
      <c r="E73">
        <v>1</v>
      </c>
      <c r="F73">
        <v>0.505</v>
      </c>
      <c r="J73" t="str">
        <f t="shared" si="4"/>
        <v>start python sig-gen.py hist 05k_SBER_7066group.pkl 95 0.5 0.55 0.505 1 05k_SBER_7066group.pkl</v>
      </c>
    </row>
    <row r="74" spans="1:10" x14ac:dyDescent="0.3">
      <c r="A74" t="s">
        <v>534</v>
      </c>
      <c r="B74">
        <v>40</v>
      </c>
      <c r="C74">
        <v>0.5</v>
      </c>
      <c r="D74">
        <v>0.55000000000000004</v>
      </c>
      <c r="E74">
        <v>1</v>
      </c>
      <c r="F74">
        <v>0.51</v>
      </c>
      <c r="J74" t="str">
        <f t="shared" si="4"/>
        <v>start python sig-gen.py hist 05k_SBER_7067group.pkl 40 0.5 0.55 0.51 1 05k_SBER_7067group.pkl</v>
      </c>
    </row>
    <row r="75" spans="1:10" x14ac:dyDescent="0.3">
      <c r="A75" t="s">
        <v>535</v>
      </c>
      <c r="B75">
        <v>95</v>
      </c>
      <c r="C75">
        <v>0.95</v>
      </c>
      <c r="D75">
        <v>0.05</v>
      </c>
      <c r="E75">
        <v>1</v>
      </c>
      <c r="F75">
        <v>0.5</v>
      </c>
      <c r="J75" t="str">
        <f t="shared" si="4"/>
        <v>start python sig-gen.py hist 05k_SBER_7068group.pkl 95 0.95 0.05 0.5 1 05k_SBER_7068group.pkl</v>
      </c>
    </row>
    <row r="76" spans="1:10" x14ac:dyDescent="0.3">
      <c r="A76" t="s">
        <v>536</v>
      </c>
      <c r="B76">
        <v>95</v>
      </c>
      <c r="C76">
        <v>0.95</v>
      </c>
      <c r="D76">
        <v>0.05</v>
      </c>
      <c r="E76">
        <v>1</v>
      </c>
      <c r="F76">
        <v>0.5</v>
      </c>
      <c r="J76" t="str">
        <f t="shared" si="4"/>
        <v>start python sig-gen.py hist 05k_SBER_7069group.pkl 95 0.95 0.05 0.5 1 05k_SBER_7069group.pkl</v>
      </c>
    </row>
    <row r="77" spans="1:10" x14ac:dyDescent="0.3">
      <c r="A77" t="s">
        <v>467</v>
      </c>
      <c r="B77">
        <v>70</v>
      </c>
      <c r="C77">
        <v>0.95</v>
      </c>
      <c r="D77">
        <v>0.05</v>
      </c>
      <c r="E77">
        <v>1</v>
      </c>
      <c r="F77">
        <v>0.5</v>
      </c>
      <c r="J77" t="str">
        <f t="shared" si="4"/>
        <v>start python sig-gen.py hist 05k_SBER_706group.pkl 70 0.95 0.05 0.5 1 05k_SBER_706group.pkl</v>
      </c>
    </row>
    <row r="78" spans="1:10" x14ac:dyDescent="0.3">
      <c r="A78" t="s">
        <v>537</v>
      </c>
      <c r="B78">
        <v>95</v>
      </c>
      <c r="C78">
        <v>0.95</v>
      </c>
      <c r="D78">
        <v>0.05</v>
      </c>
      <c r="E78">
        <v>1</v>
      </c>
      <c r="F78">
        <v>0.5</v>
      </c>
      <c r="J78" t="str">
        <f t="shared" si="4"/>
        <v>start python sig-gen.py hist 05k_SBER_7070group.pkl 95 0.95 0.05 0.5 1 05k_SBER_7070group.pkl</v>
      </c>
    </row>
    <row r="79" spans="1:10" x14ac:dyDescent="0.3">
      <c r="A79" t="s">
        <v>538</v>
      </c>
      <c r="B79">
        <v>10</v>
      </c>
      <c r="C79">
        <v>0.95</v>
      </c>
      <c r="D79">
        <v>1</v>
      </c>
      <c r="E79">
        <v>1</v>
      </c>
      <c r="F79">
        <v>0.5</v>
      </c>
      <c r="J79" t="str">
        <f t="shared" si="4"/>
        <v>start python sig-gen.py hist 05k_SBER_7071group.pkl 10 0.95 1 0.5 1 05k_SBER_7071group.pkl</v>
      </c>
    </row>
    <row r="80" spans="1:10" x14ac:dyDescent="0.3">
      <c r="A80" t="s">
        <v>539</v>
      </c>
      <c r="B80">
        <v>95</v>
      </c>
      <c r="C80">
        <v>0.95</v>
      </c>
      <c r="D80">
        <v>1</v>
      </c>
      <c r="E80">
        <v>1</v>
      </c>
      <c r="F80">
        <v>0.5</v>
      </c>
      <c r="J80" t="str">
        <f t="shared" si="4"/>
        <v>start python sig-gen.py hist 05k_SBER_7072group.pkl 95 0.95 1 0.5 1 05k_SBER_7072group.pkl</v>
      </c>
    </row>
    <row r="81" spans="1:10" x14ac:dyDescent="0.3">
      <c r="A81" t="s">
        <v>540</v>
      </c>
      <c r="B81">
        <v>40</v>
      </c>
      <c r="C81">
        <v>0.5</v>
      </c>
      <c r="D81">
        <v>0.55000000000000004</v>
      </c>
      <c r="E81">
        <v>1</v>
      </c>
      <c r="F81">
        <v>0.51500000000000001</v>
      </c>
      <c r="J81" t="str">
        <f t="shared" si="4"/>
        <v>start python sig-gen.py hist 05k_SBER_7073group.pkl 40 0.5 0.55 0.515 1 05k_SBER_7073group.pkl</v>
      </c>
    </row>
    <row r="82" spans="1:10" x14ac:dyDescent="0.3">
      <c r="A82" t="s">
        <v>541</v>
      </c>
      <c r="B82">
        <v>40</v>
      </c>
      <c r="C82">
        <v>0.5</v>
      </c>
      <c r="D82">
        <v>0.55000000000000004</v>
      </c>
      <c r="E82">
        <v>1</v>
      </c>
      <c r="F82">
        <v>0.52</v>
      </c>
      <c r="J82" t="str">
        <f t="shared" si="4"/>
        <v>start python sig-gen.py hist 05k_SBER_7074group.pkl 40 0.5 0.55 0.52 1 05k_SBER_7074group.pkl</v>
      </c>
    </row>
    <row r="83" spans="1:10" x14ac:dyDescent="0.3">
      <c r="A83" t="s">
        <v>542</v>
      </c>
      <c r="B83">
        <v>40</v>
      </c>
      <c r="C83">
        <v>0.5</v>
      </c>
      <c r="D83">
        <v>0.55000000000000004</v>
      </c>
      <c r="E83">
        <v>1</v>
      </c>
      <c r="F83">
        <v>0.51500000000000001</v>
      </c>
      <c r="J83" t="str">
        <f t="shared" si="4"/>
        <v>start python sig-gen.py hist 05k_SBER_7075group.pkl 40 0.5 0.55 0.515 1 05k_SBER_7075group.pkl</v>
      </c>
    </row>
    <row r="84" spans="1:10" x14ac:dyDescent="0.3">
      <c r="A84" t="s">
        <v>543</v>
      </c>
      <c r="B84">
        <v>10</v>
      </c>
      <c r="C84">
        <v>0.95</v>
      </c>
      <c r="D84">
        <v>1</v>
      </c>
      <c r="E84">
        <v>1</v>
      </c>
      <c r="F84">
        <v>0.51500000000000001</v>
      </c>
      <c r="J84" t="str">
        <f t="shared" si="4"/>
        <v>start python sig-gen.py hist 05k_SBER_7076group.pkl 10 0.95 1 0.515 1 05k_SBER_7076group.pkl</v>
      </c>
    </row>
    <row r="85" spans="1:10" x14ac:dyDescent="0.3">
      <c r="A85" t="s">
        <v>544</v>
      </c>
      <c r="B85">
        <v>95</v>
      </c>
      <c r="C85">
        <v>0.5</v>
      </c>
      <c r="D85">
        <v>0.55000000000000004</v>
      </c>
      <c r="E85">
        <v>1</v>
      </c>
      <c r="F85">
        <v>0.51</v>
      </c>
      <c r="J85" t="str">
        <f t="shared" si="4"/>
        <v>start python sig-gen.py hist 05k_SBER_7077group.pkl 95 0.5 0.55 0.51 1 05k_SBER_7077group.pkl</v>
      </c>
    </row>
    <row r="86" spans="1:10" x14ac:dyDescent="0.3">
      <c r="A86" t="s">
        <v>545</v>
      </c>
      <c r="B86">
        <v>95</v>
      </c>
      <c r="C86">
        <v>0.95</v>
      </c>
      <c r="D86">
        <v>1</v>
      </c>
      <c r="E86">
        <v>1</v>
      </c>
      <c r="F86">
        <v>0.51500000000000001</v>
      </c>
      <c r="J86" t="str">
        <f t="shared" si="4"/>
        <v>start python sig-gen.py hist 05k_SBER_7078group.pkl 95 0.95 1 0.515 1 05k_SBER_7078group.pkl</v>
      </c>
    </row>
    <row r="87" spans="1:10" x14ac:dyDescent="0.3">
      <c r="A87" t="s">
        <v>546</v>
      </c>
      <c r="B87">
        <v>50</v>
      </c>
      <c r="C87">
        <v>0.95</v>
      </c>
      <c r="D87">
        <v>1</v>
      </c>
      <c r="E87">
        <v>1</v>
      </c>
      <c r="F87">
        <v>0.5</v>
      </c>
      <c r="J87" t="str">
        <f t="shared" si="4"/>
        <v>start python sig-gen.py hist 05k_SBER_7079group.pkl 50 0.95 1 0.5 1 05k_SBER_7079group.pkl</v>
      </c>
    </row>
    <row r="88" spans="1:10" x14ac:dyDescent="0.3">
      <c r="A88" t="s">
        <v>466</v>
      </c>
      <c r="B88">
        <v>10</v>
      </c>
      <c r="C88">
        <v>0.95</v>
      </c>
      <c r="D88">
        <v>1</v>
      </c>
      <c r="E88">
        <v>1</v>
      </c>
      <c r="F88">
        <v>0.51500000000000001</v>
      </c>
      <c r="J88" t="str">
        <f t="shared" si="4"/>
        <v>start python sig-gen.py hist 05k_SBER_707group.pkl 10 0.95 1 0.515 1 05k_SBER_707group.pkl</v>
      </c>
    </row>
    <row r="89" spans="1:10" x14ac:dyDescent="0.3">
      <c r="A89" t="s">
        <v>547</v>
      </c>
      <c r="B89">
        <v>95</v>
      </c>
      <c r="C89">
        <v>0.5</v>
      </c>
      <c r="D89">
        <v>0.55000000000000004</v>
      </c>
      <c r="E89">
        <v>1</v>
      </c>
      <c r="F89">
        <v>0.52</v>
      </c>
      <c r="J89" t="str">
        <f t="shared" si="4"/>
        <v>start python sig-gen.py hist 05k_SBER_7080group.pkl 95 0.5 0.55 0.52 1 05k_SBER_7080group.pkl</v>
      </c>
    </row>
    <row r="90" spans="1:10" x14ac:dyDescent="0.3">
      <c r="A90" t="s">
        <v>548</v>
      </c>
      <c r="B90">
        <v>85</v>
      </c>
      <c r="C90">
        <v>0.95</v>
      </c>
      <c r="D90">
        <v>0.05</v>
      </c>
      <c r="E90">
        <v>1</v>
      </c>
      <c r="F90">
        <v>0.5</v>
      </c>
      <c r="J90" t="str">
        <f t="shared" si="4"/>
        <v>start python sig-gen.py hist 05k_SBER_7081group.pkl 85 0.95 0.05 0.5 1 05k_SBER_7081group.pkl</v>
      </c>
    </row>
    <row r="91" spans="1:10" x14ac:dyDescent="0.3">
      <c r="A91" t="s">
        <v>549</v>
      </c>
      <c r="B91">
        <v>25</v>
      </c>
      <c r="C91">
        <v>0.5</v>
      </c>
      <c r="D91">
        <v>0.55000000000000004</v>
      </c>
      <c r="E91">
        <v>1</v>
      </c>
      <c r="F91">
        <v>0.5</v>
      </c>
      <c r="J91" t="str">
        <f t="shared" si="4"/>
        <v>start python sig-gen.py hist 05k_SBER_7082group.pkl 25 0.5 0.55 0.5 1 05k_SBER_7082group.pkl</v>
      </c>
    </row>
    <row r="92" spans="1:10" x14ac:dyDescent="0.3">
      <c r="A92" t="s">
        <v>550</v>
      </c>
      <c r="B92">
        <v>25</v>
      </c>
      <c r="C92">
        <v>0.5</v>
      </c>
      <c r="D92">
        <v>1</v>
      </c>
      <c r="E92">
        <v>1</v>
      </c>
      <c r="F92">
        <v>0.5</v>
      </c>
      <c r="J92" t="str">
        <f t="shared" si="4"/>
        <v>start python sig-gen.py hist 05k_SBER_7083group.pkl 25 0.5 1 0.5 1 05k_SBER_7083group.pkl</v>
      </c>
    </row>
    <row r="93" spans="1:10" x14ac:dyDescent="0.3">
      <c r="A93" t="s">
        <v>551</v>
      </c>
      <c r="B93">
        <v>90</v>
      </c>
      <c r="C93">
        <v>0.95</v>
      </c>
      <c r="D93">
        <v>0.05</v>
      </c>
      <c r="E93">
        <v>1</v>
      </c>
      <c r="F93">
        <v>0.5</v>
      </c>
      <c r="J93" t="str">
        <f t="shared" ref="J93:J124" si="7">"python sig-gen.py hist " &amp;A93 &amp; " " &amp; B93 &amp; " " &amp; C93 &amp; " " &amp; D93 &amp; " " &amp;F93 &amp; " " &amp; $S$1 &amp; " " &amp;A93</f>
        <v>python sig-gen.py hist 05k_SBER_7084group.pkl 90 0.95 0.05 0.5 1 05k_SBER_7084group.pkl</v>
      </c>
    </row>
    <row r="94" spans="1:10" x14ac:dyDescent="0.3">
      <c r="A94" t="s">
        <v>552</v>
      </c>
      <c r="B94">
        <v>90</v>
      </c>
      <c r="C94">
        <v>0.95</v>
      </c>
      <c r="D94">
        <v>0.05</v>
      </c>
      <c r="E94">
        <v>1</v>
      </c>
      <c r="F94">
        <v>0.5</v>
      </c>
      <c r="J94" t="str">
        <f t="shared" ref="J94:J125" si="8">"start python sig-gen.py hist " &amp;A94 &amp; " " &amp; B94 &amp; " " &amp; C94 &amp; " " &amp; D94 &amp; " " &amp;F94 &amp; " " &amp; $S$1 &amp; " " &amp;A94</f>
        <v>start python sig-gen.py hist 05k_SBER_7085group.pkl 90 0.95 0.05 0.5 1 05k_SBER_7085group.pkl</v>
      </c>
    </row>
    <row r="95" spans="1:10" x14ac:dyDescent="0.3">
      <c r="A95" t="s">
        <v>553</v>
      </c>
      <c r="B95">
        <v>90</v>
      </c>
      <c r="C95">
        <v>0.95</v>
      </c>
      <c r="D95">
        <v>0.05</v>
      </c>
      <c r="E95">
        <v>1</v>
      </c>
      <c r="F95">
        <v>0.5</v>
      </c>
      <c r="J95" t="str">
        <f t="shared" si="4"/>
        <v>start python sig-gen.py hist 05k_SBER_7086group.pkl 90 0.95 0.05 0.5 1 05k_SBER_7086group.pkl</v>
      </c>
    </row>
    <row r="96" spans="1:10" x14ac:dyDescent="0.3">
      <c r="A96" t="s">
        <v>554</v>
      </c>
      <c r="B96">
        <v>35</v>
      </c>
      <c r="C96">
        <v>0.95</v>
      </c>
      <c r="D96">
        <v>1</v>
      </c>
      <c r="E96">
        <v>1</v>
      </c>
      <c r="F96">
        <v>0.51</v>
      </c>
      <c r="J96" t="str">
        <f t="shared" si="4"/>
        <v>start python sig-gen.py hist 05k_SBER_7087group.pkl 35 0.95 1 0.51 1 05k_SBER_7087group.pkl</v>
      </c>
    </row>
    <row r="97" spans="1:10" x14ac:dyDescent="0.3">
      <c r="A97" t="s">
        <v>555</v>
      </c>
      <c r="B97">
        <v>95</v>
      </c>
      <c r="C97">
        <v>0.5</v>
      </c>
      <c r="D97">
        <v>0.55000000000000004</v>
      </c>
      <c r="E97">
        <v>1</v>
      </c>
      <c r="F97">
        <v>0.505</v>
      </c>
      <c r="J97" t="str">
        <f t="shared" si="4"/>
        <v>start python sig-gen.py hist 05k_SBER_7088group.pkl 95 0.5 0.55 0.505 1 05k_SBER_7088group.pkl</v>
      </c>
    </row>
    <row r="98" spans="1:10" x14ac:dyDescent="0.3">
      <c r="A98" t="s">
        <v>556</v>
      </c>
      <c r="B98">
        <v>95</v>
      </c>
      <c r="C98">
        <v>0.95</v>
      </c>
      <c r="D98">
        <v>1</v>
      </c>
      <c r="E98">
        <v>1</v>
      </c>
      <c r="F98">
        <v>0.51500000000000001</v>
      </c>
      <c r="J98" t="str">
        <f t="shared" si="4"/>
        <v>start python sig-gen.py hist 05k_SBER_7089group.pkl 95 0.95 1 0.515 1 05k_SBER_7089group.pkl</v>
      </c>
    </row>
    <row r="99" spans="1:10" x14ac:dyDescent="0.3">
      <c r="A99" t="s">
        <v>461</v>
      </c>
      <c r="B99">
        <v>10</v>
      </c>
      <c r="C99">
        <v>0.95</v>
      </c>
      <c r="D99">
        <v>1</v>
      </c>
      <c r="E99">
        <v>1</v>
      </c>
      <c r="F99">
        <v>0.52</v>
      </c>
      <c r="J99" t="str">
        <f t="shared" si="4"/>
        <v>start python sig-gen.py hist 05k_SBER_708group.pkl 10 0.95 1 0.52 1 05k_SBER_708group.pkl</v>
      </c>
    </row>
    <row r="100" spans="1:10" x14ac:dyDescent="0.3">
      <c r="A100" t="s">
        <v>557</v>
      </c>
      <c r="B100">
        <v>95</v>
      </c>
      <c r="C100">
        <v>0.5</v>
      </c>
      <c r="D100">
        <v>0.55000000000000004</v>
      </c>
      <c r="E100">
        <v>1</v>
      </c>
      <c r="F100">
        <v>0.505</v>
      </c>
      <c r="J100" t="str">
        <f t="shared" si="4"/>
        <v>start python sig-gen.py hist 05k_SBER_7090group.pkl 95 0.5 0.55 0.505 1 05k_SBER_7090group.pkl</v>
      </c>
    </row>
    <row r="101" spans="1:10" x14ac:dyDescent="0.3">
      <c r="A101" t="s">
        <v>558</v>
      </c>
      <c r="B101">
        <v>95</v>
      </c>
      <c r="C101">
        <v>0.95</v>
      </c>
      <c r="D101">
        <v>0.05</v>
      </c>
      <c r="E101">
        <v>1</v>
      </c>
      <c r="F101">
        <v>0.5</v>
      </c>
      <c r="J101" t="str">
        <f t="shared" si="4"/>
        <v>start python sig-gen.py hist 05k_SBER_7091group.pkl 95 0.95 0.05 0.5 1 05k_SBER_7091group.pkl</v>
      </c>
    </row>
    <row r="102" spans="1:10" x14ac:dyDescent="0.3">
      <c r="A102" t="s">
        <v>559</v>
      </c>
      <c r="B102">
        <v>10</v>
      </c>
      <c r="C102">
        <v>0.5</v>
      </c>
      <c r="D102">
        <v>1</v>
      </c>
      <c r="E102">
        <v>1</v>
      </c>
      <c r="F102">
        <v>0.51500000000000001</v>
      </c>
      <c r="J102" t="str">
        <f t="shared" si="4"/>
        <v>start python sig-gen.py hist 05k_SBER_7092group.pkl 10 0.5 1 0.515 1 05k_SBER_7092group.pkl</v>
      </c>
    </row>
    <row r="103" spans="1:10" x14ac:dyDescent="0.3">
      <c r="A103" t="s">
        <v>560</v>
      </c>
      <c r="B103">
        <v>40</v>
      </c>
      <c r="C103">
        <v>0.95</v>
      </c>
      <c r="D103">
        <v>1</v>
      </c>
      <c r="E103">
        <v>1</v>
      </c>
      <c r="F103">
        <v>0.52</v>
      </c>
      <c r="J103" t="str">
        <f t="shared" si="4"/>
        <v>start python sig-gen.py hist 05k_SBER_7093group.pkl 40 0.95 1 0.52 1 05k_SBER_7093group.pkl</v>
      </c>
    </row>
    <row r="104" spans="1:10" x14ac:dyDescent="0.3">
      <c r="A104" t="s">
        <v>561</v>
      </c>
      <c r="B104">
        <v>95</v>
      </c>
      <c r="C104">
        <v>0.5</v>
      </c>
      <c r="D104">
        <v>0.55000000000000004</v>
      </c>
      <c r="E104">
        <v>1</v>
      </c>
      <c r="F104">
        <v>0.5</v>
      </c>
      <c r="J104" t="str">
        <f t="shared" si="4"/>
        <v>start python sig-gen.py hist 05k_SBER_7094group.pkl 95 0.5 0.55 0.5 1 05k_SBER_7094group.pkl</v>
      </c>
    </row>
    <row r="105" spans="1:10" x14ac:dyDescent="0.3">
      <c r="A105" t="s">
        <v>562</v>
      </c>
      <c r="B105">
        <v>95</v>
      </c>
      <c r="C105">
        <v>0.5</v>
      </c>
      <c r="D105">
        <v>0.55000000000000004</v>
      </c>
      <c r="E105">
        <v>1</v>
      </c>
      <c r="F105">
        <v>0.51</v>
      </c>
      <c r="J105" t="str">
        <f t="shared" si="4"/>
        <v>start python sig-gen.py hist 05k_SBER_7095group.pkl 95 0.5 0.55 0.51 1 05k_SBER_7095group.pkl</v>
      </c>
    </row>
    <row r="106" spans="1:10" x14ac:dyDescent="0.3">
      <c r="A106" t="s">
        <v>563</v>
      </c>
      <c r="B106">
        <v>90</v>
      </c>
      <c r="C106">
        <v>0.95</v>
      </c>
      <c r="D106">
        <v>0.05</v>
      </c>
      <c r="E106">
        <v>1</v>
      </c>
      <c r="F106">
        <v>0.5</v>
      </c>
      <c r="J106" t="str">
        <f t="shared" si="4"/>
        <v>start python sig-gen.py hist 05k_SBER_7096group.pkl 90 0.95 0.05 0.5 1 05k_SBER_7096group.pkl</v>
      </c>
    </row>
    <row r="107" spans="1:10" x14ac:dyDescent="0.3">
      <c r="A107" t="s">
        <v>564</v>
      </c>
      <c r="B107">
        <v>95</v>
      </c>
      <c r="C107">
        <v>0.95</v>
      </c>
      <c r="D107">
        <v>0.05</v>
      </c>
      <c r="E107">
        <v>1</v>
      </c>
      <c r="F107">
        <v>0.5</v>
      </c>
      <c r="J107" t="str">
        <f t="shared" si="4"/>
        <v>start python sig-gen.py hist 05k_SBER_7097group.pkl 95 0.95 0.05 0.5 1 05k_SBER_7097group.pkl</v>
      </c>
    </row>
    <row r="108" spans="1:10" x14ac:dyDescent="0.3">
      <c r="A108" t="s">
        <v>565</v>
      </c>
      <c r="B108">
        <v>95</v>
      </c>
      <c r="C108">
        <v>0.95</v>
      </c>
      <c r="D108">
        <v>0.05</v>
      </c>
      <c r="E108">
        <v>1</v>
      </c>
      <c r="F108">
        <v>0.5</v>
      </c>
      <c r="J108" t="str">
        <f t="shared" si="4"/>
        <v>start python sig-gen.py hist 05k_SBER_7098group.pkl 95 0.95 0.05 0.5 1 05k_SBER_7098group.pkl</v>
      </c>
    </row>
    <row r="109" spans="1:10" x14ac:dyDescent="0.3">
      <c r="A109" t="s">
        <v>566</v>
      </c>
      <c r="B109">
        <v>45</v>
      </c>
      <c r="C109">
        <v>0.5</v>
      </c>
      <c r="D109">
        <v>0.55000000000000004</v>
      </c>
      <c r="E109">
        <v>1</v>
      </c>
      <c r="F109">
        <v>0.505</v>
      </c>
      <c r="J109" t="str">
        <f t="shared" si="4"/>
        <v>start python sig-gen.py hist 05k_SBER_7099group.pkl 45 0.5 0.55 0.505 1 05k_SBER_7099group.pkl</v>
      </c>
    </row>
    <row r="110" spans="1:10" x14ac:dyDescent="0.3">
      <c r="A110" t="s">
        <v>464</v>
      </c>
      <c r="B110">
        <v>60</v>
      </c>
      <c r="C110">
        <v>0.95</v>
      </c>
      <c r="D110">
        <v>0.05</v>
      </c>
      <c r="E110">
        <v>1</v>
      </c>
      <c r="F110">
        <v>0.5</v>
      </c>
      <c r="J110" t="str">
        <f t="shared" si="4"/>
        <v>start python sig-gen.py hist 05k_SBER_709group.pkl 60 0.95 0.05 0.5 1 05k_SBER_709group.pkl</v>
      </c>
    </row>
    <row r="111" spans="1:10" x14ac:dyDescent="0.3">
      <c r="A111" t="s">
        <v>567</v>
      </c>
      <c r="B111">
        <v>40</v>
      </c>
      <c r="C111">
        <v>0.5</v>
      </c>
      <c r="D111">
        <v>0.55000000000000004</v>
      </c>
      <c r="E111">
        <v>1</v>
      </c>
      <c r="F111">
        <v>0.51500000000000001</v>
      </c>
      <c r="J111" t="str">
        <f t="shared" si="4"/>
        <v>start python sig-gen.py hist 05k_SBER_7100group.pkl 40 0.5 0.55 0.515 1 05k_SBER_7100group.pkl</v>
      </c>
    </row>
    <row r="112" spans="1:10" x14ac:dyDescent="0.3">
      <c r="A112" t="s">
        <v>568</v>
      </c>
      <c r="B112">
        <v>95</v>
      </c>
      <c r="C112">
        <v>0.5</v>
      </c>
      <c r="D112">
        <v>0.55000000000000004</v>
      </c>
      <c r="E112">
        <v>1</v>
      </c>
      <c r="F112">
        <v>0.5</v>
      </c>
      <c r="J112" t="str">
        <f t="shared" si="4"/>
        <v>start python sig-gen.py hist 05k_SBER_8001group.pkl 95 0.5 0.55 0.5 1 05k_SBER_8001group.pkl</v>
      </c>
    </row>
    <row r="113" spans="1:10" x14ac:dyDescent="0.3">
      <c r="A113" t="s">
        <v>569</v>
      </c>
      <c r="B113">
        <v>95</v>
      </c>
      <c r="C113">
        <v>0.95</v>
      </c>
      <c r="D113">
        <v>1</v>
      </c>
      <c r="E113">
        <v>1</v>
      </c>
      <c r="F113">
        <v>0.51500000000000001</v>
      </c>
      <c r="J113" t="str">
        <f t="shared" si="4"/>
        <v>start python sig-gen.py hist 05k_SBER_8002group.pkl 95 0.95 1 0.515 1 05k_SBER_8002group.pkl</v>
      </c>
    </row>
    <row r="114" spans="1:10" x14ac:dyDescent="0.3">
      <c r="A114" t="s">
        <v>570</v>
      </c>
      <c r="B114">
        <v>95</v>
      </c>
      <c r="C114">
        <v>0.95</v>
      </c>
      <c r="D114">
        <v>1</v>
      </c>
      <c r="E114">
        <v>1</v>
      </c>
      <c r="F114">
        <v>0.51</v>
      </c>
      <c r="J114" t="str">
        <f t="shared" si="4"/>
        <v>start python sig-gen.py hist 05k_SBER_8003group.pkl 95 0.95 1 0.51 1 05k_SBER_8003group.pkl</v>
      </c>
    </row>
    <row r="115" spans="1:10" x14ac:dyDescent="0.3">
      <c r="A115" t="s">
        <v>571</v>
      </c>
      <c r="B115">
        <v>30</v>
      </c>
      <c r="C115">
        <v>0.5</v>
      </c>
      <c r="D115">
        <v>0.55000000000000004</v>
      </c>
      <c r="E115">
        <v>1</v>
      </c>
      <c r="F115">
        <v>0.51500000000000001</v>
      </c>
      <c r="J115" t="str">
        <f t="shared" si="4"/>
        <v>start python sig-gen.py hist 05k_SBER_8004group.pkl 30 0.5 0.55 0.515 1 05k_SBER_8004group.pkl</v>
      </c>
    </row>
    <row r="116" spans="1:10" x14ac:dyDescent="0.3">
      <c r="A116" t="s">
        <v>572</v>
      </c>
      <c r="B116">
        <v>95</v>
      </c>
      <c r="C116">
        <v>0.95</v>
      </c>
      <c r="D116">
        <v>0.05</v>
      </c>
      <c r="E116">
        <v>1</v>
      </c>
      <c r="F116">
        <v>0.5</v>
      </c>
      <c r="J116" t="str">
        <f t="shared" ref="J116:J147" si="9">"python sig-gen.py hist " &amp;A116 &amp; " " &amp; B116 &amp; " " &amp; C116 &amp; " " &amp; D116 &amp; " " &amp;F116 &amp; " " &amp; $S$1 &amp; " " &amp;A116</f>
        <v>python sig-gen.py hist 05k_SBER_8005group.pkl 95 0.95 0.05 0.5 1 05k_SBER_8005group.pkl</v>
      </c>
    </row>
    <row r="117" spans="1:10" x14ac:dyDescent="0.3">
      <c r="A117" t="s">
        <v>573</v>
      </c>
      <c r="B117">
        <v>40</v>
      </c>
      <c r="C117">
        <v>0.5</v>
      </c>
      <c r="D117">
        <v>0.55000000000000004</v>
      </c>
      <c r="E117">
        <v>1</v>
      </c>
      <c r="F117">
        <v>0.5</v>
      </c>
      <c r="J117" t="str">
        <f t="shared" ref="J117:J148" si="10">"start python sig-gen.py hist " &amp;A117 &amp; " " &amp; B117 &amp; " " &amp; C117 &amp; " " &amp; D117 &amp; " " &amp;F117 &amp; " " &amp; $S$1 &amp; " " &amp;A117</f>
        <v>start python sig-gen.py hist 05k_SBER_8006group.pkl 40 0.5 0.55 0.5 1 05k_SBER_8006group.pkl</v>
      </c>
    </row>
    <row r="118" spans="1:10" x14ac:dyDescent="0.3">
      <c r="A118" t="s">
        <v>574</v>
      </c>
      <c r="B118">
        <v>15</v>
      </c>
      <c r="C118">
        <v>0.95</v>
      </c>
      <c r="D118">
        <v>1</v>
      </c>
      <c r="E118">
        <v>1</v>
      </c>
      <c r="F118">
        <v>0.52</v>
      </c>
      <c r="J118" t="str">
        <f t="shared" si="4"/>
        <v>start python sig-gen.py hist 05k_SBER_8007group.pkl 15 0.95 1 0.52 1 05k_SBER_8007group.pkl</v>
      </c>
    </row>
    <row r="119" spans="1:10" x14ac:dyDescent="0.3">
      <c r="A119" t="s">
        <v>575</v>
      </c>
      <c r="B119">
        <v>95</v>
      </c>
      <c r="C119">
        <v>0.5</v>
      </c>
      <c r="D119">
        <v>0.55000000000000004</v>
      </c>
      <c r="E119">
        <v>1</v>
      </c>
      <c r="F119">
        <v>0.505</v>
      </c>
      <c r="J119" t="str">
        <f t="shared" si="4"/>
        <v>start python sig-gen.py hist 05k_SBER_8008group.pkl 95 0.5 0.55 0.505 1 05k_SBER_8008group.pkl</v>
      </c>
    </row>
    <row r="120" spans="1:10" x14ac:dyDescent="0.3">
      <c r="A120" t="s">
        <v>576</v>
      </c>
      <c r="B120">
        <v>95</v>
      </c>
      <c r="C120">
        <v>0.5</v>
      </c>
      <c r="D120">
        <v>0.55000000000000004</v>
      </c>
      <c r="E120">
        <v>1</v>
      </c>
      <c r="F120">
        <v>0.5</v>
      </c>
      <c r="J120" t="str">
        <f t="shared" si="4"/>
        <v>start python sig-gen.py hist 05k_SBER_8009group.pkl 95 0.5 0.55 0.5 1 05k_SBER_8009group.pkl</v>
      </c>
    </row>
    <row r="121" spans="1:10" x14ac:dyDescent="0.3">
      <c r="A121" t="s">
        <v>460</v>
      </c>
      <c r="B121">
        <v>30</v>
      </c>
      <c r="C121">
        <v>0.5</v>
      </c>
      <c r="D121">
        <v>0.55000000000000004</v>
      </c>
      <c r="E121">
        <v>1</v>
      </c>
      <c r="F121">
        <v>0.52</v>
      </c>
      <c r="J121" t="str">
        <f t="shared" si="4"/>
        <v>start python sig-gen.py hist 05k_SBER_800group.pkl 30 0.5 0.55 0.52 1 05k_SBER_800group.pkl</v>
      </c>
    </row>
    <row r="122" spans="1:10" x14ac:dyDescent="0.3">
      <c r="A122" t="s">
        <v>577</v>
      </c>
      <c r="B122">
        <v>95</v>
      </c>
      <c r="C122">
        <v>0.5</v>
      </c>
      <c r="D122">
        <v>0.55000000000000004</v>
      </c>
      <c r="E122">
        <v>1</v>
      </c>
      <c r="F122">
        <v>0.5</v>
      </c>
      <c r="J122" t="str">
        <f t="shared" si="4"/>
        <v>start python sig-gen.py hist 05k_SBER_8010group.pkl 95 0.5 0.55 0.5 1 05k_SBER_8010group.pkl</v>
      </c>
    </row>
    <row r="123" spans="1:10" x14ac:dyDescent="0.3">
      <c r="A123" t="s">
        <v>578</v>
      </c>
      <c r="B123">
        <v>45</v>
      </c>
      <c r="C123">
        <v>0.95</v>
      </c>
      <c r="D123">
        <v>0.05</v>
      </c>
      <c r="E123">
        <v>1</v>
      </c>
      <c r="F123">
        <v>0.5</v>
      </c>
      <c r="J123" t="str">
        <f t="shared" si="4"/>
        <v>start python sig-gen.py hist 05k_SBER_8011group.pkl 45 0.95 0.05 0.5 1 05k_SBER_8011group.pkl</v>
      </c>
    </row>
    <row r="124" spans="1:10" x14ac:dyDescent="0.3">
      <c r="A124" t="s">
        <v>579</v>
      </c>
      <c r="B124">
        <v>35</v>
      </c>
      <c r="C124">
        <v>0.95</v>
      </c>
      <c r="D124">
        <v>1</v>
      </c>
      <c r="E124">
        <v>1</v>
      </c>
      <c r="F124">
        <v>0.52</v>
      </c>
      <c r="J124" t="str">
        <f t="shared" si="4"/>
        <v>start python sig-gen.py hist 05k_SBER_8012group.pkl 35 0.95 1 0.52 1 05k_SBER_8012group.pkl</v>
      </c>
    </row>
    <row r="125" spans="1:10" x14ac:dyDescent="0.3">
      <c r="A125" t="s">
        <v>580</v>
      </c>
      <c r="B125">
        <v>40</v>
      </c>
      <c r="C125">
        <v>0.5</v>
      </c>
      <c r="D125">
        <v>0.55000000000000004</v>
      </c>
      <c r="E125">
        <v>1</v>
      </c>
      <c r="F125">
        <v>0.52</v>
      </c>
      <c r="J125" t="str">
        <f t="shared" si="4"/>
        <v>start python sig-gen.py hist 05k_SBER_8013group.pkl 40 0.5 0.55 0.52 1 05k_SBER_8013group.pkl</v>
      </c>
    </row>
    <row r="126" spans="1:10" x14ac:dyDescent="0.3">
      <c r="A126" t="s">
        <v>581</v>
      </c>
      <c r="B126">
        <v>40</v>
      </c>
      <c r="C126">
        <v>0.95</v>
      </c>
      <c r="D126">
        <v>1</v>
      </c>
      <c r="E126">
        <v>1</v>
      </c>
      <c r="F126">
        <v>0.51</v>
      </c>
      <c r="J126" t="str">
        <f t="shared" si="4"/>
        <v>start python sig-gen.py hist 05k_SBER_8014group.pkl 40 0.95 1 0.51 1 05k_SBER_8014group.pkl</v>
      </c>
    </row>
    <row r="127" spans="1:10" x14ac:dyDescent="0.3">
      <c r="A127" t="s">
        <v>582</v>
      </c>
      <c r="B127">
        <v>10</v>
      </c>
      <c r="C127">
        <v>0.5</v>
      </c>
      <c r="D127">
        <v>1</v>
      </c>
      <c r="E127">
        <v>1</v>
      </c>
      <c r="F127">
        <v>0.51500000000000001</v>
      </c>
      <c r="J127" t="str">
        <f t="shared" si="4"/>
        <v>start python sig-gen.py hist 05k_SBER_8015group.pkl 10 0.5 1 0.515 1 05k_SBER_8015group.pkl</v>
      </c>
    </row>
    <row r="128" spans="1:10" x14ac:dyDescent="0.3">
      <c r="A128" t="s">
        <v>583</v>
      </c>
      <c r="B128">
        <v>25</v>
      </c>
      <c r="C128">
        <v>0.5</v>
      </c>
      <c r="D128">
        <v>1</v>
      </c>
      <c r="E128">
        <v>1</v>
      </c>
      <c r="F128">
        <v>0.5</v>
      </c>
      <c r="J128" t="str">
        <f t="shared" si="4"/>
        <v>start python sig-gen.py hist 05k_SBER_8016group.pkl 25 0.5 1 0.5 1 05k_SBER_8016group.pkl</v>
      </c>
    </row>
    <row r="129" spans="1:10" x14ac:dyDescent="0.3">
      <c r="A129" t="s">
        <v>584</v>
      </c>
      <c r="B129">
        <v>40</v>
      </c>
      <c r="C129">
        <v>0.5</v>
      </c>
      <c r="D129">
        <v>0.55000000000000004</v>
      </c>
      <c r="E129">
        <v>1</v>
      </c>
      <c r="F129">
        <v>0.505</v>
      </c>
      <c r="J129" t="str">
        <f t="shared" si="4"/>
        <v>start python sig-gen.py hist 05k_SBER_8017group.pkl 40 0.5 0.55 0.505 1 05k_SBER_8017group.pkl</v>
      </c>
    </row>
    <row r="130" spans="1:10" x14ac:dyDescent="0.3">
      <c r="A130" t="s">
        <v>585</v>
      </c>
      <c r="B130">
        <v>95</v>
      </c>
      <c r="C130">
        <v>0.5</v>
      </c>
      <c r="D130">
        <v>0.55000000000000004</v>
      </c>
      <c r="E130">
        <v>1</v>
      </c>
      <c r="F130">
        <v>0.51500000000000001</v>
      </c>
      <c r="J130" t="str">
        <f t="shared" si="4"/>
        <v>start python sig-gen.py hist 05k_SBER_8018group.pkl 95 0.5 0.55 0.515 1 05k_SBER_8018group.pkl</v>
      </c>
    </row>
    <row r="131" spans="1:10" x14ac:dyDescent="0.3">
      <c r="A131" t="s">
        <v>586</v>
      </c>
      <c r="B131">
        <v>95</v>
      </c>
      <c r="C131">
        <v>0.5</v>
      </c>
      <c r="D131">
        <v>0.55000000000000004</v>
      </c>
      <c r="E131">
        <v>1</v>
      </c>
      <c r="F131">
        <v>0.51</v>
      </c>
      <c r="J131" t="str">
        <f t="shared" ref="J131:J194" si="11">"start python sig-gen.py hist " &amp;A131 &amp; " " &amp; B131 &amp; " " &amp; C131 &amp; " " &amp; D131 &amp; " " &amp;F131 &amp; " " &amp; $S$1 &amp; " " &amp;A131</f>
        <v>start python sig-gen.py hist 05k_SBER_8019group.pkl 95 0.5 0.55 0.51 1 05k_SBER_8019group.pkl</v>
      </c>
    </row>
    <row r="132" spans="1:10" x14ac:dyDescent="0.3">
      <c r="A132" t="s">
        <v>454</v>
      </c>
      <c r="B132">
        <v>70</v>
      </c>
      <c r="C132">
        <v>0.95</v>
      </c>
      <c r="D132">
        <v>0.05</v>
      </c>
      <c r="E132">
        <v>1</v>
      </c>
      <c r="F132">
        <v>0.5</v>
      </c>
      <c r="J132" t="str">
        <f t="shared" si="11"/>
        <v>start python sig-gen.py hist 05k_SBER_801group.pkl 70 0.95 0.05 0.5 1 05k_SBER_801group.pkl</v>
      </c>
    </row>
    <row r="133" spans="1:10" x14ac:dyDescent="0.3">
      <c r="A133" t="s">
        <v>587</v>
      </c>
      <c r="B133">
        <v>95</v>
      </c>
      <c r="C133">
        <v>0.5</v>
      </c>
      <c r="D133">
        <v>0.55000000000000004</v>
      </c>
      <c r="E133">
        <v>1</v>
      </c>
      <c r="F133">
        <v>0.505</v>
      </c>
      <c r="J133" t="str">
        <f t="shared" si="11"/>
        <v>start python sig-gen.py hist 05k_SBER_8020group.pkl 95 0.5 0.55 0.505 1 05k_SBER_8020group.pkl</v>
      </c>
    </row>
    <row r="134" spans="1:10" x14ac:dyDescent="0.3">
      <c r="A134" t="s">
        <v>588</v>
      </c>
      <c r="B134">
        <v>95</v>
      </c>
      <c r="C134">
        <v>0.5</v>
      </c>
      <c r="D134">
        <v>0.55000000000000004</v>
      </c>
      <c r="E134">
        <v>1</v>
      </c>
      <c r="F134">
        <v>0.51</v>
      </c>
      <c r="J134" t="str">
        <f t="shared" si="11"/>
        <v>start python sig-gen.py hist 05k_SBER_8021group.pkl 95 0.5 0.55 0.51 1 05k_SBER_8021group.pkl</v>
      </c>
    </row>
    <row r="135" spans="1:10" x14ac:dyDescent="0.3">
      <c r="A135" t="s">
        <v>589</v>
      </c>
      <c r="B135">
        <v>35</v>
      </c>
      <c r="C135">
        <v>0.95</v>
      </c>
      <c r="D135">
        <v>1</v>
      </c>
      <c r="E135">
        <v>1</v>
      </c>
      <c r="F135">
        <v>0.5</v>
      </c>
      <c r="J135" t="str">
        <f t="shared" si="11"/>
        <v>start python sig-gen.py hist 05k_SBER_8022group.pkl 35 0.95 1 0.5 1 05k_SBER_8022group.pkl</v>
      </c>
    </row>
    <row r="136" spans="1:10" x14ac:dyDescent="0.3">
      <c r="A136" t="s">
        <v>590</v>
      </c>
      <c r="B136">
        <v>95</v>
      </c>
      <c r="C136">
        <v>0.5</v>
      </c>
      <c r="D136">
        <v>0.55000000000000004</v>
      </c>
      <c r="E136">
        <v>1</v>
      </c>
      <c r="F136">
        <v>0.5</v>
      </c>
      <c r="J136" t="str">
        <f t="shared" si="11"/>
        <v>start python sig-gen.py hist 05k_SBER_8023group.pkl 95 0.5 0.55 0.5 1 05k_SBER_8023group.pkl</v>
      </c>
    </row>
    <row r="137" spans="1:10" x14ac:dyDescent="0.3">
      <c r="A137" t="s">
        <v>591</v>
      </c>
      <c r="B137">
        <v>90</v>
      </c>
      <c r="C137">
        <v>0.95</v>
      </c>
      <c r="D137">
        <v>0.05</v>
      </c>
      <c r="E137">
        <v>1</v>
      </c>
      <c r="F137">
        <v>0.5</v>
      </c>
      <c r="J137" t="str">
        <f t="shared" si="11"/>
        <v>start python sig-gen.py hist 05k_SBER_8024group.pkl 90 0.95 0.05 0.5 1 05k_SBER_8024group.pkl</v>
      </c>
    </row>
    <row r="138" spans="1:10" x14ac:dyDescent="0.3">
      <c r="A138" t="s">
        <v>592</v>
      </c>
      <c r="B138">
        <v>40</v>
      </c>
      <c r="C138">
        <v>0.5</v>
      </c>
      <c r="D138">
        <v>0.55000000000000004</v>
      </c>
      <c r="E138">
        <v>1</v>
      </c>
      <c r="F138">
        <v>0.5</v>
      </c>
      <c r="J138" t="str">
        <f t="shared" si="11"/>
        <v>start python sig-gen.py hist 05k_SBER_8025group.pkl 40 0.5 0.55 0.5 1 05k_SBER_8025group.pkl</v>
      </c>
    </row>
    <row r="139" spans="1:10" x14ac:dyDescent="0.3">
      <c r="A139" t="s">
        <v>593</v>
      </c>
      <c r="B139">
        <v>40</v>
      </c>
      <c r="C139">
        <v>0.5</v>
      </c>
      <c r="D139">
        <v>0.55000000000000004</v>
      </c>
      <c r="E139">
        <v>1</v>
      </c>
      <c r="F139">
        <v>0.51500000000000001</v>
      </c>
      <c r="J139" t="str">
        <f t="shared" ref="J139:J170" si="12">"python sig-gen.py hist " &amp;A139 &amp; " " &amp; B139 &amp; " " &amp; C139 &amp; " " &amp; D139 &amp; " " &amp;F139 &amp; " " &amp; $S$1 &amp; " " &amp;A139</f>
        <v>python sig-gen.py hist 05k_SBER_8026group.pkl 40 0.5 0.55 0.515 1 05k_SBER_8026group.pkl</v>
      </c>
    </row>
    <row r="140" spans="1:10" x14ac:dyDescent="0.3">
      <c r="A140" t="s">
        <v>594</v>
      </c>
      <c r="B140">
        <v>95</v>
      </c>
      <c r="C140">
        <v>0.5</v>
      </c>
      <c r="D140">
        <v>0.55000000000000004</v>
      </c>
      <c r="E140">
        <v>1</v>
      </c>
      <c r="F140">
        <v>0.505</v>
      </c>
      <c r="J140" t="str">
        <f t="shared" ref="J140:J171" si="13">"start python sig-gen.py hist " &amp;A140 &amp; " " &amp; B140 &amp; " " &amp; C140 &amp; " " &amp; D140 &amp; " " &amp;F140 &amp; " " &amp; $S$1 &amp; " " &amp;A140</f>
        <v>start python sig-gen.py hist 05k_SBER_8027group.pkl 95 0.5 0.55 0.505 1 05k_SBER_8027group.pkl</v>
      </c>
    </row>
    <row r="141" spans="1:10" x14ac:dyDescent="0.3">
      <c r="A141" t="s">
        <v>595</v>
      </c>
      <c r="B141">
        <v>10</v>
      </c>
      <c r="C141">
        <v>0.95</v>
      </c>
      <c r="D141">
        <v>1</v>
      </c>
      <c r="E141">
        <v>1</v>
      </c>
      <c r="F141">
        <v>0.51</v>
      </c>
      <c r="J141" t="str">
        <f t="shared" si="11"/>
        <v>start python sig-gen.py hist 05k_SBER_8028group.pkl 10 0.95 1 0.51 1 05k_SBER_8028group.pkl</v>
      </c>
    </row>
    <row r="142" spans="1:10" x14ac:dyDescent="0.3">
      <c r="A142" t="s">
        <v>596</v>
      </c>
      <c r="B142">
        <v>95</v>
      </c>
      <c r="C142">
        <v>0.95</v>
      </c>
      <c r="D142">
        <v>0.05</v>
      </c>
      <c r="E142">
        <v>1</v>
      </c>
      <c r="F142">
        <v>0.5</v>
      </c>
      <c r="J142" t="str">
        <f t="shared" si="11"/>
        <v>start python sig-gen.py hist 05k_SBER_8029group.pkl 95 0.95 0.05 0.5 1 05k_SBER_8029group.pkl</v>
      </c>
    </row>
    <row r="143" spans="1:10" x14ac:dyDescent="0.3">
      <c r="A143" t="s">
        <v>455</v>
      </c>
      <c r="B143">
        <v>95</v>
      </c>
      <c r="C143">
        <v>0.5</v>
      </c>
      <c r="D143">
        <v>0.55000000000000004</v>
      </c>
      <c r="E143">
        <v>1</v>
      </c>
      <c r="F143">
        <v>0.51</v>
      </c>
      <c r="J143" t="str">
        <f t="shared" si="11"/>
        <v>start python sig-gen.py hist 05k_SBER_802group.pkl 95 0.5 0.55 0.51 1 05k_SBER_802group.pkl</v>
      </c>
    </row>
    <row r="144" spans="1:10" x14ac:dyDescent="0.3">
      <c r="A144" t="s">
        <v>597</v>
      </c>
      <c r="B144">
        <v>95</v>
      </c>
      <c r="C144">
        <v>0.95</v>
      </c>
      <c r="D144">
        <v>0.05</v>
      </c>
      <c r="E144">
        <v>1</v>
      </c>
      <c r="F144">
        <v>0.5</v>
      </c>
      <c r="J144" t="str">
        <f t="shared" si="11"/>
        <v>start python sig-gen.py hist 05k_SBER_8030group.pkl 95 0.95 0.05 0.5 1 05k_SBER_8030group.pkl</v>
      </c>
    </row>
    <row r="145" spans="1:10" x14ac:dyDescent="0.3">
      <c r="A145" t="s">
        <v>598</v>
      </c>
      <c r="B145">
        <v>40</v>
      </c>
      <c r="C145">
        <v>0.5</v>
      </c>
      <c r="D145">
        <v>0.55000000000000004</v>
      </c>
      <c r="E145">
        <v>1</v>
      </c>
      <c r="F145">
        <v>0.505</v>
      </c>
      <c r="J145" t="str">
        <f t="shared" si="11"/>
        <v>start python sig-gen.py hist 05k_SBER_8031group.pkl 40 0.5 0.55 0.505 1 05k_SBER_8031group.pkl</v>
      </c>
    </row>
    <row r="146" spans="1:10" x14ac:dyDescent="0.3">
      <c r="A146" t="s">
        <v>599</v>
      </c>
      <c r="B146">
        <v>25</v>
      </c>
      <c r="C146">
        <v>0.5</v>
      </c>
      <c r="D146">
        <v>0.55000000000000004</v>
      </c>
      <c r="E146">
        <v>1</v>
      </c>
      <c r="F146">
        <v>0.52</v>
      </c>
      <c r="J146" t="str">
        <f t="shared" si="11"/>
        <v>start python sig-gen.py hist 05k_SBER_8032group.pkl 25 0.5 0.55 0.52 1 05k_SBER_8032group.pkl</v>
      </c>
    </row>
    <row r="147" spans="1:10" x14ac:dyDescent="0.3">
      <c r="A147" t="s">
        <v>600</v>
      </c>
      <c r="B147">
        <v>95</v>
      </c>
      <c r="C147">
        <v>0.5</v>
      </c>
      <c r="D147">
        <v>0.55000000000000004</v>
      </c>
      <c r="E147">
        <v>1</v>
      </c>
      <c r="F147">
        <v>0.51500000000000001</v>
      </c>
      <c r="J147" t="str">
        <f t="shared" si="11"/>
        <v>start python sig-gen.py hist 05k_SBER_8033group.pkl 95 0.5 0.55 0.515 1 05k_SBER_8033group.pkl</v>
      </c>
    </row>
    <row r="148" spans="1:10" x14ac:dyDescent="0.3">
      <c r="A148" t="s">
        <v>601</v>
      </c>
      <c r="B148">
        <v>40</v>
      </c>
      <c r="C148">
        <v>0.5</v>
      </c>
      <c r="D148">
        <v>0.55000000000000004</v>
      </c>
      <c r="E148">
        <v>1</v>
      </c>
      <c r="F148">
        <v>0.505</v>
      </c>
      <c r="J148" t="str">
        <f t="shared" si="11"/>
        <v>start python sig-gen.py hist 05k_SBER_8034group.pkl 40 0.5 0.55 0.505 1 05k_SBER_8034group.pkl</v>
      </c>
    </row>
    <row r="149" spans="1:10" x14ac:dyDescent="0.3">
      <c r="A149" t="s">
        <v>602</v>
      </c>
      <c r="B149">
        <v>25</v>
      </c>
      <c r="C149">
        <v>0.95</v>
      </c>
      <c r="D149">
        <v>1</v>
      </c>
      <c r="E149">
        <v>1</v>
      </c>
      <c r="F149">
        <v>0.51</v>
      </c>
      <c r="J149" t="str">
        <f t="shared" si="11"/>
        <v>start python sig-gen.py hist 05k_SBER_8035group.pkl 25 0.95 1 0.51 1 05k_SBER_8035group.pkl</v>
      </c>
    </row>
    <row r="150" spans="1:10" x14ac:dyDescent="0.3">
      <c r="A150" t="s">
        <v>603</v>
      </c>
      <c r="B150">
        <v>80</v>
      </c>
      <c r="C150">
        <v>0.95</v>
      </c>
      <c r="D150">
        <v>0.05</v>
      </c>
      <c r="E150">
        <v>1</v>
      </c>
      <c r="F150">
        <v>0.5</v>
      </c>
      <c r="J150" t="str">
        <f t="shared" si="11"/>
        <v>start python sig-gen.py hist 05k_SBER_8036group.pkl 80 0.95 0.05 0.5 1 05k_SBER_8036group.pkl</v>
      </c>
    </row>
    <row r="151" spans="1:10" x14ac:dyDescent="0.3">
      <c r="A151" t="s">
        <v>604</v>
      </c>
      <c r="B151">
        <v>40</v>
      </c>
      <c r="C151">
        <v>0.5</v>
      </c>
      <c r="D151">
        <v>0.55000000000000004</v>
      </c>
      <c r="E151">
        <v>1</v>
      </c>
      <c r="F151">
        <v>0.5</v>
      </c>
      <c r="J151" t="str">
        <f t="shared" si="11"/>
        <v>start python sig-gen.py hist 05k_SBER_8037group.pkl 40 0.5 0.55 0.5 1 05k_SBER_8037group.pkl</v>
      </c>
    </row>
    <row r="152" spans="1:10" x14ac:dyDescent="0.3">
      <c r="A152" t="s">
        <v>605</v>
      </c>
      <c r="B152">
        <v>40</v>
      </c>
      <c r="C152">
        <v>0.95</v>
      </c>
      <c r="D152">
        <v>1</v>
      </c>
      <c r="E152">
        <v>1</v>
      </c>
      <c r="F152">
        <v>0.51</v>
      </c>
      <c r="J152" t="str">
        <f t="shared" si="11"/>
        <v>start python sig-gen.py hist 05k_SBER_8038group.pkl 40 0.95 1 0.51 1 05k_SBER_8038group.pkl</v>
      </c>
    </row>
    <row r="153" spans="1:10" x14ac:dyDescent="0.3">
      <c r="A153" t="s">
        <v>606</v>
      </c>
      <c r="B153">
        <v>95</v>
      </c>
      <c r="C153">
        <v>0.5</v>
      </c>
      <c r="D153">
        <v>0.55000000000000004</v>
      </c>
      <c r="E153">
        <v>1</v>
      </c>
      <c r="F153">
        <v>0.51</v>
      </c>
      <c r="J153" t="str">
        <f t="shared" si="11"/>
        <v>start python sig-gen.py hist 05k_SBER_8039group.pkl 95 0.5 0.55 0.51 1 05k_SBER_8039group.pkl</v>
      </c>
    </row>
    <row r="154" spans="1:10" x14ac:dyDescent="0.3">
      <c r="A154" t="s">
        <v>451</v>
      </c>
      <c r="B154">
        <v>50</v>
      </c>
      <c r="C154">
        <v>0.5</v>
      </c>
      <c r="D154">
        <v>0.55000000000000004</v>
      </c>
      <c r="E154">
        <v>1</v>
      </c>
      <c r="F154">
        <v>0.51</v>
      </c>
      <c r="J154" t="str">
        <f t="shared" si="11"/>
        <v>start python sig-gen.py hist 05k_SBER_803group.pkl 50 0.5 0.55 0.51 1 05k_SBER_803group.pkl</v>
      </c>
    </row>
    <row r="155" spans="1:10" x14ac:dyDescent="0.3">
      <c r="A155" t="s">
        <v>607</v>
      </c>
      <c r="B155">
        <v>35</v>
      </c>
      <c r="C155">
        <v>0.95</v>
      </c>
      <c r="D155">
        <v>1</v>
      </c>
      <c r="E155">
        <v>1</v>
      </c>
      <c r="F155">
        <v>0.52</v>
      </c>
      <c r="J155" t="str">
        <f t="shared" si="11"/>
        <v>start python sig-gen.py hist 05k_SBER_8040group.pkl 35 0.95 1 0.52 1 05k_SBER_8040group.pkl</v>
      </c>
    </row>
    <row r="156" spans="1:10" x14ac:dyDescent="0.3">
      <c r="A156" t="s">
        <v>608</v>
      </c>
      <c r="B156">
        <v>95</v>
      </c>
      <c r="C156">
        <v>0.95</v>
      </c>
      <c r="D156">
        <v>1</v>
      </c>
      <c r="E156">
        <v>1</v>
      </c>
      <c r="F156">
        <v>0.505</v>
      </c>
      <c r="J156" t="str">
        <f t="shared" si="11"/>
        <v>start python sig-gen.py hist 05k_SBER_8041group.pkl 95 0.95 1 0.505 1 05k_SBER_8041group.pkl</v>
      </c>
    </row>
    <row r="157" spans="1:10" x14ac:dyDescent="0.3">
      <c r="A157" t="s">
        <v>609</v>
      </c>
      <c r="B157">
        <v>40</v>
      </c>
      <c r="C157">
        <v>0.5</v>
      </c>
      <c r="D157">
        <v>0.55000000000000004</v>
      </c>
      <c r="E157">
        <v>1</v>
      </c>
      <c r="F157">
        <v>0.505</v>
      </c>
      <c r="J157" t="str">
        <f t="shared" si="11"/>
        <v>start python sig-gen.py hist 05k_SBER_8042group.pkl 40 0.5 0.55 0.505 1 05k_SBER_8042group.pkl</v>
      </c>
    </row>
    <row r="158" spans="1:10" x14ac:dyDescent="0.3">
      <c r="A158" t="s">
        <v>610</v>
      </c>
      <c r="B158">
        <v>35</v>
      </c>
      <c r="C158">
        <v>0.95</v>
      </c>
      <c r="D158">
        <v>1</v>
      </c>
      <c r="E158">
        <v>1</v>
      </c>
      <c r="F158">
        <v>0.51500000000000001</v>
      </c>
      <c r="J158" t="str">
        <f t="shared" si="11"/>
        <v>start python sig-gen.py hist 05k_SBER_8043group.pkl 35 0.95 1 0.515 1 05k_SBER_8043group.pkl</v>
      </c>
    </row>
    <row r="159" spans="1:10" x14ac:dyDescent="0.3">
      <c r="A159" t="s">
        <v>611</v>
      </c>
      <c r="B159">
        <v>95</v>
      </c>
      <c r="C159">
        <v>0.95</v>
      </c>
      <c r="D159">
        <v>1</v>
      </c>
      <c r="E159">
        <v>1</v>
      </c>
      <c r="F159">
        <v>0.5</v>
      </c>
      <c r="J159" t="str">
        <f t="shared" si="11"/>
        <v>start python sig-gen.py hist 05k_SBER_8044group.pkl 95 0.95 1 0.5 1 05k_SBER_8044group.pkl</v>
      </c>
    </row>
    <row r="160" spans="1:10" x14ac:dyDescent="0.3">
      <c r="A160" t="s">
        <v>612</v>
      </c>
      <c r="B160">
        <v>10</v>
      </c>
      <c r="C160">
        <v>0.5</v>
      </c>
      <c r="D160">
        <v>1</v>
      </c>
      <c r="E160">
        <v>1</v>
      </c>
      <c r="F160">
        <v>0.51500000000000001</v>
      </c>
      <c r="J160" t="str">
        <f t="shared" si="11"/>
        <v>start python sig-gen.py hist 05k_SBER_8045group.pkl 10 0.5 1 0.515 1 05k_SBER_8045group.pkl</v>
      </c>
    </row>
    <row r="161" spans="1:10" x14ac:dyDescent="0.3">
      <c r="A161" t="s">
        <v>613</v>
      </c>
      <c r="B161">
        <v>40</v>
      </c>
      <c r="C161">
        <v>0.5</v>
      </c>
      <c r="D161">
        <v>0.55000000000000004</v>
      </c>
      <c r="E161">
        <v>1</v>
      </c>
      <c r="F161">
        <v>0.51</v>
      </c>
      <c r="J161" t="str">
        <f t="shared" si="11"/>
        <v>start python sig-gen.py hist 05k_SBER_8046group.pkl 40 0.5 0.55 0.51 1 05k_SBER_8046group.pkl</v>
      </c>
    </row>
    <row r="162" spans="1:10" x14ac:dyDescent="0.3">
      <c r="A162" t="s">
        <v>614</v>
      </c>
      <c r="B162">
        <v>95</v>
      </c>
      <c r="C162">
        <v>0.95</v>
      </c>
      <c r="D162">
        <v>0.05</v>
      </c>
      <c r="E162">
        <v>1</v>
      </c>
      <c r="F162">
        <v>0.5</v>
      </c>
      <c r="J162" t="str">
        <f t="shared" ref="J162:J193" si="14">"python sig-gen.py hist " &amp;A162 &amp; " " &amp; B162 &amp; " " &amp; C162 &amp; " " &amp; D162 &amp; " " &amp;F162 &amp; " " &amp; $S$1 &amp; " " &amp;A162</f>
        <v>python sig-gen.py hist 05k_SBER_8047group.pkl 95 0.95 0.05 0.5 1 05k_SBER_8047group.pkl</v>
      </c>
    </row>
    <row r="163" spans="1:10" x14ac:dyDescent="0.3">
      <c r="A163" t="s">
        <v>615</v>
      </c>
      <c r="B163">
        <v>10</v>
      </c>
      <c r="C163">
        <v>0.5</v>
      </c>
      <c r="D163">
        <v>1</v>
      </c>
      <c r="E163">
        <v>1</v>
      </c>
      <c r="F163">
        <v>0.52</v>
      </c>
      <c r="J163" t="str">
        <f t="shared" ref="J163:J194" si="15">"start python sig-gen.py hist " &amp;A163 &amp; " " &amp; B163 &amp; " " &amp; C163 &amp; " " &amp; D163 &amp; " " &amp;F163 &amp; " " &amp; $S$1 &amp; " " &amp;A163</f>
        <v>start python sig-gen.py hist 05k_SBER_8048group.pkl 10 0.5 1 0.52 1 05k_SBER_8048group.pkl</v>
      </c>
    </row>
    <row r="164" spans="1:10" x14ac:dyDescent="0.3">
      <c r="A164" t="s">
        <v>616</v>
      </c>
      <c r="B164">
        <v>10</v>
      </c>
      <c r="C164">
        <v>0.5</v>
      </c>
      <c r="D164">
        <v>1</v>
      </c>
      <c r="E164">
        <v>1</v>
      </c>
      <c r="F164">
        <v>0.52</v>
      </c>
      <c r="J164" t="str">
        <f t="shared" si="11"/>
        <v>start python sig-gen.py hist 05k_SBER_8049group.pkl 10 0.5 1 0.52 1 05k_SBER_8049group.pkl</v>
      </c>
    </row>
    <row r="165" spans="1:10" x14ac:dyDescent="0.3">
      <c r="A165" t="s">
        <v>450</v>
      </c>
      <c r="B165">
        <v>90</v>
      </c>
      <c r="C165">
        <v>0.95</v>
      </c>
      <c r="D165">
        <v>0.05</v>
      </c>
      <c r="E165">
        <v>1</v>
      </c>
      <c r="F165">
        <v>0.5</v>
      </c>
      <c r="J165" t="str">
        <f t="shared" si="11"/>
        <v>start python sig-gen.py hist 05k_SBER_804group.pkl 90 0.95 0.05 0.5 1 05k_SBER_804group.pkl</v>
      </c>
    </row>
    <row r="166" spans="1:10" x14ac:dyDescent="0.3">
      <c r="A166" t="s">
        <v>617</v>
      </c>
      <c r="B166">
        <v>95</v>
      </c>
      <c r="C166">
        <v>0.95</v>
      </c>
      <c r="D166">
        <v>0.05</v>
      </c>
      <c r="E166">
        <v>1</v>
      </c>
      <c r="F166">
        <v>0.5</v>
      </c>
      <c r="J166" t="str">
        <f t="shared" si="11"/>
        <v>start python sig-gen.py hist 05k_SBER_8050group.pkl 95 0.95 0.05 0.5 1 05k_SBER_8050group.pkl</v>
      </c>
    </row>
    <row r="167" spans="1:10" x14ac:dyDescent="0.3">
      <c r="A167" t="s">
        <v>618</v>
      </c>
      <c r="B167">
        <v>40</v>
      </c>
      <c r="C167">
        <v>0.5</v>
      </c>
      <c r="D167">
        <v>0.55000000000000004</v>
      </c>
      <c r="E167">
        <v>1</v>
      </c>
      <c r="F167">
        <v>0.51</v>
      </c>
      <c r="J167" t="str">
        <f t="shared" si="11"/>
        <v>start python sig-gen.py hist 05k_SBER_8051group.pkl 40 0.5 0.55 0.51 1 05k_SBER_8051group.pkl</v>
      </c>
    </row>
    <row r="168" spans="1:10" x14ac:dyDescent="0.3">
      <c r="A168" t="s">
        <v>619</v>
      </c>
      <c r="B168">
        <v>95</v>
      </c>
      <c r="C168">
        <v>0.5</v>
      </c>
      <c r="D168">
        <v>0.55000000000000004</v>
      </c>
      <c r="E168">
        <v>1</v>
      </c>
      <c r="F168">
        <v>0.51500000000000001</v>
      </c>
      <c r="J168" t="str">
        <f t="shared" si="11"/>
        <v>start python sig-gen.py hist 05k_SBER_8052group.pkl 95 0.5 0.55 0.515 1 05k_SBER_8052group.pkl</v>
      </c>
    </row>
    <row r="169" spans="1:10" x14ac:dyDescent="0.3">
      <c r="A169" t="s">
        <v>620</v>
      </c>
      <c r="B169">
        <v>35</v>
      </c>
      <c r="C169">
        <v>0.5</v>
      </c>
      <c r="D169">
        <v>1</v>
      </c>
      <c r="E169">
        <v>1</v>
      </c>
      <c r="F169">
        <v>0.52</v>
      </c>
      <c r="J169" t="str">
        <f t="shared" si="11"/>
        <v>start python sig-gen.py hist 05k_SBER_8053group.pkl 35 0.5 1 0.52 1 05k_SBER_8053group.pkl</v>
      </c>
    </row>
    <row r="170" spans="1:10" x14ac:dyDescent="0.3">
      <c r="A170" t="s">
        <v>621</v>
      </c>
      <c r="B170">
        <v>10</v>
      </c>
      <c r="C170">
        <v>0.5</v>
      </c>
      <c r="D170">
        <v>1</v>
      </c>
      <c r="E170">
        <v>1</v>
      </c>
      <c r="F170">
        <v>0.52</v>
      </c>
      <c r="J170" t="str">
        <f t="shared" si="11"/>
        <v>start python sig-gen.py hist 05k_SBER_8054group.pkl 10 0.5 1 0.52 1 05k_SBER_8054group.pkl</v>
      </c>
    </row>
    <row r="171" spans="1:10" x14ac:dyDescent="0.3">
      <c r="A171" t="s">
        <v>622</v>
      </c>
      <c r="B171">
        <v>95</v>
      </c>
      <c r="C171">
        <v>0.95</v>
      </c>
      <c r="D171">
        <v>0.05</v>
      </c>
      <c r="E171">
        <v>1</v>
      </c>
      <c r="F171">
        <v>0.5</v>
      </c>
      <c r="J171" t="str">
        <f t="shared" si="11"/>
        <v>start python sig-gen.py hist 05k_SBER_8055group.pkl 95 0.95 0.05 0.5 1 05k_SBER_8055group.pkl</v>
      </c>
    </row>
    <row r="172" spans="1:10" x14ac:dyDescent="0.3">
      <c r="A172" t="s">
        <v>623</v>
      </c>
      <c r="B172">
        <v>95</v>
      </c>
      <c r="C172">
        <v>0.5</v>
      </c>
      <c r="D172">
        <v>0.55000000000000004</v>
      </c>
      <c r="E172">
        <v>1</v>
      </c>
      <c r="F172">
        <v>0.5</v>
      </c>
      <c r="J172" t="str">
        <f t="shared" si="11"/>
        <v>start python sig-gen.py hist 05k_SBER_8056group.pkl 95 0.5 0.55 0.5 1 05k_SBER_8056group.pkl</v>
      </c>
    </row>
    <row r="173" spans="1:10" x14ac:dyDescent="0.3">
      <c r="A173" t="s">
        <v>624</v>
      </c>
      <c r="B173">
        <v>95</v>
      </c>
      <c r="C173">
        <v>0.5</v>
      </c>
      <c r="D173">
        <v>0.55000000000000004</v>
      </c>
      <c r="E173">
        <v>1</v>
      </c>
      <c r="F173">
        <v>0.51</v>
      </c>
      <c r="J173" t="str">
        <f t="shared" si="11"/>
        <v>start python sig-gen.py hist 05k_SBER_8057group.pkl 95 0.5 0.55 0.51 1 05k_SBER_8057group.pkl</v>
      </c>
    </row>
    <row r="174" spans="1:10" x14ac:dyDescent="0.3">
      <c r="A174" t="s">
        <v>625</v>
      </c>
      <c r="B174">
        <v>15</v>
      </c>
      <c r="C174">
        <v>0.5</v>
      </c>
      <c r="D174">
        <v>1</v>
      </c>
      <c r="E174">
        <v>1</v>
      </c>
      <c r="F174">
        <v>0.52</v>
      </c>
      <c r="J174" t="str">
        <f t="shared" si="11"/>
        <v>start python sig-gen.py hist 05k_SBER_8058group.pkl 15 0.5 1 0.52 1 05k_SBER_8058group.pkl</v>
      </c>
    </row>
    <row r="175" spans="1:10" x14ac:dyDescent="0.3">
      <c r="A175" t="s">
        <v>626</v>
      </c>
      <c r="B175">
        <v>40</v>
      </c>
      <c r="C175">
        <v>0.5</v>
      </c>
      <c r="D175">
        <v>0.55000000000000004</v>
      </c>
      <c r="E175">
        <v>1</v>
      </c>
      <c r="F175">
        <v>0.505</v>
      </c>
      <c r="J175" t="str">
        <f t="shared" si="11"/>
        <v>start python sig-gen.py hist 05k_SBER_8059group.pkl 40 0.5 0.55 0.505 1 05k_SBER_8059group.pkl</v>
      </c>
    </row>
    <row r="176" spans="1:10" x14ac:dyDescent="0.3">
      <c r="A176" t="s">
        <v>453</v>
      </c>
      <c r="B176">
        <v>85</v>
      </c>
      <c r="C176">
        <v>0.95</v>
      </c>
      <c r="D176">
        <v>0.05</v>
      </c>
      <c r="E176">
        <v>1</v>
      </c>
      <c r="F176">
        <v>0.5</v>
      </c>
      <c r="J176" t="str">
        <f t="shared" si="11"/>
        <v>start python sig-gen.py hist 05k_SBER_805group.pkl 85 0.95 0.05 0.5 1 05k_SBER_805group.pkl</v>
      </c>
    </row>
    <row r="177" spans="1:10" x14ac:dyDescent="0.3">
      <c r="A177" t="s">
        <v>627</v>
      </c>
      <c r="B177">
        <v>95</v>
      </c>
      <c r="C177">
        <v>0.95</v>
      </c>
      <c r="D177">
        <v>0.05</v>
      </c>
      <c r="E177">
        <v>1</v>
      </c>
      <c r="F177">
        <v>0.5</v>
      </c>
      <c r="J177" t="str">
        <f t="shared" si="11"/>
        <v>start python sig-gen.py hist 05k_SBER_8060group.pkl 95 0.95 0.05 0.5 1 05k_SBER_8060group.pkl</v>
      </c>
    </row>
    <row r="178" spans="1:10" x14ac:dyDescent="0.3">
      <c r="A178" t="s">
        <v>628</v>
      </c>
      <c r="B178">
        <v>40</v>
      </c>
      <c r="C178">
        <v>0.5</v>
      </c>
      <c r="D178">
        <v>0.55000000000000004</v>
      </c>
      <c r="E178">
        <v>1</v>
      </c>
      <c r="F178">
        <v>0.51500000000000001</v>
      </c>
      <c r="J178" t="str">
        <f t="shared" si="11"/>
        <v>start python sig-gen.py hist 05k_SBER_8061group.pkl 40 0.5 0.55 0.515 1 05k_SBER_8061group.pkl</v>
      </c>
    </row>
    <row r="179" spans="1:10" x14ac:dyDescent="0.3">
      <c r="A179" t="s">
        <v>629</v>
      </c>
      <c r="B179">
        <v>85</v>
      </c>
      <c r="C179">
        <v>0.95</v>
      </c>
      <c r="D179">
        <v>1</v>
      </c>
      <c r="E179">
        <v>1</v>
      </c>
      <c r="F179">
        <v>0.5</v>
      </c>
      <c r="J179" t="str">
        <f t="shared" si="11"/>
        <v>start python sig-gen.py hist 05k_SBER_8062group.pkl 85 0.95 1 0.5 1 05k_SBER_8062group.pkl</v>
      </c>
    </row>
    <row r="180" spans="1:10" x14ac:dyDescent="0.3">
      <c r="A180" t="s">
        <v>630</v>
      </c>
      <c r="B180">
        <v>35</v>
      </c>
      <c r="C180">
        <v>0.5</v>
      </c>
      <c r="D180">
        <v>0.55000000000000004</v>
      </c>
      <c r="E180">
        <v>1</v>
      </c>
      <c r="F180">
        <v>0.51</v>
      </c>
      <c r="J180" t="str">
        <f t="shared" si="11"/>
        <v>start python sig-gen.py hist 05k_SBER_8063group.pkl 35 0.5 0.55 0.51 1 05k_SBER_8063group.pkl</v>
      </c>
    </row>
    <row r="181" spans="1:10" x14ac:dyDescent="0.3">
      <c r="A181" t="s">
        <v>631</v>
      </c>
      <c r="B181">
        <v>95</v>
      </c>
      <c r="C181">
        <v>0.95</v>
      </c>
      <c r="D181">
        <v>0.05</v>
      </c>
      <c r="E181">
        <v>1</v>
      </c>
      <c r="F181">
        <v>0.5</v>
      </c>
      <c r="J181" t="str">
        <f t="shared" si="11"/>
        <v>start python sig-gen.py hist 05k_SBER_8064group.pkl 95 0.95 0.05 0.5 1 05k_SBER_8064group.pkl</v>
      </c>
    </row>
    <row r="182" spans="1:10" x14ac:dyDescent="0.3">
      <c r="A182" t="s">
        <v>632</v>
      </c>
      <c r="B182">
        <v>95</v>
      </c>
      <c r="C182">
        <v>0.5</v>
      </c>
      <c r="D182">
        <v>0.55000000000000004</v>
      </c>
      <c r="E182">
        <v>1</v>
      </c>
      <c r="F182">
        <v>0.51500000000000001</v>
      </c>
      <c r="J182" t="str">
        <f t="shared" si="11"/>
        <v>start python sig-gen.py hist 05k_SBER_8065group.pkl 95 0.5 0.55 0.515 1 05k_SBER_8065group.pkl</v>
      </c>
    </row>
    <row r="183" spans="1:10" x14ac:dyDescent="0.3">
      <c r="A183" t="s">
        <v>633</v>
      </c>
      <c r="B183">
        <v>95</v>
      </c>
      <c r="C183">
        <v>0.95</v>
      </c>
      <c r="D183">
        <v>0.05</v>
      </c>
      <c r="E183">
        <v>1</v>
      </c>
      <c r="F183">
        <v>0.5</v>
      </c>
      <c r="J183" t="str">
        <f t="shared" si="11"/>
        <v>start python sig-gen.py hist 05k_SBER_8066group.pkl 95 0.95 0.05 0.5 1 05k_SBER_8066group.pkl</v>
      </c>
    </row>
    <row r="184" spans="1:10" x14ac:dyDescent="0.3">
      <c r="A184" t="s">
        <v>634</v>
      </c>
      <c r="B184">
        <v>15</v>
      </c>
      <c r="C184">
        <v>0.95</v>
      </c>
      <c r="D184">
        <v>1</v>
      </c>
      <c r="E184">
        <v>1</v>
      </c>
      <c r="F184">
        <v>0.51500000000000001</v>
      </c>
      <c r="J184" t="str">
        <f t="shared" si="11"/>
        <v>start python sig-gen.py hist 05k_SBER_8067group.pkl 15 0.95 1 0.515 1 05k_SBER_8067group.pkl</v>
      </c>
    </row>
    <row r="185" spans="1:10" x14ac:dyDescent="0.3">
      <c r="A185" t="s">
        <v>635</v>
      </c>
      <c r="B185">
        <v>95</v>
      </c>
      <c r="C185">
        <v>0.95</v>
      </c>
      <c r="D185">
        <v>0.05</v>
      </c>
      <c r="E185">
        <v>1</v>
      </c>
      <c r="F185">
        <v>0.5</v>
      </c>
      <c r="J185" t="str">
        <f t="shared" ref="J185:J221" si="16">"python sig-gen.py hist " &amp;A185 &amp; " " &amp; B185 &amp; " " &amp; C185 &amp; " " &amp; D185 &amp; " " &amp;F185 &amp; " " &amp; $S$1 &amp; " " &amp;A185</f>
        <v>python sig-gen.py hist 05k_SBER_8068group.pkl 95 0.95 0.05 0.5 1 05k_SBER_8068group.pkl</v>
      </c>
    </row>
    <row r="186" spans="1:10" x14ac:dyDescent="0.3">
      <c r="A186" t="s">
        <v>636</v>
      </c>
      <c r="B186">
        <v>25</v>
      </c>
      <c r="C186">
        <v>0.5</v>
      </c>
      <c r="D186">
        <v>1</v>
      </c>
      <c r="E186">
        <v>1</v>
      </c>
      <c r="F186">
        <v>0.52</v>
      </c>
      <c r="J186" t="str">
        <f t="shared" ref="J186:J221" si="17">"start python sig-gen.py hist " &amp;A186 &amp; " " &amp; B186 &amp; " " &amp; C186 &amp; " " &amp; D186 &amp; " " &amp;F186 &amp; " " &amp; $S$1 &amp; " " &amp;A186</f>
        <v>start python sig-gen.py hist 05k_SBER_8069group.pkl 25 0.5 1 0.52 1 05k_SBER_8069group.pkl</v>
      </c>
    </row>
    <row r="187" spans="1:10" x14ac:dyDescent="0.3">
      <c r="A187" t="s">
        <v>465</v>
      </c>
      <c r="B187">
        <v>10</v>
      </c>
      <c r="C187">
        <v>0.95</v>
      </c>
      <c r="D187">
        <v>1</v>
      </c>
      <c r="E187">
        <v>1</v>
      </c>
      <c r="F187">
        <v>0.51500000000000001</v>
      </c>
      <c r="J187" t="str">
        <f t="shared" si="11"/>
        <v>start python sig-gen.py hist 05k_SBER_806group.pkl 10 0.95 1 0.515 1 05k_SBER_806group.pkl</v>
      </c>
    </row>
    <row r="188" spans="1:10" x14ac:dyDescent="0.3">
      <c r="A188" t="s">
        <v>637</v>
      </c>
      <c r="B188">
        <v>95</v>
      </c>
      <c r="C188">
        <v>0.5</v>
      </c>
      <c r="D188">
        <v>0.55000000000000004</v>
      </c>
      <c r="E188">
        <v>1</v>
      </c>
      <c r="F188">
        <v>0.5</v>
      </c>
      <c r="J188" t="str">
        <f t="shared" si="11"/>
        <v>start python sig-gen.py hist 05k_SBER_8070group.pkl 95 0.5 0.55 0.5 1 05k_SBER_8070group.pkl</v>
      </c>
    </row>
    <row r="189" spans="1:10" x14ac:dyDescent="0.3">
      <c r="A189" t="s">
        <v>638</v>
      </c>
      <c r="B189">
        <v>95</v>
      </c>
      <c r="C189">
        <v>0.5</v>
      </c>
      <c r="D189">
        <v>0.55000000000000004</v>
      </c>
      <c r="E189">
        <v>1</v>
      </c>
      <c r="F189">
        <v>0.51500000000000001</v>
      </c>
      <c r="J189" t="str">
        <f t="shared" si="11"/>
        <v>start python sig-gen.py hist 05k_SBER_8071group.pkl 95 0.5 0.55 0.515 1 05k_SBER_8071group.pkl</v>
      </c>
    </row>
    <row r="190" spans="1:10" x14ac:dyDescent="0.3">
      <c r="A190" t="s">
        <v>639</v>
      </c>
      <c r="B190">
        <v>40</v>
      </c>
      <c r="C190">
        <v>0.5</v>
      </c>
      <c r="D190">
        <v>0.55000000000000004</v>
      </c>
      <c r="E190">
        <v>1</v>
      </c>
      <c r="F190">
        <v>0.505</v>
      </c>
      <c r="J190" t="str">
        <f t="shared" si="11"/>
        <v>start python sig-gen.py hist 05k_SBER_8072group.pkl 40 0.5 0.55 0.505 1 05k_SBER_8072group.pkl</v>
      </c>
    </row>
    <row r="191" spans="1:10" x14ac:dyDescent="0.3">
      <c r="A191" t="s">
        <v>640</v>
      </c>
      <c r="B191">
        <v>95</v>
      </c>
      <c r="C191">
        <v>0.95</v>
      </c>
      <c r="D191">
        <v>0.05</v>
      </c>
      <c r="E191">
        <v>1</v>
      </c>
      <c r="F191">
        <v>0.5</v>
      </c>
      <c r="J191" t="str">
        <f t="shared" si="11"/>
        <v>start python sig-gen.py hist 05k_SBER_8073group.pkl 95 0.95 0.05 0.5 1 05k_SBER_8073group.pkl</v>
      </c>
    </row>
    <row r="192" spans="1:10" x14ac:dyDescent="0.3">
      <c r="A192" t="s">
        <v>641</v>
      </c>
      <c r="B192">
        <v>40</v>
      </c>
      <c r="C192">
        <v>0.5</v>
      </c>
      <c r="D192">
        <v>0.55000000000000004</v>
      </c>
      <c r="E192">
        <v>1</v>
      </c>
      <c r="F192">
        <v>0.52</v>
      </c>
      <c r="J192" t="str">
        <f t="shared" si="11"/>
        <v>start python sig-gen.py hist 05k_SBER_8074group.pkl 40 0.5 0.55 0.52 1 05k_SBER_8074group.pkl</v>
      </c>
    </row>
    <row r="193" spans="1:10" x14ac:dyDescent="0.3">
      <c r="A193" t="s">
        <v>642</v>
      </c>
      <c r="B193">
        <v>95</v>
      </c>
      <c r="C193">
        <v>0.5</v>
      </c>
      <c r="D193">
        <v>0.55000000000000004</v>
      </c>
      <c r="E193">
        <v>1</v>
      </c>
      <c r="F193">
        <v>0.52</v>
      </c>
      <c r="J193" t="str">
        <f t="shared" si="11"/>
        <v>start python sig-gen.py hist 05k_SBER_8075group.pkl 95 0.5 0.55 0.52 1 05k_SBER_8075group.pkl</v>
      </c>
    </row>
    <row r="194" spans="1:10" x14ac:dyDescent="0.3">
      <c r="A194" t="s">
        <v>643</v>
      </c>
      <c r="B194">
        <v>95</v>
      </c>
      <c r="C194">
        <v>0.95</v>
      </c>
      <c r="D194">
        <v>0.05</v>
      </c>
      <c r="E194">
        <v>1</v>
      </c>
      <c r="F194">
        <v>0.5</v>
      </c>
      <c r="J194" t="str">
        <f t="shared" si="11"/>
        <v>start python sig-gen.py hist 05k_SBER_8076group.pkl 95 0.95 0.05 0.5 1 05k_SBER_8076group.pkl</v>
      </c>
    </row>
    <row r="195" spans="1:10" x14ac:dyDescent="0.3">
      <c r="A195" t="s">
        <v>644</v>
      </c>
      <c r="B195">
        <v>95</v>
      </c>
      <c r="C195">
        <v>0.5</v>
      </c>
      <c r="D195">
        <v>0.55000000000000004</v>
      </c>
      <c r="E195">
        <v>1</v>
      </c>
      <c r="F195">
        <v>0.51500000000000001</v>
      </c>
      <c r="J195" t="str">
        <f t="shared" ref="J195:J221" si="18">"start python sig-gen.py hist " &amp;A195 &amp; " " &amp; B195 &amp; " " &amp; C195 &amp; " " &amp; D195 &amp; " " &amp;F195 &amp; " " &amp; $S$1 &amp; " " &amp;A195</f>
        <v>start python sig-gen.py hist 05k_SBER_8077group.pkl 95 0.5 0.55 0.515 1 05k_SBER_8077group.pkl</v>
      </c>
    </row>
    <row r="196" spans="1:10" x14ac:dyDescent="0.3">
      <c r="A196" t="s">
        <v>645</v>
      </c>
      <c r="B196">
        <v>40</v>
      </c>
      <c r="C196">
        <v>0.5</v>
      </c>
      <c r="D196">
        <v>0.55000000000000004</v>
      </c>
      <c r="E196">
        <v>1</v>
      </c>
      <c r="F196">
        <v>0.5</v>
      </c>
      <c r="J196" t="str">
        <f t="shared" si="18"/>
        <v>start python sig-gen.py hist 05k_SBER_8078group.pkl 40 0.5 0.55 0.5 1 05k_SBER_8078group.pkl</v>
      </c>
    </row>
    <row r="197" spans="1:10" x14ac:dyDescent="0.3">
      <c r="A197" t="s">
        <v>646</v>
      </c>
      <c r="B197">
        <v>35</v>
      </c>
      <c r="C197">
        <v>0.95</v>
      </c>
      <c r="D197">
        <v>1</v>
      </c>
      <c r="E197">
        <v>1</v>
      </c>
      <c r="F197">
        <v>0.505</v>
      </c>
      <c r="J197" t="str">
        <f t="shared" si="18"/>
        <v>start python sig-gen.py hist 05k_SBER_8079group.pkl 35 0.95 1 0.505 1 05k_SBER_8079group.pkl</v>
      </c>
    </row>
    <row r="198" spans="1:10" x14ac:dyDescent="0.3">
      <c r="A198" t="s">
        <v>449</v>
      </c>
      <c r="B198">
        <v>90</v>
      </c>
      <c r="C198">
        <v>0.95</v>
      </c>
      <c r="D198">
        <v>0.05</v>
      </c>
      <c r="E198">
        <v>1</v>
      </c>
      <c r="F198">
        <v>0.5</v>
      </c>
      <c r="J198" t="str">
        <f t="shared" si="18"/>
        <v>start python sig-gen.py hist 05k_SBER_807group.pkl 90 0.95 0.05 0.5 1 05k_SBER_807group.pkl</v>
      </c>
    </row>
    <row r="199" spans="1:10" x14ac:dyDescent="0.3">
      <c r="A199" t="s">
        <v>647</v>
      </c>
      <c r="B199">
        <v>10</v>
      </c>
      <c r="C199">
        <v>0.5</v>
      </c>
      <c r="D199">
        <v>1</v>
      </c>
      <c r="E199">
        <v>1</v>
      </c>
      <c r="F199">
        <v>0.51500000000000001</v>
      </c>
      <c r="J199" t="str">
        <f t="shared" si="18"/>
        <v>start python sig-gen.py hist 05k_SBER_8080group.pkl 10 0.5 1 0.515 1 05k_SBER_8080group.pkl</v>
      </c>
    </row>
    <row r="200" spans="1:10" x14ac:dyDescent="0.3">
      <c r="A200" t="s">
        <v>648</v>
      </c>
      <c r="B200">
        <v>95</v>
      </c>
      <c r="C200">
        <v>0.5</v>
      </c>
      <c r="D200">
        <v>0.55000000000000004</v>
      </c>
      <c r="E200">
        <v>1</v>
      </c>
      <c r="F200">
        <v>0.5</v>
      </c>
      <c r="J200" t="str">
        <f t="shared" si="18"/>
        <v>start python sig-gen.py hist 05k_SBER_8081group.pkl 95 0.5 0.55 0.5 1 05k_SBER_8081group.pkl</v>
      </c>
    </row>
    <row r="201" spans="1:10" x14ac:dyDescent="0.3">
      <c r="A201" t="s">
        <v>649</v>
      </c>
      <c r="B201">
        <v>95</v>
      </c>
      <c r="C201">
        <v>0.95</v>
      </c>
      <c r="D201">
        <v>0.05</v>
      </c>
      <c r="E201">
        <v>1</v>
      </c>
      <c r="F201">
        <v>0.5</v>
      </c>
      <c r="J201" t="str">
        <f t="shared" si="18"/>
        <v>start python sig-gen.py hist 05k_SBER_8082group.pkl 95 0.95 0.05 0.5 1 05k_SBER_8082group.pkl</v>
      </c>
    </row>
    <row r="202" spans="1:10" x14ac:dyDescent="0.3">
      <c r="A202" t="s">
        <v>650</v>
      </c>
      <c r="B202">
        <v>10</v>
      </c>
      <c r="C202">
        <v>0.5</v>
      </c>
      <c r="D202">
        <v>1</v>
      </c>
      <c r="E202">
        <v>1</v>
      </c>
      <c r="F202">
        <v>0.51500000000000001</v>
      </c>
      <c r="J202" t="str">
        <f t="shared" si="18"/>
        <v>start python sig-gen.py hist 05k_SBER_8083group.pkl 10 0.5 1 0.515 1 05k_SBER_8083group.pkl</v>
      </c>
    </row>
    <row r="203" spans="1:10" x14ac:dyDescent="0.3">
      <c r="A203" t="s">
        <v>651</v>
      </c>
      <c r="B203">
        <v>95</v>
      </c>
      <c r="C203">
        <v>0.95</v>
      </c>
      <c r="D203">
        <v>0.05</v>
      </c>
      <c r="E203">
        <v>1</v>
      </c>
      <c r="F203">
        <v>0.5</v>
      </c>
      <c r="J203" t="str">
        <f t="shared" si="18"/>
        <v>start python sig-gen.py hist 05k_SBER_8084group.pkl 95 0.95 0.05 0.5 1 05k_SBER_8084group.pkl</v>
      </c>
    </row>
    <row r="204" spans="1:10" x14ac:dyDescent="0.3">
      <c r="A204" t="s">
        <v>652</v>
      </c>
      <c r="B204">
        <v>95</v>
      </c>
      <c r="C204">
        <v>0.95</v>
      </c>
      <c r="D204">
        <v>0.05</v>
      </c>
      <c r="E204">
        <v>1</v>
      </c>
      <c r="F204">
        <v>0.5</v>
      </c>
      <c r="J204" t="str">
        <f t="shared" si="18"/>
        <v>start python sig-gen.py hist 05k_SBER_8085group.pkl 95 0.95 0.05 0.5 1 05k_SBER_8085group.pkl</v>
      </c>
    </row>
    <row r="205" spans="1:10" x14ac:dyDescent="0.3">
      <c r="A205" t="s">
        <v>653</v>
      </c>
      <c r="B205">
        <v>35</v>
      </c>
      <c r="C205">
        <v>0.5</v>
      </c>
      <c r="D205">
        <v>1</v>
      </c>
      <c r="E205">
        <v>1</v>
      </c>
      <c r="F205">
        <v>0.52</v>
      </c>
      <c r="J205" t="str">
        <f t="shared" si="18"/>
        <v>start python sig-gen.py hist 05k_SBER_8086group.pkl 35 0.5 1 0.52 1 05k_SBER_8086group.pkl</v>
      </c>
    </row>
    <row r="206" spans="1:10" x14ac:dyDescent="0.3">
      <c r="A206" t="s">
        <v>654</v>
      </c>
      <c r="B206">
        <v>10</v>
      </c>
      <c r="C206">
        <v>0.5</v>
      </c>
      <c r="D206">
        <v>1</v>
      </c>
      <c r="E206">
        <v>1</v>
      </c>
      <c r="F206">
        <v>0.505</v>
      </c>
      <c r="J206" t="str">
        <f t="shared" si="18"/>
        <v>start python sig-gen.py hist 05k_SBER_8087group.pkl 10 0.5 1 0.505 1 05k_SBER_8087group.pkl</v>
      </c>
    </row>
    <row r="207" spans="1:10" x14ac:dyDescent="0.3">
      <c r="A207" t="s">
        <v>655</v>
      </c>
      <c r="B207">
        <v>10</v>
      </c>
      <c r="C207">
        <v>0.5</v>
      </c>
      <c r="D207">
        <v>1</v>
      </c>
      <c r="E207">
        <v>1</v>
      </c>
      <c r="F207">
        <v>0.505</v>
      </c>
      <c r="J207" t="str">
        <f t="shared" si="18"/>
        <v>start python sig-gen.py hist 05k_SBER_8088group.pkl 10 0.5 1 0.505 1 05k_SBER_8088group.pkl</v>
      </c>
    </row>
    <row r="208" spans="1:10" x14ac:dyDescent="0.3">
      <c r="A208" t="s">
        <v>656</v>
      </c>
      <c r="B208">
        <v>95</v>
      </c>
      <c r="C208">
        <v>0.95</v>
      </c>
      <c r="D208">
        <v>0.05</v>
      </c>
      <c r="E208">
        <v>1</v>
      </c>
      <c r="F208">
        <v>0.5</v>
      </c>
      <c r="J208" t="str">
        <f t="shared" ref="J208:J221" si="19">"python sig-gen.py hist " &amp;A208 &amp; " " &amp; B208 &amp; " " &amp; C208 &amp; " " &amp; D208 &amp; " " &amp;F208 &amp; " " &amp; $S$1 &amp; " " &amp;A208</f>
        <v>python sig-gen.py hist 05k_SBER_8089group.pkl 95 0.95 0.05 0.5 1 05k_SBER_8089group.pkl</v>
      </c>
    </row>
    <row r="209" spans="1:10" x14ac:dyDescent="0.3">
      <c r="A209" t="s">
        <v>457</v>
      </c>
      <c r="B209">
        <v>25</v>
      </c>
      <c r="C209">
        <v>0.5</v>
      </c>
      <c r="D209">
        <v>0.55000000000000004</v>
      </c>
      <c r="E209">
        <v>1</v>
      </c>
      <c r="F209">
        <v>0.52</v>
      </c>
      <c r="J209" t="str">
        <f t="shared" ref="J209:J221" si="20">"start python sig-gen.py hist " &amp;A209 &amp; " " &amp; B209 &amp; " " &amp; C209 &amp; " " &amp; D209 &amp; " " &amp;F209 &amp; " " &amp; $S$1 &amp; " " &amp;A209</f>
        <v>start python sig-gen.py hist 05k_SBER_808group.pkl 25 0.5 0.55 0.52 1 05k_SBER_808group.pkl</v>
      </c>
    </row>
    <row r="210" spans="1:10" x14ac:dyDescent="0.3">
      <c r="A210" t="s">
        <v>657</v>
      </c>
      <c r="B210">
        <v>35</v>
      </c>
      <c r="C210">
        <v>0.5</v>
      </c>
      <c r="D210">
        <v>0.55000000000000004</v>
      </c>
      <c r="E210">
        <v>1</v>
      </c>
      <c r="F210">
        <v>0.5</v>
      </c>
      <c r="J210" t="str">
        <f t="shared" si="18"/>
        <v>start python sig-gen.py hist 05k_SBER_8090group.pkl 35 0.5 0.55 0.5 1 05k_SBER_8090group.pkl</v>
      </c>
    </row>
    <row r="211" spans="1:10" x14ac:dyDescent="0.3">
      <c r="A211" t="s">
        <v>658</v>
      </c>
      <c r="B211">
        <v>95</v>
      </c>
      <c r="C211">
        <v>0.5</v>
      </c>
      <c r="D211">
        <v>0.55000000000000004</v>
      </c>
      <c r="E211">
        <v>1</v>
      </c>
      <c r="F211">
        <v>0.5</v>
      </c>
      <c r="J211" t="str">
        <f t="shared" si="18"/>
        <v>start python sig-gen.py hist 05k_SBER_8091group.pkl 95 0.5 0.55 0.5 1 05k_SBER_8091group.pkl</v>
      </c>
    </row>
    <row r="212" spans="1:10" x14ac:dyDescent="0.3">
      <c r="A212" t="s">
        <v>659</v>
      </c>
      <c r="B212">
        <v>95</v>
      </c>
      <c r="C212">
        <v>0.95</v>
      </c>
      <c r="D212">
        <v>0.05</v>
      </c>
      <c r="E212">
        <v>1</v>
      </c>
      <c r="F212">
        <v>0.5</v>
      </c>
      <c r="J212" t="str">
        <f t="shared" si="18"/>
        <v>start python sig-gen.py hist 05k_SBER_8092group.pkl 95 0.95 0.05 0.5 1 05k_SBER_8092group.pkl</v>
      </c>
    </row>
    <row r="213" spans="1:10" x14ac:dyDescent="0.3">
      <c r="A213" t="s">
        <v>660</v>
      </c>
      <c r="B213">
        <v>95</v>
      </c>
      <c r="C213">
        <v>0.95</v>
      </c>
      <c r="D213">
        <v>0.05</v>
      </c>
      <c r="E213">
        <v>1</v>
      </c>
      <c r="F213">
        <v>0.5</v>
      </c>
      <c r="J213" t="str">
        <f t="shared" si="18"/>
        <v>start python sig-gen.py hist 05k_SBER_8093group.pkl 95 0.95 0.05 0.5 1 05k_SBER_8093group.pkl</v>
      </c>
    </row>
    <row r="214" spans="1:10" x14ac:dyDescent="0.3">
      <c r="A214" t="s">
        <v>661</v>
      </c>
      <c r="B214">
        <v>95</v>
      </c>
      <c r="C214">
        <v>0.5</v>
      </c>
      <c r="D214">
        <v>0.55000000000000004</v>
      </c>
      <c r="E214">
        <v>1</v>
      </c>
      <c r="F214">
        <v>0.5</v>
      </c>
      <c r="J214" t="str">
        <f t="shared" si="18"/>
        <v>start python sig-gen.py hist 05k_SBER_8094group.pkl 95 0.5 0.55 0.5 1 05k_SBER_8094group.pkl</v>
      </c>
    </row>
    <row r="215" spans="1:10" x14ac:dyDescent="0.3">
      <c r="A215" t="s">
        <v>662</v>
      </c>
      <c r="B215">
        <v>95</v>
      </c>
      <c r="C215">
        <v>0.95</v>
      </c>
      <c r="D215">
        <v>1</v>
      </c>
      <c r="E215">
        <v>1</v>
      </c>
      <c r="F215">
        <v>0.5</v>
      </c>
      <c r="J215" t="str">
        <f t="shared" si="18"/>
        <v>start python sig-gen.py hist 05k_SBER_8095group.pkl 95 0.95 1 0.5 1 05k_SBER_8095group.pkl</v>
      </c>
    </row>
    <row r="216" spans="1:10" x14ac:dyDescent="0.3">
      <c r="A216" t="s">
        <v>663</v>
      </c>
      <c r="B216">
        <v>25</v>
      </c>
      <c r="C216">
        <v>0.95</v>
      </c>
      <c r="D216">
        <v>1</v>
      </c>
      <c r="E216">
        <v>1</v>
      </c>
      <c r="F216">
        <v>0.51</v>
      </c>
      <c r="J216" t="str">
        <f t="shared" si="18"/>
        <v>start python sig-gen.py hist 05k_SBER_8096group.pkl 25 0.95 1 0.51 1 05k_SBER_8096group.pkl</v>
      </c>
    </row>
    <row r="217" spans="1:10" x14ac:dyDescent="0.3">
      <c r="A217" t="s">
        <v>664</v>
      </c>
      <c r="B217">
        <v>35</v>
      </c>
      <c r="C217">
        <v>0.95</v>
      </c>
      <c r="D217">
        <v>1</v>
      </c>
      <c r="E217">
        <v>1</v>
      </c>
      <c r="F217">
        <v>0.51</v>
      </c>
      <c r="J217" t="str">
        <f t="shared" si="18"/>
        <v>start python sig-gen.py hist 05k_SBER_8097group.pkl 35 0.95 1 0.51 1 05k_SBER_8097group.pkl</v>
      </c>
    </row>
    <row r="218" spans="1:10" x14ac:dyDescent="0.3">
      <c r="A218" t="s">
        <v>665</v>
      </c>
      <c r="B218">
        <v>35</v>
      </c>
      <c r="C218">
        <v>0.95</v>
      </c>
      <c r="D218">
        <v>1</v>
      </c>
      <c r="E218">
        <v>1</v>
      </c>
      <c r="F218">
        <v>0.5</v>
      </c>
      <c r="J218" t="str">
        <f t="shared" si="18"/>
        <v>start python sig-gen.py hist 05k_SBER_8098group.pkl 35 0.95 1 0.5 1 05k_SBER_8098group.pkl</v>
      </c>
    </row>
    <row r="219" spans="1:10" x14ac:dyDescent="0.3">
      <c r="A219" t="s">
        <v>666</v>
      </c>
      <c r="B219">
        <v>35</v>
      </c>
      <c r="C219">
        <v>0.95</v>
      </c>
      <c r="D219">
        <v>1</v>
      </c>
      <c r="E219">
        <v>1</v>
      </c>
      <c r="F219">
        <v>0.51</v>
      </c>
      <c r="J219" t="str">
        <f t="shared" si="18"/>
        <v>start python sig-gen.py hist 05k_SBER_8099group.pkl 35 0.95 1 0.51 1 05k_SBER_8099group.pkl</v>
      </c>
    </row>
    <row r="220" spans="1:10" x14ac:dyDescent="0.3">
      <c r="A220" t="s">
        <v>452</v>
      </c>
      <c r="B220">
        <v>90</v>
      </c>
      <c r="C220">
        <v>0.95</v>
      </c>
      <c r="D220">
        <v>0.05</v>
      </c>
      <c r="E220">
        <v>1</v>
      </c>
      <c r="F220">
        <v>0.5</v>
      </c>
      <c r="J220" t="str">
        <f t="shared" si="18"/>
        <v>start python sig-gen.py hist 05k_SBER_809group.pkl 90 0.95 0.05 0.5 1 05k_SBER_809group.pkl</v>
      </c>
    </row>
    <row r="221" spans="1:10" x14ac:dyDescent="0.3">
      <c r="A221" t="s">
        <v>667</v>
      </c>
      <c r="B221">
        <v>40</v>
      </c>
      <c r="C221">
        <v>0.5</v>
      </c>
      <c r="D221">
        <v>0.55000000000000004</v>
      </c>
      <c r="E221">
        <v>1</v>
      </c>
      <c r="F221">
        <v>0.51</v>
      </c>
      <c r="J221" t="str">
        <f t="shared" si="18"/>
        <v>start python sig-gen.py hist 05k_SBER_8100group.pkl 40 0.5 0.55 0.51 1 05k_SBER_8100group.pkl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U3805"/>
  <sheetViews>
    <sheetView workbookViewId="0">
      <selection activeCell="B3" sqref="B3"/>
    </sheetView>
  </sheetViews>
  <sheetFormatPr defaultRowHeight="14.4" x14ac:dyDescent="0.3"/>
  <sheetData>
    <row r="1" spans="1:21" x14ac:dyDescent="0.3">
      <c r="A1" t="s">
        <v>74</v>
      </c>
      <c r="B1" t="s">
        <v>75</v>
      </c>
      <c r="C1" t="s">
        <v>76</v>
      </c>
      <c r="D1" t="s">
        <v>77</v>
      </c>
      <c r="E1" t="s">
        <v>78</v>
      </c>
      <c r="F1" t="s">
        <v>79</v>
      </c>
      <c r="G1" t="s">
        <v>80</v>
      </c>
      <c r="H1" t="s">
        <v>81</v>
      </c>
      <c r="I1" t="s">
        <v>82</v>
      </c>
      <c r="J1" t="s">
        <v>83</v>
      </c>
      <c r="K1" t="s">
        <v>84</v>
      </c>
      <c r="L1" t="s">
        <v>85</v>
      </c>
      <c r="M1" t="s">
        <v>86</v>
      </c>
      <c r="N1" t="s">
        <v>87</v>
      </c>
      <c r="O1" t="s">
        <v>88</v>
      </c>
    </row>
    <row r="2" spans="1:21" x14ac:dyDescent="0.3">
      <c r="A2">
        <v>97</v>
      </c>
      <c r="B2" s="34">
        <v>38049</v>
      </c>
      <c r="C2">
        <v>1.2213000000000001</v>
      </c>
      <c r="D2">
        <v>0</v>
      </c>
      <c r="F2">
        <v>0</v>
      </c>
      <c r="G2">
        <v>0</v>
      </c>
      <c r="H2">
        <v>0</v>
      </c>
      <c r="I2">
        <v>0.52061860000000004</v>
      </c>
      <c r="J2">
        <v>2004</v>
      </c>
      <c r="K2">
        <v>3</v>
      </c>
      <c r="L2">
        <v>3</v>
      </c>
      <c r="M2" t="s">
        <v>89</v>
      </c>
      <c r="N2">
        <v>0</v>
      </c>
      <c r="O2">
        <v>0</v>
      </c>
    </row>
    <row r="3" spans="1:21" x14ac:dyDescent="0.3">
      <c r="A3">
        <v>98</v>
      </c>
      <c r="B3" s="34">
        <v>38050</v>
      </c>
      <c r="C3">
        <v>1.2193000000000001</v>
      </c>
      <c r="D3">
        <v>0</v>
      </c>
      <c r="F3">
        <v>0</v>
      </c>
      <c r="G3">
        <v>0</v>
      </c>
      <c r="H3">
        <v>0</v>
      </c>
      <c r="I3">
        <v>0.51530609999999999</v>
      </c>
      <c r="J3">
        <v>2004</v>
      </c>
      <c r="K3">
        <v>3</v>
      </c>
      <c r="L3">
        <v>4</v>
      </c>
      <c r="M3" t="s">
        <v>90</v>
      </c>
      <c r="N3">
        <v>0</v>
      </c>
      <c r="O3">
        <v>0</v>
      </c>
    </row>
    <row r="4" spans="1:21" x14ac:dyDescent="0.3">
      <c r="A4">
        <v>99</v>
      </c>
      <c r="B4" s="34">
        <v>38051</v>
      </c>
      <c r="C4">
        <v>1.2191000000000001</v>
      </c>
      <c r="D4">
        <v>0</v>
      </c>
      <c r="F4">
        <v>0</v>
      </c>
      <c r="G4">
        <v>0</v>
      </c>
      <c r="H4">
        <v>0</v>
      </c>
      <c r="I4">
        <v>0.51010100000000003</v>
      </c>
      <c r="J4">
        <v>2004</v>
      </c>
      <c r="K4">
        <v>3</v>
      </c>
      <c r="L4">
        <v>5</v>
      </c>
      <c r="M4" t="s">
        <v>91</v>
      </c>
      <c r="N4">
        <v>0</v>
      </c>
      <c r="O4">
        <v>0</v>
      </c>
    </row>
    <row r="5" spans="1:21" x14ac:dyDescent="0.3">
      <c r="A5">
        <v>100</v>
      </c>
      <c r="B5" s="34">
        <v>38054</v>
      </c>
      <c r="C5">
        <v>1.2361</v>
      </c>
      <c r="D5">
        <v>0</v>
      </c>
      <c r="F5">
        <v>0</v>
      </c>
      <c r="G5">
        <v>0</v>
      </c>
      <c r="H5">
        <v>1</v>
      </c>
      <c r="I5">
        <v>0.51500000000000001</v>
      </c>
      <c r="J5">
        <v>2004</v>
      </c>
      <c r="K5">
        <v>3</v>
      </c>
      <c r="L5">
        <v>8</v>
      </c>
      <c r="M5" t="s">
        <v>92</v>
      </c>
      <c r="N5">
        <v>0</v>
      </c>
      <c r="O5">
        <v>0</v>
      </c>
    </row>
    <row r="6" spans="1:21" x14ac:dyDescent="0.3">
      <c r="A6">
        <v>101</v>
      </c>
      <c r="B6" s="34">
        <v>38055</v>
      </c>
      <c r="C6">
        <v>1.2398</v>
      </c>
      <c r="D6">
        <v>0</v>
      </c>
      <c r="F6">
        <v>0</v>
      </c>
      <c r="G6">
        <v>0</v>
      </c>
      <c r="H6">
        <v>0</v>
      </c>
      <c r="I6">
        <v>0.50990100000000005</v>
      </c>
      <c r="J6">
        <v>2004</v>
      </c>
      <c r="K6">
        <v>3</v>
      </c>
      <c r="L6">
        <v>9</v>
      </c>
      <c r="M6" t="s">
        <v>93</v>
      </c>
      <c r="N6">
        <v>0</v>
      </c>
      <c r="O6">
        <v>0</v>
      </c>
    </row>
    <row r="7" spans="1:21" x14ac:dyDescent="0.3">
      <c r="A7">
        <v>102</v>
      </c>
      <c r="B7" s="34">
        <v>38056</v>
      </c>
      <c r="C7">
        <v>1.2311000000000001</v>
      </c>
      <c r="D7">
        <v>0</v>
      </c>
      <c r="F7">
        <v>0</v>
      </c>
      <c r="G7">
        <v>0</v>
      </c>
      <c r="H7">
        <v>1</v>
      </c>
      <c r="I7">
        <v>0.51470590000000005</v>
      </c>
      <c r="J7">
        <v>2004</v>
      </c>
      <c r="K7">
        <v>3</v>
      </c>
      <c r="L7">
        <v>10</v>
      </c>
      <c r="M7" t="s">
        <v>89</v>
      </c>
      <c r="N7">
        <v>0</v>
      </c>
      <c r="O7">
        <v>0</v>
      </c>
    </row>
    <row r="8" spans="1:21" x14ac:dyDescent="0.3">
      <c r="A8">
        <v>103</v>
      </c>
      <c r="B8" s="34">
        <v>38057</v>
      </c>
      <c r="C8">
        <v>1.2222999999999999</v>
      </c>
      <c r="D8">
        <v>1</v>
      </c>
      <c r="E8" t="s">
        <v>94</v>
      </c>
      <c r="F8">
        <v>1.21999999999999E-2</v>
      </c>
      <c r="G8">
        <v>0</v>
      </c>
      <c r="H8">
        <v>0</v>
      </c>
      <c r="I8">
        <v>0.50970879999999996</v>
      </c>
      <c r="J8">
        <v>2004</v>
      </c>
      <c r="K8">
        <v>3</v>
      </c>
      <c r="L8">
        <v>11</v>
      </c>
      <c r="M8" t="s">
        <v>90</v>
      </c>
      <c r="N8">
        <v>0</v>
      </c>
      <c r="O8">
        <v>0</v>
      </c>
    </row>
    <row r="9" spans="1:21" x14ac:dyDescent="0.3">
      <c r="A9">
        <v>104</v>
      </c>
      <c r="B9" s="34">
        <v>38058</v>
      </c>
      <c r="C9">
        <v>1.2344999999999999</v>
      </c>
      <c r="D9">
        <v>0</v>
      </c>
      <c r="F9">
        <v>1.21999999999999E-2</v>
      </c>
      <c r="G9">
        <v>0</v>
      </c>
      <c r="H9">
        <v>1</v>
      </c>
      <c r="I9">
        <v>0.51442310000000002</v>
      </c>
      <c r="J9">
        <v>2004</v>
      </c>
      <c r="K9">
        <v>3</v>
      </c>
      <c r="L9">
        <v>12</v>
      </c>
      <c r="M9" t="s">
        <v>91</v>
      </c>
      <c r="N9">
        <v>0</v>
      </c>
      <c r="O9">
        <v>0</v>
      </c>
    </row>
    <row r="10" spans="1:21" x14ac:dyDescent="0.3">
      <c r="A10">
        <v>105</v>
      </c>
      <c r="B10" s="34">
        <v>38061</v>
      </c>
      <c r="C10">
        <v>1.2221</v>
      </c>
      <c r="D10">
        <v>0</v>
      </c>
      <c r="F10">
        <v>1.21999999999999E-2</v>
      </c>
      <c r="G10">
        <v>0</v>
      </c>
      <c r="H10">
        <v>1</v>
      </c>
      <c r="I10">
        <v>0.51904760000000005</v>
      </c>
      <c r="J10">
        <v>2004</v>
      </c>
      <c r="K10">
        <v>3</v>
      </c>
      <c r="L10">
        <v>15</v>
      </c>
      <c r="M10" t="s">
        <v>92</v>
      </c>
      <c r="N10">
        <v>0</v>
      </c>
      <c r="O10">
        <v>0</v>
      </c>
    </row>
    <row r="11" spans="1:21" x14ac:dyDescent="0.3">
      <c r="A11">
        <v>106</v>
      </c>
      <c r="B11" s="34">
        <v>38062</v>
      </c>
      <c r="C11">
        <v>1.2263999999999999</v>
      </c>
      <c r="D11">
        <v>0</v>
      </c>
      <c r="F11">
        <v>1.21999999999999E-2</v>
      </c>
      <c r="G11">
        <v>0</v>
      </c>
      <c r="H11">
        <v>1</v>
      </c>
      <c r="I11">
        <v>0.52358490000000002</v>
      </c>
      <c r="J11">
        <v>2004</v>
      </c>
      <c r="K11">
        <v>3</v>
      </c>
      <c r="L11">
        <v>16</v>
      </c>
      <c r="M11" t="s">
        <v>93</v>
      </c>
      <c r="N11">
        <v>0</v>
      </c>
      <c r="O11">
        <v>0</v>
      </c>
    </row>
    <row r="12" spans="1:21" x14ac:dyDescent="0.3">
      <c r="A12">
        <v>107</v>
      </c>
      <c r="B12" s="34">
        <v>38063</v>
      </c>
      <c r="C12">
        <v>1.2272000000000001</v>
      </c>
      <c r="D12">
        <v>0</v>
      </c>
      <c r="F12">
        <v>1.21999999999999E-2</v>
      </c>
      <c r="G12">
        <v>0</v>
      </c>
      <c r="H12">
        <v>1</v>
      </c>
      <c r="I12">
        <v>0.52803739999999999</v>
      </c>
      <c r="J12">
        <v>2004</v>
      </c>
      <c r="K12">
        <v>3</v>
      </c>
      <c r="L12">
        <v>17</v>
      </c>
      <c r="M12" t="s">
        <v>89</v>
      </c>
      <c r="N12">
        <v>0</v>
      </c>
      <c r="O12">
        <v>0</v>
      </c>
      <c r="T12">
        <f>1331-3781</f>
        <v>-2450</v>
      </c>
      <c r="U12">
        <f>T12/2</f>
        <v>-1225</v>
      </c>
    </row>
    <row r="13" spans="1:21" x14ac:dyDescent="0.3">
      <c r="A13">
        <v>108</v>
      </c>
      <c r="B13" s="34">
        <v>38064</v>
      </c>
      <c r="C13">
        <v>1.2232000000000001</v>
      </c>
      <c r="D13">
        <v>0</v>
      </c>
      <c r="F13">
        <v>1.21999999999999E-2</v>
      </c>
      <c r="G13">
        <v>0</v>
      </c>
      <c r="H13">
        <v>0</v>
      </c>
      <c r="I13">
        <v>0.5231481</v>
      </c>
      <c r="J13">
        <v>2004</v>
      </c>
      <c r="K13">
        <v>3</v>
      </c>
      <c r="L13">
        <v>18</v>
      </c>
      <c r="M13" t="s">
        <v>90</v>
      </c>
      <c r="N13">
        <v>0</v>
      </c>
      <c r="O13">
        <v>0</v>
      </c>
    </row>
    <row r="14" spans="1:21" x14ac:dyDescent="0.3">
      <c r="A14">
        <v>109</v>
      </c>
      <c r="B14" s="34">
        <v>38065</v>
      </c>
      <c r="C14">
        <v>1.2387999999999999</v>
      </c>
      <c r="D14">
        <v>0</v>
      </c>
      <c r="F14">
        <v>1.21999999999999E-2</v>
      </c>
      <c r="G14">
        <v>0</v>
      </c>
      <c r="H14">
        <v>1</v>
      </c>
      <c r="I14">
        <v>0.52752290000000002</v>
      </c>
      <c r="J14">
        <v>2004</v>
      </c>
      <c r="K14">
        <v>3</v>
      </c>
      <c r="L14">
        <v>19</v>
      </c>
      <c r="M14" t="s">
        <v>91</v>
      </c>
      <c r="N14">
        <v>0</v>
      </c>
      <c r="O14">
        <v>0</v>
      </c>
      <c r="T14">
        <f>1331-U12</f>
        <v>2556</v>
      </c>
    </row>
    <row r="15" spans="1:21" x14ac:dyDescent="0.3">
      <c r="A15">
        <v>110</v>
      </c>
      <c r="B15" s="34">
        <v>38068</v>
      </c>
      <c r="C15">
        <v>1.2282999999999999</v>
      </c>
      <c r="D15">
        <v>0</v>
      </c>
      <c r="F15">
        <v>1.21999999999999E-2</v>
      </c>
      <c r="G15">
        <v>0</v>
      </c>
      <c r="H15">
        <v>1</v>
      </c>
      <c r="I15">
        <v>0.53181820000000002</v>
      </c>
      <c r="J15">
        <v>2004</v>
      </c>
      <c r="K15">
        <v>3</v>
      </c>
      <c r="L15">
        <v>22</v>
      </c>
      <c r="M15" t="s">
        <v>92</v>
      </c>
      <c r="N15">
        <v>0</v>
      </c>
      <c r="O15">
        <v>0</v>
      </c>
    </row>
    <row r="16" spans="1:21" x14ac:dyDescent="0.3">
      <c r="A16">
        <v>111</v>
      </c>
      <c r="B16" s="34">
        <v>38069</v>
      </c>
      <c r="C16">
        <v>1.2345999999999999</v>
      </c>
      <c r="D16">
        <v>-1</v>
      </c>
      <c r="F16">
        <v>1.1699999999999801E-2</v>
      </c>
      <c r="G16">
        <v>4.0983606557390697</v>
      </c>
      <c r="H16">
        <v>1</v>
      </c>
      <c r="I16">
        <v>0.53603599999999996</v>
      </c>
      <c r="J16">
        <v>2004</v>
      </c>
      <c r="K16">
        <v>3</v>
      </c>
      <c r="L16">
        <v>23</v>
      </c>
      <c r="M16" t="s">
        <v>93</v>
      </c>
      <c r="N16">
        <v>0</v>
      </c>
      <c r="O16">
        <v>0</v>
      </c>
    </row>
    <row r="17" spans="1:15" x14ac:dyDescent="0.3">
      <c r="A17">
        <v>112</v>
      </c>
      <c r="B17" s="34">
        <v>38070</v>
      </c>
      <c r="C17">
        <v>1.2351000000000001</v>
      </c>
      <c r="D17">
        <v>0</v>
      </c>
      <c r="F17">
        <v>1.1699999999999801E-2</v>
      </c>
      <c r="G17">
        <v>4.0983606557390697</v>
      </c>
      <c r="H17">
        <v>0</v>
      </c>
      <c r="I17">
        <v>0.53125</v>
      </c>
      <c r="J17">
        <v>2004</v>
      </c>
      <c r="K17">
        <v>3</v>
      </c>
      <c r="L17">
        <v>24</v>
      </c>
      <c r="M17" t="s">
        <v>89</v>
      </c>
      <c r="N17">
        <v>0</v>
      </c>
      <c r="O17">
        <v>0</v>
      </c>
    </row>
    <row r="18" spans="1:15" x14ac:dyDescent="0.3">
      <c r="A18">
        <v>113</v>
      </c>
      <c r="B18" s="34">
        <v>38071</v>
      </c>
      <c r="C18">
        <v>1.2121999999999999</v>
      </c>
      <c r="D18">
        <v>0</v>
      </c>
      <c r="F18">
        <v>1.1699999999999801E-2</v>
      </c>
      <c r="G18">
        <v>4.0983606557390697</v>
      </c>
      <c r="H18">
        <v>1</v>
      </c>
      <c r="I18">
        <v>0.53539820000000005</v>
      </c>
      <c r="J18">
        <v>2004</v>
      </c>
      <c r="K18">
        <v>3</v>
      </c>
      <c r="L18">
        <v>25</v>
      </c>
      <c r="M18" t="s">
        <v>90</v>
      </c>
      <c r="N18">
        <v>0</v>
      </c>
      <c r="O18">
        <v>0</v>
      </c>
    </row>
    <row r="19" spans="1:15" x14ac:dyDescent="0.3">
      <c r="A19">
        <v>114</v>
      </c>
      <c r="B19" s="34">
        <v>38072</v>
      </c>
      <c r="C19">
        <v>1.2119</v>
      </c>
      <c r="D19">
        <v>0</v>
      </c>
      <c r="F19">
        <v>1.1699999999999801E-2</v>
      </c>
      <c r="G19">
        <v>4.0983606557390697</v>
      </c>
      <c r="H19">
        <v>0</v>
      </c>
      <c r="I19">
        <v>0.5307018</v>
      </c>
      <c r="J19">
        <v>2004</v>
      </c>
      <c r="K19">
        <v>3</v>
      </c>
      <c r="L19">
        <v>26</v>
      </c>
      <c r="M19" t="s">
        <v>91</v>
      </c>
      <c r="N19">
        <v>0</v>
      </c>
      <c r="O19">
        <v>0</v>
      </c>
    </row>
    <row r="20" spans="1:15" x14ac:dyDescent="0.3">
      <c r="A20">
        <v>115</v>
      </c>
      <c r="B20" s="34">
        <v>38075</v>
      </c>
      <c r="C20">
        <v>1.2122999999999999</v>
      </c>
      <c r="D20">
        <v>0</v>
      </c>
      <c r="F20">
        <v>1.1699999999999801E-2</v>
      </c>
      <c r="G20">
        <v>4.0983606557390697</v>
      </c>
      <c r="H20">
        <v>1</v>
      </c>
      <c r="I20">
        <v>0.5347826</v>
      </c>
      <c r="J20">
        <v>2004</v>
      </c>
      <c r="K20">
        <v>3</v>
      </c>
      <c r="L20">
        <v>29</v>
      </c>
      <c r="M20" t="s">
        <v>92</v>
      </c>
      <c r="N20">
        <v>0</v>
      </c>
      <c r="O20">
        <v>0</v>
      </c>
    </row>
    <row r="21" spans="1:15" x14ac:dyDescent="0.3">
      <c r="A21">
        <v>116</v>
      </c>
      <c r="B21" s="34">
        <v>38076</v>
      </c>
      <c r="C21">
        <v>1.216</v>
      </c>
      <c r="D21">
        <v>-1</v>
      </c>
      <c r="F21">
        <v>1.0699999999999699E-2</v>
      </c>
      <c r="G21">
        <v>12.295081967215401</v>
      </c>
      <c r="H21">
        <v>1</v>
      </c>
      <c r="I21">
        <v>0.53879310000000002</v>
      </c>
      <c r="J21">
        <v>2004</v>
      </c>
      <c r="K21">
        <v>3</v>
      </c>
      <c r="L21">
        <v>30</v>
      </c>
      <c r="M21" t="s">
        <v>93</v>
      </c>
      <c r="N21">
        <v>0</v>
      </c>
      <c r="O21">
        <v>0</v>
      </c>
    </row>
    <row r="22" spans="1:15" x14ac:dyDescent="0.3">
      <c r="A22">
        <v>117</v>
      </c>
      <c r="B22" s="34">
        <v>38077</v>
      </c>
      <c r="C22">
        <v>1.2170000000000001</v>
      </c>
      <c r="D22">
        <v>-1</v>
      </c>
      <c r="F22">
        <v>-3.9000000000002301E-3</v>
      </c>
      <c r="G22">
        <v>131.96721311475599</v>
      </c>
      <c r="H22">
        <v>1</v>
      </c>
      <c r="I22">
        <v>0.54273499999999997</v>
      </c>
      <c r="J22">
        <v>2004</v>
      </c>
      <c r="K22">
        <v>3</v>
      </c>
      <c r="L22">
        <v>31</v>
      </c>
      <c r="M22" t="s">
        <v>89</v>
      </c>
      <c r="N22">
        <v>0</v>
      </c>
      <c r="O22">
        <v>0</v>
      </c>
    </row>
    <row r="23" spans="1:15" x14ac:dyDescent="0.3">
      <c r="A23">
        <v>118</v>
      </c>
      <c r="B23" s="34">
        <v>38078</v>
      </c>
      <c r="C23">
        <v>1.2316</v>
      </c>
      <c r="D23">
        <v>0</v>
      </c>
      <c r="F23">
        <v>-3.9000000000002301E-3</v>
      </c>
      <c r="G23">
        <v>131.96721311475599</v>
      </c>
      <c r="H23">
        <v>1</v>
      </c>
      <c r="I23">
        <v>0.54661020000000005</v>
      </c>
      <c r="J23">
        <v>2004</v>
      </c>
      <c r="K23">
        <v>4</v>
      </c>
      <c r="L23">
        <v>1</v>
      </c>
      <c r="M23" t="s">
        <v>90</v>
      </c>
      <c r="N23">
        <v>0</v>
      </c>
      <c r="O23">
        <v>0</v>
      </c>
    </row>
    <row r="24" spans="1:15" x14ac:dyDescent="0.3">
      <c r="A24">
        <v>119</v>
      </c>
      <c r="B24" s="34">
        <v>38079</v>
      </c>
      <c r="C24">
        <v>1.2364999999999999</v>
      </c>
      <c r="D24">
        <v>0</v>
      </c>
      <c r="F24">
        <v>-3.9000000000002301E-3</v>
      </c>
      <c r="G24">
        <v>131.96721311475599</v>
      </c>
      <c r="H24">
        <v>0</v>
      </c>
      <c r="I24">
        <v>0.54201679999999997</v>
      </c>
      <c r="J24">
        <v>2004</v>
      </c>
      <c r="K24">
        <v>4</v>
      </c>
      <c r="L24">
        <v>2</v>
      </c>
      <c r="M24" t="s">
        <v>91</v>
      </c>
      <c r="N24">
        <v>0</v>
      </c>
      <c r="O24">
        <v>0</v>
      </c>
    </row>
    <row r="25" spans="1:15" x14ac:dyDescent="0.3">
      <c r="A25">
        <v>120</v>
      </c>
      <c r="B25" s="34">
        <v>38082</v>
      </c>
      <c r="C25">
        <v>1.2133</v>
      </c>
      <c r="D25">
        <v>0</v>
      </c>
      <c r="F25">
        <v>-3.9000000000002301E-3</v>
      </c>
      <c r="G25">
        <v>131.96721311475599</v>
      </c>
      <c r="H25">
        <v>1</v>
      </c>
      <c r="I25">
        <v>0.54583329999999997</v>
      </c>
      <c r="J25">
        <v>2004</v>
      </c>
      <c r="K25">
        <v>4</v>
      </c>
      <c r="L25">
        <v>5</v>
      </c>
      <c r="M25" t="s">
        <v>92</v>
      </c>
      <c r="N25">
        <v>0</v>
      </c>
      <c r="O25">
        <v>0</v>
      </c>
    </row>
    <row r="26" spans="1:15" x14ac:dyDescent="0.3">
      <c r="A26">
        <v>121</v>
      </c>
      <c r="B26" s="34">
        <v>38083</v>
      </c>
      <c r="C26">
        <v>1.2002999999999999</v>
      </c>
      <c r="D26">
        <v>0</v>
      </c>
      <c r="F26">
        <v>-3.9000000000002301E-3</v>
      </c>
      <c r="G26">
        <v>131.96721311475599</v>
      </c>
      <c r="H26">
        <v>0</v>
      </c>
      <c r="I26">
        <v>0.54132230000000003</v>
      </c>
      <c r="J26">
        <v>2004</v>
      </c>
      <c r="K26">
        <v>4</v>
      </c>
      <c r="L26">
        <v>6</v>
      </c>
      <c r="M26" t="s">
        <v>93</v>
      </c>
      <c r="N26">
        <v>0</v>
      </c>
      <c r="O26">
        <v>0</v>
      </c>
    </row>
    <row r="27" spans="1:15" x14ac:dyDescent="0.3">
      <c r="A27">
        <v>122</v>
      </c>
      <c r="B27" s="34">
        <v>38084</v>
      </c>
      <c r="C27">
        <v>1.2141</v>
      </c>
      <c r="D27">
        <v>0</v>
      </c>
      <c r="F27">
        <v>-3.9000000000002301E-3</v>
      </c>
      <c r="G27">
        <v>131.96721311475599</v>
      </c>
      <c r="H27">
        <v>1</v>
      </c>
      <c r="I27">
        <v>0.54508199999999996</v>
      </c>
      <c r="J27">
        <v>2004</v>
      </c>
      <c r="K27">
        <v>4</v>
      </c>
      <c r="L27">
        <v>7</v>
      </c>
      <c r="M27" t="s">
        <v>89</v>
      </c>
      <c r="N27">
        <v>0</v>
      </c>
      <c r="O27">
        <v>0</v>
      </c>
    </row>
    <row r="28" spans="1:15" x14ac:dyDescent="0.3">
      <c r="A28">
        <v>123</v>
      </c>
      <c r="B28" s="34">
        <v>38085</v>
      </c>
      <c r="C28">
        <v>1.2172000000000001</v>
      </c>
      <c r="D28">
        <v>-1</v>
      </c>
      <c r="F28">
        <v>4.9999999999998899E-3</v>
      </c>
      <c r="G28">
        <v>59.016393442623702</v>
      </c>
      <c r="H28">
        <v>0</v>
      </c>
      <c r="I28">
        <v>0.54065039999999998</v>
      </c>
      <c r="J28">
        <v>2004</v>
      </c>
      <c r="K28">
        <v>4</v>
      </c>
      <c r="L28">
        <v>8</v>
      </c>
      <c r="M28" t="s">
        <v>90</v>
      </c>
      <c r="N28">
        <v>0</v>
      </c>
      <c r="O28">
        <v>0</v>
      </c>
    </row>
    <row r="29" spans="1:15" x14ac:dyDescent="0.3">
      <c r="A29">
        <v>124</v>
      </c>
      <c r="B29" s="34">
        <v>38086</v>
      </c>
      <c r="C29">
        <v>1.2082999999999999</v>
      </c>
      <c r="D29">
        <v>1</v>
      </c>
      <c r="E29" t="s">
        <v>95</v>
      </c>
      <c r="F29">
        <v>5.8000000000000204E-3</v>
      </c>
      <c r="G29">
        <v>52.459016393442297</v>
      </c>
      <c r="H29">
        <v>1</v>
      </c>
      <c r="I29">
        <v>0.54435489999999997</v>
      </c>
      <c r="J29">
        <v>2004</v>
      </c>
      <c r="K29">
        <v>4</v>
      </c>
      <c r="L29">
        <v>9</v>
      </c>
      <c r="M29" t="s">
        <v>91</v>
      </c>
      <c r="N29">
        <v>0</v>
      </c>
      <c r="O29">
        <v>0</v>
      </c>
    </row>
    <row r="30" spans="1:15" x14ac:dyDescent="0.3">
      <c r="A30">
        <v>125</v>
      </c>
      <c r="B30" s="34">
        <v>38089</v>
      </c>
      <c r="C30">
        <v>1.2091000000000001</v>
      </c>
      <c r="D30">
        <v>0</v>
      </c>
      <c r="F30">
        <v>5.8000000000000204E-3</v>
      </c>
      <c r="G30">
        <v>52.459016393442297</v>
      </c>
      <c r="H30">
        <v>1</v>
      </c>
      <c r="I30">
        <v>0.54800000000000004</v>
      </c>
      <c r="J30">
        <v>2004</v>
      </c>
      <c r="K30">
        <v>4</v>
      </c>
      <c r="L30">
        <v>12</v>
      </c>
      <c r="M30" t="s">
        <v>92</v>
      </c>
      <c r="N30">
        <v>0</v>
      </c>
      <c r="O30">
        <v>0</v>
      </c>
    </row>
    <row r="31" spans="1:15" x14ac:dyDescent="0.3">
      <c r="A31">
        <v>126</v>
      </c>
      <c r="B31" s="34">
        <v>38090</v>
      </c>
      <c r="C31">
        <v>1.2079</v>
      </c>
      <c r="D31">
        <v>0</v>
      </c>
      <c r="F31">
        <v>5.8000000000000204E-3</v>
      </c>
      <c r="G31">
        <v>52.459016393442297</v>
      </c>
      <c r="H31">
        <v>0</v>
      </c>
      <c r="I31">
        <v>0.54365079999999999</v>
      </c>
      <c r="J31">
        <v>2004</v>
      </c>
      <c r="K31">
        <v>4</v>
      </c>
      <c r="L31">
        <v>13</v>
      </c>
      <c r="M31" t="s">
        <v>93</v>
      </c>
      <c r="N31">
        <v>0</v>
      </c>
      <c r="O31">
        <v>0</v>
      </c>
    </row>
    <row r="32" spans="1:15" x14ac:dyDescent="0.3">
      <c r="A32">
        <v>127</v>
      </c>
      <c r="B32" s="34">
        <v>38091</v>
      </c>
      <c r="C32">
        <v>1.1936</v>
      </c>
      <c r="D32">
        <v>0</v>
      </c>
      <c r="F32">
        <v>5.8000000000000204E-3</v>
      </c>
      <c r="G32">
        <v>52.459016393442297</v>
      </c>
      <c r="H32">
        <v>0</v>
      </c>
      <c r="I32">
        <v>0.53937009999999996</v>
      </c>
      <c r="J32">
        <v>2004</v>
      </c>
      <c r="K32">
        <v>4</v>
      </c>
      <c r="L32">
        <v>14</v>
      </c>
      <c r="M32" t="s">
        <v>89</v>
      </c>
      <c r="N32">
        <v>0</v>
      </c>
      <c r="O32">
        <v>0</v>
      </c>
    </row>
    <row r="33" spans="1:15" x14ac:dyDescent="0.3">
      <c r="A33">
        <v>128</v>
      </c>
      <c r="B33" s="34">
        <v>38092</v>
      </c>
      <c r="C33">
        <v>1.1955</v>
      </c>
      <c r="D33">
        <v>0</v>
      </c>
      <c r="F33">
        <v>5.8000000000000204E-3</v>
      </c>
      <c r="G33">
        <v>52.459016393442297</v>
      </c>
      <c r="H33">
        <v>1</v>
      </c>
      <c r="I33">
        <v>0.54296880000000003</v>
      </c>
      <c r="J33">
        <v>2004</v>
      </c>
      <c r="K33">
        <v>4</v>
      </c>
      <c r="L33">
        <v>15</v>
      </c>
      <c r="M33" t="s">
        <v>90</v>
      </c>
      <c r="N33">
        <v>0</v>
      </c>
      <c r="O33">
        <v>0</v>
      </c>
    </row>
    <row r="34" spans="1:15" x14ac:dyDescent="0.3">
      <c r="A34">
        <v>129</v>
      </c>
      <c r="B34" s="34">
        <v>38093</v>
      </c>
      <c r="C34">
        <v>1.1977</v>
      </c>
      <c r="D34">
        <v>0</v>
      </c>
      <c r="F34">
        <v>5.8000000000000204E-3</v>
      </c>
      <c r="G34">
        <v>52.459016393442297</v>
      </c>
      <c r="H34">
        <v>1</v>
      </c>
      <c r="I34">
        <v>0.54651170000000004</v>
      </c>
      <c r="J34">
        <v>2004</v>
      </c>
      <c r="K34">
        <v>4</v>
      </c>
      <c r="L34">
        <v>16</v>
      </c>
      <c r="M34" t="s">
        <v>91</v>
      </c>
      <c r="N34">
        <v>0</v>
      </c>
      <c r="O34">
        <v>0</v>
      </c>
    </row>
    <row r="35" spans="1:15" x14ac:dyDescent="0.3">
      <c r="A35">
        <v>130</v>
      </c>
      <c r="B35" s="34">
        <v>38096</v>
      </c>
      <c r="C35">
        <v>1.1999</v>
      </c>
      <c r="D35">
        <v>0</v>
      </c>
      <c r="F35">
        <v>5.8000000000000204E-3</v>
      </c>
      <c r="G35">
        <v>52.459016393442297</v>
      </c>
      <c r="H35">
        <v>1</v>
      </c>
      <c r="I35">
        <v>0.55000000000000004</v>
      </c>
      <c r="J35">
        <v>2004</v>
      </c>
      <c r="K35">
        <v>4</v>
      </c>
      <c r="L35">
        <v>19</v>
      </c>
      <c r="M35" t="s">
        <v>92</v>
      </c>
      <c r="N35">
        <v>0</v>
      </c>
      <c r="O35">
        <v>0</v>
      </c>
    </row>
    <row r="36" spans="1:15" x14ac:dyDescent="0.3">
      <c r="A36">
        <v>131</v>
      </c>
      <c r="B36" s="34">
        <v>38097</v>
      </c>
      <c r="C36">
        <v>1.2005999999999999</v>
      </c>
      <c r="D36">
        <v>-2</v>
      </c>
      <c r="F36">
        <v>2.1399999999999801E-2</v>
      </c>
      <c r="G36">
        <v>0</v>
      </c>
      <c r="H36">
        <v>1</v>
      </c>
      <c r="I36">
        <v>0.55343509999999996</v>
      </c>
      <c r="J36">
        <v>2004</v>
      </c>
      <c r="K36">
        <v>4</v>
      </c>
      <c r="L36">
        <v>20</v>
      </c>
      <c r="M36" t="s">
        <v>93</v>
      </c>
      <c r="N36">
        <v>0</v>
      </c>
      <c r="O36">
        <v>0</v>
      </c>
    </row>
    <row r="37" spans="1:15" x14ac:dyDescent="0.3">
      <c r="A37">
        <v>132</v>
      </c>
      <c r="B37" s="34">
        <v>38098</v>
      </c>
      <c r="C37">
        <v>1.1850000000000001</v>
      </c>
      <c r="D37">
        <v>0</v>
      </c>
      <c r="F37">
        <v>2.1399999999999801E-2</v>
      </c>
      <c r="G37">
        <v>0</v>
      </c>
      <c r="H37">
        <v>0</v>
      </c>
      <c r="I37">
        <v>0.54924240000000002</v>
      </c>
      <c r="J37">
        <v>2004</v>
      </c>
      <c r="K37">
        <v>4</v>
      </c>
      <c r="L37">
        <v>21</v>
      </c>
      <c r="M37" t="s">
        <v>89</v>
      </c>
      <c r="N37">
        <v>0</v>
      </c>
      <c r="O37">
        <v>0</v>
      </c>
    </row>
    <row r="38" spans="1:15" x14ac:dyDescent="0.3">
      <c r="A38">
        <v>133</v>
      </c>
      <c r="B38" s="34">
        <v>38099</v>
      </c>
      <c r="C38">
        <v>1.1835</v>
      </c>
      <c r="D38">
        <v>0</v>
      </c>
      <c r="F38">
        <v>2.1399999999999801E-2</v>
      </c>
      <c r="G38">
        <v>0</v>
      </c>
      <c r="H38">
        <v>0</v>
      </c>
      <c r="I38">
        <v>0.54511279999999995</v>
      </c>
      <c r="J38">
        <v>2004</v>
      </c>
      <c r="K38">
        <v>4</v>
      </c>
      <c r="L38">
        <v>22</v>
      </c>
      <c r="M38" t="s">
        <v>90</v>
      </c>
      <c r="N38">
        <v>0</v>
      </c>
      <c r="O38">
        <v>0</v>
      </c>
    </row>
    <row r="39" spans="1:15" x14ac:dyDescent="0.3">
      <c r="A39">
        <v>134</v>
      </c>
      <c r="B39" s="34">
        <v>38100</v>
      </c>
      <c r="C39">
        <v>1.1909000000000001</v>
      </c>
      <c r="D39">
        <v>0</v>
      </c>
      <c r="F39">
        <v>2.1399999999999801E-2</v>
      </c>
      <c r="G39">
        <v>0</v>
      </c>
      <c r="H39">
        <v>1</v>
      </c>
      <c r="I39">
        <v>0.54850750000000004</v>
      </c>
      <c r="J39">
        <v>2004</v>
      </c>
      <c r="K39">
        <v>4</v>
      </c>
      <c r="L39">
        <v>23</v>
      </c>
      <c r="M39" t="s">
        <v>91</v>
      </c>
      <c r="N39">
        <v>0</v>
      </c>
      <c r="O39">
        <v>0</v>
      </c>
    </row>
    <row r="40" spans="1:15" x14ac:dyDescent="0.3">
      <c r="A40">
        <v>135</v>
      </c>
      <c r="B40" s="34">
        <v>38103</v>
      </c>
      <c r="C40">
        <v>1.1842999999999999</v>
      </c>
      <c r="D40">
        <v>1</v>
      </c>
      <c r="E40" t="s">
        <v>96</v>
      </c>
      <c r="F40">
        <v>2.32999999999998E-2</v>
      </c>
      <c r="G40">
        <v>0</v>
      </c>
      <c r="H40">
        <v>0</v>
      </c>
      <c r="I40">
        <v>0.54444440000000005</v>
      </c>
      <c r="J40">
        <v>2004</v>
      </c>
      <c r="K40">
        <v>4</v>
      </c>
      <c r="L40">
        <v>26</v>
      </c>
      <c r="M40" t="s">
        <v>92</v>
      </c>
      <c r="N40">
        <v>0</v>
      </c>
      <c r="O40">
        <v>0</v>
      </c>
    </row>
    <row r="41" spans="1:15" x14ac:dyDescent="0.3">
      <c r="A41">
        <v>136</v>
      </c>
      <c r="B41" s="34">
        <v>38104</v>
      </c>
      <c r="C41">
        <v>1.1861999999999999</v>
      </c>
      <c r="D41">
        <v>0</v>
      </c>
      <c r="F41">
        <v>2.32999999999998E-2</v>
      </c>
      <c r="G41">
        <v>0</v>
      </c>
      <c r="H41">
        <v>1</v>
      </c>
      <c r="I41">
        <v>0.54779409999999995</v>
      </c>
      <c r="J41">
        <v>2004</v>
      </c>
      <c r="K41">
        <v>4</v>
      </c>
      <c r="L41">
        <v>27</v>
      </c>
      <c r="M41" t="s">
        <v>93</v>
      </c>
      <c r="N41">
        <v>0</v>
      </c>
      <c r="O41">
        <v>0</v>
      </c>
    </row>
    <row r="42" spans="1:15" x14ac:dyDescent="0.3">
      <c r="A42">
        <v>137</v>
      </c>
      <c r="B42" s="34">
        <v>38105</v>
      </c>
      <c r="C42">
        <v>1.1926000000000001</v>
      </c>
      <c r="D42">
        <v>0</v>
      </c>
      <c r="F42">
        <v>2.32999999999998E-2</v>
      </c>
      <c r="G42">
        <v>0</v>
      </c>
      <c r="H42">
        <v>1</v>
      </c>
      <c r="I42">
        <v>0.55109490000000005</v>
      </c>
      <c r="J42">
        <v>2004</v>
      </c>
      <c r="K42">
        <v>4</v>
      </c>
      <c r="L42">
        <v>28</v>
      </c>
      <c r="M42" t="s">
        <v>89</v>
      </c>
      <c r="N42">
        <v>0</v>
      </c>
      <c r="O42">
        <v>0</v>
      </c>
    </row>
    <row r="43" spans="1:15" x14ac:dyDescent="0.3">
      <c r="A43">
        <v>138</v>
      </c>
      <c r="B43" s="34">
        <v>38106</v>
      </c>
      <c r="C43">
        <v>1.1848000000000001</v>
      </c>
      <c r="D43">
        <v>0</v>
      </c>
      <c r="F43">
        <v>2.32999999999998E-2</v>
      </c>
      <c r="G43">
        <v>0</v>
      </c>
      <c r="H43">
        <v>1</v>
      </c>
      <c r="I43">
        <v>0.55434779999999995</v>
      </c>
      <c r="J43">
        <v>2004</v>
      </c>
      <c r="K43">
        <v>4</v>
      </c>
      <c r="L43">
        <v>29</v>
      </c>
      <c r="M43" t="s">
        <v>90</v>
      </c>
      <c r="N43">
        <v>0</v>
      </c>
      <c r="O43">
        <v>0</v>
      </c>
    </row>
    <row r="44" spans="1:15" x14ac:dyDescent="0.3">
      <c r="A44">
        <v>139</v>
      </c>
      <c r="B44" s="34">
        <v>38107</v>
      </c>
      <c r="C44">
        <v>1.1962999999999999</v>
      </c>
      <c r="D44">
        <v>0</v>
      </c>
      <c r="F44">
        <v>2.32999999999998E-2</v>
      </c>
      <c r="G44">
        <v>0</v>
      </c>
      <c r="H44">
        <v>1</v>
      </c>
      <c r="I44">
        <v>0.55755390000000005</v>
      </c>
      <c r="J44">
        <v>2004</v>
      </c>
      <c r="K44">
        <v>4</v>
      </c>
      <c r="L44">
        <v>30</v>
      </c>
      <c r="M44" t="s">
        <v>91</v>
      </c>
      <c r="N44">
        <v>0</v>
      </c>
      <c r="O44">
        <v>0</v>
      </c>
    </row>
    <row r="45" spans="1:15" x14ac:dyDescent="0.3">
      <c r="A45">
        <v>140</v>
      </c>
      <c r="B45" s="34">
        <v>38110</v>
      </c>
      <c r="C45">
        <v>1.1986000000000001</v>
      </c>
      <c r="D45">
        <v>0</v>
      </c>
      <c r="F45">
        <v>2.32999999999998E-2</v>
      </c>
      <c r="G45">
        <v>0</v>
      </c>
      <c r="H45">
        <v>0</v>
      </c>
      <c r="I45">
        <v>0.55357140000000005</v>
      </c>
      <c r="J45">
        <v>2004</v>
      </c>
      <c r="K45">
        <v>5</v>
      </c>
      <c r="L45">
        <v>3</v>
      </c>
      <c r="M45" t="s">
        <v>92</v>
      </c>
      <c r="N45">
        <v>0</v>
      </c>
      <c r="O45">
        <v>0</v>
      </c>
    </row>
    <row r="46" spans="1:15" x14ac:dyDescent="0.3">
      <c r="A46">
        <v>141</v>
      </c>
      <c r="B46" s="34">
        <v>38111</v>
      </c>
      <c r="C46">
        <v>1.1940999999999999</v>
      </c>
      <c r="D46">
        <v>0</v>
      </c>
      <c r="F46">
        <v>2.32999999999998E-2</v>
      </c>
      <c r="G46">
        <v>0</v>
      </c>
      <c r="H46">
        <v>1</v>
      </c>
      <c r="I46">
        <v>0.55673760000000005</v>
      </c>
      <c r="J46">
        <v>2004</v>
      </c>
      <c r="K46">
        <v>5</v>
      </c>
      <c r="L46">
        <v>4</v>
      </c>
      <c r="M46" t="s">
        <v>93</v>
      </c>
      <c r="N46">
        <v>0</v>
      </c>
      <c r="O46">
        <v>0</v>
      </c>
    </row>
    <row r="47" spans="1:15" x14ac:dyDescent="0.3">
      <c r="A47">
        <v>142</v>
      </c>
      <c r="B47" s="34">
        <v>38112</v>
      </c>
      <c r="C47">
        <v>1.2104999999999999</v>
      </c>
      <c r="D47">
        <v>-4</v>
      </c>
      <c r="F47">
        <v>1.7899999999999801E-2</v>
      </c>
      <c r="G47">
        <v>23.175965665236401</v>
      </c>
      <c r="H47">
        <v>1</v>
      </c>
      <c r="I47">
        <v>0.5598592</v>
      </c>
      <c r="J47">
        <v>2004</v>
      </c>
      <c r="K47">
        <v>5</v>
      </c>
      <c r="L47">
        <v>5</v>
      </c>
      <c r="M47" t="s">
        <v>89</v>
      </c>
      <c r="N47">
        <v>0</v>
      </c>
      <c r="O47">
        <v>0</v>
      </c>
    </row>
    <row r="48" spans="1:15" x14ac:dyDescent="0.3">
      <c r="A48">
        <v>143</v>
      </c>
      <c r="B48" s="34">
        <v>38113</v>
      </c>
      <c r="C48">
        <v>1.2159</v>
      </c>
      <c r="D48">
        <v>0</v>
      </c>
      <c r="F48">
        <v>1.7899999999999801E-2</v>
      </c>
      <c r="G48">
        <v>23.175965665236401</v>
      </c>
      <c r="H48">
        <v>0</v>
      </c>
      <c r="I48">
        <v>0.55594410000000005</v>
      </c>
      <c r="J48">
        <v>2004</v>
      </c>
      <c r="K48">
        <v>5</v>
      </c>
      <c r="L48">
        <v>6</v>
      </c>
      <c r="M48" t="s">
        <v>90</v>
      </c>
      <c r="N48">
        <v>0</v>
      </c>
      <c r="O48">
        <v>0</v>
      </c>
    </row>
    <row r="49" spans="1:15" x14ac:dyDescent="0.3">
      <c r="A49">
        <v>144</v>
      </c>
      <c r="B49" s="34">
        <v>38114</v>
      </c>
      <c r="C49">
        <v>1.2071000000000001</v>
      </c>
      <c r="D49">
        <v>0</v>
      </c>
      <c r="F49">
        <v>1.7899999999999801E-2</v>
      </c>
      <c r="G49">
        <v>23.175965665236401</v>
      </c>
      <c r="H49">
        <v>1</v>
      </c>
      <c r="I49">
        <v>0.55902779999999996</v>
      </c>
      <c r="J49">
        <v>2004</v>
      </c>
      <c r="K49">
        <v>5</v>
      </c>
      <c r="L49">
        <v>7</v>
      </c>
      <c r="M49" t="s">
        <v>91</v>
      </c>
      <c r="N49">
        <v>0</v>
      </c>
      <c r="O49">
        <v>0</v>
      </c>
    </row>
    <row r="50" spans="1:15" x14ac:dyDescent="0.3">
      <c r="A50">
        <v>145</v>
      </c>
      <c r="B50" s="34">
        <v>38117</v>
      </c>
      <c r="C50">
        <v>1.1893</v>
      </c>
      <c r="D50">
        <v>4</v>
      </c>
      <c r="E50" t="s">
        <v>97</v>
      </c>
      <c r="F50">
        <v>1.12999999999998E-2</v>
      </c>
      <c r="G50">
        <v>51.502145922747097</v>
      </c>
      <c r="H50">
        <v>0</v>
      </c>
      <c r="I50">
        <v>0.55517240000000001</v>
      </c>
      <c r="J50">
        <v>2004</v>
      </c>
      <c r="K50">
        <v>5</v>
      </c>
      <c r="L50">
        <v>10</v>
      </c>
      <c r="M50" t="s">
        <v>92</v>
      </c>
      <c r="N50">
        <v>0</v>
      </c>
      <c r="O50">
        <v>0</v>
      </c>
    </row>
    <row r="51" spans="1:15" x14ac:dyDescent="0.3">
      <c r="A51">
        <v>146</v>
      </c>
      <c r="B51" s="34">
        <v>38118</v>
      </c>
      <c r="C51">
        <v>1.1827000000000001</v>
      </c>
      <c r="D51">
        <v>0</v>
      </c>
      <c r="F51">
        <v>1.12999999999998E-2</v>
      </c>
      <c r="G51">
        <v>51.502145922747097</v>
      </c>
      <c r="H51">
        <v>0</v>
      </c>
      <c r="I51">
        <v>0.55136980000000002</v>
      </c>
      <c r="J51">
        <v>2004</v>
      </c>
      <c r="K51">
        <v>5</v>
      </c>
      <c r="L51">
        <v>11</v>
      </c>
      <c r="M51" t="s">
        <v>93</v>
      </c>
      <c r="N51">
        <v>0</v>
      </c>
      <c r="O51">
        <v>0</v>
      </c>
    </row>
    <row r="52" spans="1:15" x14ac:dyDescent="0.3">
      <c r="A52">
        <v>147</v>
      </c>
      <c r="B52" s="34">
        <v>38119</v>
      </c>
      <c r="C52">
        <v>1.1865000000000001</v>
      </c>
      <c r="D52">
        <v>0</v>
      </c>
      <c r="F52">
        <v>1.12999999999998E-2</v>
      </c>
      <c r="G52">
        <v>51.502145922747097</v>
      </c>
      <c r="H52">
        <v>1</v>
      </c>
      <c r="I52">
        <v>0.55442179999999996</v>
      </c>
      <c r="J52">
        <v>2004</v>
      </c>
      <c r="K52">
        <v>5</v>
      </c>
      <c r="L52">
        <v>12</v>
      </c>
      <c r="M52" t="s">
        <v>89</v>
      </c>
      <c r="N52">
        <v>0</v>
      </c>
      <c r="O52">
        <v>0</v>
      </c>
    </row>
    <row r="53" spans="1:15" x14ac:dyDescent="0.3">
      <c r="A53">
        <v>148</v>
      </c>
      <c r="B53" s="34">
        <v>38120</v>
      </c>
      <c r="C53">
        <v>1.1907000000000001</v>
      </c>
      <c r="D53">
        <v>-3</v>
      </c>
      <c r="F53">
        <v>2.1099999999999799E-2</v>
      </c>
      <c r="G53">
        <v>9.4420600858368697</v>
      </c>
      <c r="H53">
        <v>1</v>
      </c>
      <c r="I53">
        <v>0.55743240000000005</v>
      </c>
      <c r="J53">
        <v>2004</v>
      </c>
      <c r="K53">
        <v>5</v>
      </c>
      <c r="L53">
        <v>13</v>
      </c>
      <c r="M53" t="s">
        <v>90</v>
      </c>
      <c r="N53">
        <v>0</v>
      </c>
      <c r="O53">
        <v>0</v>
      </c>
    </row>
    <row r="54" spans="1:15" x14ac:dyDescent="0.3">
      <c r="A54">
        <v>149</v>
      </c>
      <c r="B54" s="34">
        <v>38121</v>
      </c>
      <c r="C54">
        <v>1.1809000000000001</v>
      </c>
      <c r="D54">
        <v>1</v>
      </c>
      <c r="E54" t="s">
        <v>98</v>
      </c>
      <c r="F54">
        <v>2.9199999999999799E-2</v>
      </c>
      <c r="G54">
        <v>0</v>
      </c>
      <c r="H54">
        <v>1</v>
      </c>
      <c r="I54">
        <v>0.56040270000000003</v>
      </c>
      <c r="J54">
        <v>2004</v>
      </c>
      <c r="K54">
        <v>5</v>
      </c>
      <c r="L54">
        <v>14</v>
      </c>
      <c r="M54" t="s">
        <v>91</v>
      </c>
      <c r="N54">
        <v>0</v>
      </c>
      <c r="O54">
        <v>0</v>
      </c>
    </row>
    <row r="55" spans="1:15" x14ac:dyDescent="0.3">
      <c r="A55">
        <v>150</v>
      </c>
      <c r="B55" s="34">
        <v>38124</v>
      </c>
      <c r="C55">
        <v>1.1890000000000001</v>
      </c>
      <c r="D55">
        <v>0</v>
      </c>
      <c r="F55">
        <v>2.9199999999999799E-2</v>
      </c>
      <c r="G55">
        <v>0</v>
      </c>
      <c r="H55">
        <v>1</v>
      </c>
      <c r="I55">
        <v>0.56333330000000004</v>
      </c>
      <c r="J55">
        <v>2004</v>
      </c>
      <c r="K55">
        <v>5</v>
      </c>
      <c r="L55">
        <v>17</v>
      </c>
      <c r="M55" t="s">
        <v>92</v>
      </c>
      <c r="N55">
        <v>0</v>
      </c>
      <c r="O55">
        <v>0</v>
      </c>
    </row>
    <row r="56" spans="1:15" x14ac:dyDescent="0.3">
      <c r="A56">
        <v>151</v>
      </c>
      <c r="B56" s="34">
        <v>38125</v>
      </c>
      <c r="C56">
        <v>1.2021999999999999</v>
      </c>
      <c r="D56">
        <v>0</v>
      </c>
      <c r="F56">
        <v>2.9199999999999799E-2</v>
      </c>
      <c r="G56">
        <v>0</v>
      </c>
      <c r="H56">
        <v>1</v>
      </c>
      <c r="I56">
        <v>0.56622519999999998</v>
      </c>
      <c r="J56">
        <v>2004</v>
      </c>
      <c r="K56">
        <v>5</v>
      </c>
      <c r="L56">
        <v>18</v>
      </c>
      <c r="M56" t="s">
        <v>93</v>
      </c>
      <c r="N56">
        <v>0</v>
      </c>
      <c r="O56">
        <v>0</v>
      </c>
    </row>
    <row r="57" spans="1:15" x14ac:dyDescent="0.3">
      <c r="A57">
        <v>152</v>
      </c>
      <c r="B57" s="34">
        <v>38126</v>
      </c>
      <c r="C57">
        <v>1.1952</v>
      </c>
      <c r="D57">
        <v>1</v>
      </c>
      <c r="E57" t="s">
        <v>99</v>
      </c>
      <c r="F57">
        <v>3.6099999999999799E-2</v>
      </c>
      <c r="G57">
        <v>0</v>
      </c>
      <c r="H57">
        <v>1</v>
      </c>
      <c r="I57">
        <v>0.56907890000000005</v>
      </c>
      <c r="J57">
        <v>2004</v>
      </c>
      <c r="K57">
        <v>5</v>
      </c>
      <c r="L57">
        <v>19</v>
      </c>
      <c r="M57" t="s">
        <v>89</v>
      </c>
      <c r="N57">
        <v>0</v>
      </c>
      <c r="O57">
        <v>0</v>
      </c>
    </row>
    <row r="58" spans="1:15" x14ac:dyDescent="0.3">
      <c r="A58">
        <v>153</v>
      </c>
      <c r="B58" s="34">
        <v>38127</v>
      </c>
      <c r="C58">
        <v>1.2020999999999999</v>
      </c>
      <c r="D58">
        <v>-4</v>
      </c>
      <c r="F58">
        <v>4.16999999999998E-2</v>
      </c>
      <c r="G58">
        <v>0</v>
      </c>
      <c r="H58">
        <v>1</v>
      </c>
      <c r="I58">
        <v>0.57189540000000005</v>
      </c>
      <c r="J58">
        <v>2004</v>
      </c>
      <c r="K58">
        <v>5</v>
      </c>
      <c r="L58">
        <v>20</v>
      </c>
      <c r="M58" t="s">
        <v>90</v>
      </c>
      <c r="N58">
        <v>0</v>
      </c>
      <c r="O58">
        <v>0</v>
      </c>
    </row>
    <row r="59" spans="1:15" x14ac:dyDescent="0.3">
      <c r="A59">
        <v>154</v>
      </c>
      <c r="B59" s="34">
        <v>38128</v>
      </c>
      <c r="C59">
        <v>1.1964999999999999</v>
      </c>
      <c r="D59">
        <v>0</v>
      </c>
      <c r="F59">
        <v>4.16999999999998E-2</v>
      </c>
      <c r="G59">
        <v>0</v>
      </c>
      <c r="H59">
        <v>1</v>
      </c>
      <c r="I59">
        <v>0.5746753</v>
      </c>
      <c r="J59">
        <v>2004</v>
      </c>
      <c r="K59">
        <v>5</v>
      </c>
      <c r="L59">
        <v>21</v>
      </c>
      <c r="M59" t="s">
        <v>91</v>
      </c>
      <c r="N59">
        <v>0</v>
      </c>
      <c r="O59">
        <v>0</v>
      </c>
    </row>
    <row r="60" spans="1:15" x14ac:dyDescent="0.3">
      <c r="A60">
        <v>155</v>
      </c>
      <c r="B60" s="34">
        <v>38131</v>
      </c>
      <c r="C60">
        <v>1.1996</v>
      </c>
      <c r="D60">
        <v>-3</v>
      </c>
      <c r="F60">
        <v>4.0299999999999697E-2</v>
      </c>
      <c r="G60">
        <v>3.3573141486812301</v>
      </c>
      <c r="H60">
        <v>1</v>
      </c>
      <c r="I60">
        <v>0.57741929999999997</v>
      </c>
      <c r="J60">
        <v>2004</v>
      </c>
      <c r="K60">
        <v>5</v>
      </c>
      <c r="L60">
        <v>24</v>
      </c>
      <c r="M60" t="s">
        <v>92</v>
      </c>
      <c r="N60">
        <v>0</v>
      </c>
      <c r="O60">
        <v>0</v>
      </c>
    </row>
    <row r="61" spans="1:15" x14ac:dyDescent="0.3">
      <c r="A61">
        <v>156</v>
      </c>
      <c r="B61" s="34">
        <v>38132</v>
      </c>
      <c r="C61">
        <v>1.2010000000000001</v>
      </c>
      <c r="D61">
        <v>1</v>
      </c>
      <c r="E61" t="s">
        <v>100</v>
      </c>
      <c r="F61">
        <v>4.94999999999996E-2</v>
      </c>
      <c r="G61">
        <v>0</v>
      </c>
      <c r="H61">
        <v>0</v>
      </c>
      <c r="I61">
        <v>0.57371799999999995</v>
      </c>
      <c r="J61">
        <v>2004</v>
      </c>
      <c r="K61">
        <v>5</v>
      </c>
      <c r="L61">
        <v>25</v>
      </c>
      <c r="M61" t="s">
        <v>93</v>
      </c>
      <c r="N61">
        <v>0</v>
      </c>
      <c r="O61">
        <v>0</v>
      </c>
    </row>
    <row r="62" spans="1:15" x14ac:dyDescent="0.3">
      <c r="A62">
        <v>157</v>
      </c>
      <c r="B62" s="34">
        <v>38133</v>
      </c>
      <c r="C62">
        <v>1.2101999999999999</v>
      </c>
      <c r="D62">
        <v>-2</v>
      </c>
      <c r="F62">
        <v>4.8099999999999497E-2</v>
      </c>
      <c r="G62">
        <v>2.8282828282829802</v>
      </c>
      <c r="H62">
        <v>0</v>
      </c>
      <c r="I62">
        <v>0.57006369999999995</v>
      </c>
      <c r="J62">
        <v>2004</v>
      </c>
      <c r="K62">
        <v>5</v>
      </c>
      <c r="L62">
        <v>26</v>
      </c>
      <c r="M62" t="s">
        <v>89</v>
      </c>
      <c r="N62">
        <v>0</v>
      </c>
      <c r="O62">
        <v>0</v>
      </c>
    </row>
    <row r="63" spans="1:15" x14ac:dyDescent="0.3">
      <c r="A63">
        <v>158</v>
      </c>
      <c r="B63" s="34">
        <v>38134</v>
      </c>
      <c r="C63">
        <v>1.2116</v>
      </c>
      <c r="D63">
        <v>0</v>
      </c>
      <c r="F63">
        <v>4.8099999999999497E-2</v>
      </c>
      <c r="G63">
        <v>2.8282828282829802</v>
      </c>
      <c r="H63">
        <v>0</v>
      </c>
      <c r="I63">
        <v>0.56645570000000001</v>
      </c>
      <c r="J63">
        <v>2004</v>
      </c>
      <c r="K63">
        <v>5</v>
      </c>
      <c r="L63">
        <v>27</v>
      </c>
      <c r="M63" t="s">
        <v>90</v>
      </c>
      <c r="N63">
        <v>0</v>
      </c>
      <c r="O63">
        <v>0</v>
      </c>
    </row>
    <row r="64" spans="1:15" x14ac:dyDescent="0.3">
      <c r="A64">
        <v>159</v>
      </c>
      <c r="B64" s="34">
        <v>38135</v>
      </c>
      <c r="C64">
        <v>1.2267999999999999</v>
      </c>
      <c r="D64">
        <v>0</v>
      </c>
      <c r="F64">
        <v>4.8099999999999497E-2</v>
      </c>
      <c r="G64">
        <v>2.8282828282829802</v>
      </c>
      <c r="H64">
        <v>0</v>
      </c>
      <c r="I64">
        <v>0.56289310000000004</v>
      </c>
      <c r="J64">
        <v>2004</v>
      </c>
      <c r="K64">
        <v>5</v>
      </c>
      <c r="L64">
        <v>28</v>
      </c>
      <c r="M64" t="s">
        <v>91</v>
      </c>
      <c r="N64">
        <v>0</v>
      </c>
      <c r="O64">
        <v>0</v>
      </c>
    </row>
    <row r="65" spans="1:15" x14ac:dyDescent="0.3">
      <c r="A65">
        <v>160</v>
      </c>
      <c r="B65" s="34">
        <v>38138</v>
      </c>
      <c r="C65">
        <v>1.2215</v>
      </c>
      <c r="D65">
        <v>0</v>
      </c>
      <c r="F65">
        <v>4.8099999999999497E-2</v>
      </c>
      <c r="G65">
        <v>2.8282828282829802</v>
      </c>
      <c r="H65">
        <v>1</v>
      </c>
      <c r="I65">
        <v>0.56562500000000004</v>
      </c>
      <c r="J65">
        <v>2004</v>
      </c>
      <c r="K65">
        <v>5</v>
      </c>
      <c r="L65">
        <v>31</v>
      </c>
      <c r="M65" t="s">
        <v>92</v>
      </c>
      <c r="N65">
        <v>0</v>
      </c>
      <c r="O65">
        <v>0</v>
      </c>
    </row>
    <row r="66" spans="1:15" x14ac:dyDescent="0.3">
      <c r="A66">
        <v>161</v>
      </c>
      <c r="B66" s="34">
        <v>38139</v>
      </c>
      <c r="C66">
        <v>1.2192000000000001</v>
      </c>
      <c r="D66">
        <v>2</v>
      </c>
      <c r="E66" t="s">
        <v>101</v>
      </c>
      <c r="F66">
        <v>5.3299999999999403E-2</v>
      </c>
      <c r="G66">
        <v>0</v>
      </c>
      <c r="H66">
        <v>1</v>
      </c>
      <c r="I66">
        <v>0.56832300000000002</v>
      </c>
      <c r="J66">
        <v>2004</v>
      </c>
      <c r="K66">
        <v>6</v>
      </c>
      <c r="L66">
        <v>1</v>
      </c>
      <c r="M66" t="s">
        <v>93</v>
      </c>
      <c r="N66">
        <v>0</v>
      </c>
      <c r="O66">
        <v>0</v>
      </c>
    </row>
    <row r="67" spans="1:15" x14ac:dyDescent="0.3">
      <c r="A67">
        <v>162</v>
      </c>
      <c r="B67" s="34">
        <v>38140</v>
      </c>
      <c r="C67">
        <v>1.2243999999999999</v>
      </c>
      <c r="D67">
        <v>-5</v>
      </c>
      <c r="F67">
        <v>5.6799999999999198E-2</v>
      </c>
      <c r="G67">
        <v>0</v>
      </c>
      <c r="H67">
        <v>0.5</v>
      </c>
      <c r="I67">
        <v>0.56790130000000005</v>
      </c>
      <c r="J67">
        <v>2004</v>
      </c>
      <c r="K67">
        <v>6</v>
      </c>
      <c r="L67">
        <v>2</v>
      </c>
      <c r="M67" t="s">
        <v>89</v>
      </c>
      <c r="N67">
        <v>0</v>
      </c>
      <c r="O67">
        <v>0</v>
      </c>
    </row>
    <row r="68" spans="1:15" x14ac:dyDescent="0.3">
      <c r="A68">
        <v>163</v>
      </c>
      <c r="B68" s="34">
        <v>38141</v>
      </c>
      <c r="C68">
        <v>1.2209000000000001</v>
      </c>
      <c r="D68">
        <v>0</v>
      </c>
      <c r="F68">
        <v>5.6799999999999198E-2</v>
      </c>
      <c r="G68">
        <v>0</v>
      </c>
      <c r="H68">
        <v>1</v>
      </c>
      <c r="I68">
        <v>0.57055219999999995</v>
      </c>
      <c r="J68">
        <v>2004</v>
      </c>
      <c r="K68">
        <v>6</v>
      </c>
      <c r="L68">
        <v>3</v>
      </c>
      <c r="M68" t="s">
        <v>90</v>
      </c>
      <c r="N68">
        <v>0</v>
      </c>
      <c r="O68">
        <v>0</v>
      </c>
    </row>
    <row r="69" spans="1:15" x14ac:dyDescent="0.3">
      <c r="A69">
        <v>164</v>
      </c>
      <c r="B69" s="34">
        <v>38142</v>
      </c>
      <c r="C69">
        <v>1.2218</v>
      </c>
      <c r="D69">
        <v>-4</v>
      </c>
      <c r="F69">
        <v>4.9999999999999302E-2</v>
      </c>
      <c r="G69">
        <v>11.9718309859154</v>
      </c>
      <c r="H69">
        <v>1</v>
      </c>
      <c r="I69">
        <v>0.57317070000000003</v>
      </c>
      <c r="J69">
        <v>2004</v>
      </c>
      <c r="K69">
        <v>6</v>
      </c>
      <c r="L69">
        <v>4</v>
      </c>
      <c r="M69" t="s">
        <v>91</v>
      </c>
      <c r="N69">
        <v>0</v>
      </c>
      <c r="O69">
        <v>0</v>
      </c>
    </row>
    <row r="70" spans="1:15" x14ac:dyDescent="0.3">
      <c r="A70">
        <v>165</v>
      </c>
      <c r="B70" s="34">
        <v>38145</v>
      </c>
      <c r="C70">
        <v>1.2285999999999999</v>
      </c>
      <c r="D70">
        <v>-7</v>
      </c>
      <c r="F70">
        <v>4.6499999999999299E-2</v>
      </c>
      <c r="G70">
        <v>18.1338028169015</v>
      </c>
      <c r="H70">
        <v>0</v>
      </c>
      <c r="I70">
        <v>0.56969700000000001</v>
      </c>
      <c r="J70">
        <v>2004</v>
      </c>
      <c r="K70">
        <v>6</v>
      </c>
      <c r="L70">
        <v>7</v>
      </c>
      <c r="M70" t="s">
        <v>92</v>
      </c>
      <c r="N70">
        <v>0</v>
      </c>
      <c r="O70">
        <v>0</v>
      </c>
    </row>
    <row r="71" spans="1:15" x14ac:dyDescent="0.3">
      <c r="A71">
        <v>166</v>
      </c>
      <c r="B71" s="34">
        <v>38146</v>
      </c>
      <c r="C71">
        <v>1.2321</v>
      </c>
      <c r="D71">
        <v>0</v>
      </c>
      <c r="F71">
        <v>4.6499999999999299E-2</v>
      </c>
      <c r="G71">
        <v>18.1338028169015</v>
      </c>
      <c r="H71">
        <v>0</v>
      </c>
      <c r="I71">
        <v>0.56626500000000002</v>
      </c>
      <c r="J71">
        <v>2004</v>
      </c>
      <c r="K71">
        <v>6</v>
      </c>
      <c r="L71">
        <v>8</v>
      </c>
      <c r="M71" t="s">
        <v>93</v>
      </c>
      <c r="N71">
        <v>0</v>
      </c>
      <c r="O71">
        <v>0</v>
      </c>
    </row>
    <row r="72" spans="1:15" x14ac:dyDescent="0.3">
      <c r="A72">
        <v>167</v>
      </c>
      <c r="B72" s="34">
        <v>38147</v>
      </c>
      <c r="C72">
        <v>1.2259</v>
      </c>
      <c r="D72">
        <v>0</v>
      </c>
      <c r="F72">
        <v>4.6499999999999299E-2</v>
      </c>
      <c r="G72">
        <v>18.1338028169015</v>
      </c>
      <c r="H72">
        <v>1</v>
      </c>
      <c r="I72">
        <v>0.56886230000000004</v>
      </c>
      <c r="J72">
        <v>2004</v>
      </c>
      <c r="K72">
        <v>6</v>
      </c>
      <c r="L72">
        <v>9</v>
      </c>
      <c r="M72" t="s">
        <v>89</v>
      </c>
      <c r="N72">
        <v>0</v>
      </c>
      <c r="O72">
        <v>0</v>
      </c>
    </row>
    <row r="73" spans="1:15" x14ac:dyDescent="0.3">
      <c r="A73">
        <v>168</v>
      </c>
      <c r="B73" s="34">
        <v>38148</v>
      </c>
      <c r="C73">
        <v>1.2028000000000001</v>
      </c>
      <c r="D73">
        <v>1</v>
      </c>
      <c r="E73" t="s">
        <v>102</v>
      </c>
      <c r="F73">
        <v>5.5099999999999198E-2</v>
      </c>
      <c r="G73">
        <v>2.9929577464789698</v>
      </c>
      <c r="H73">
        <v>1</v>
      </c>
      <c r="I73">
        <v>0.57142859999999995</v>
      </c>
      <c r="J73">
        <v>2004</v>
      </c>
      <c r="K73">
        <v>6</v>
      </c>
      <c r="L73">
        <v>10</v>
      </c>
      <c r="M73" t="s">
        <v>90</v>
      </c>
      <c r="N73">
        <v>0</v>
      </c>
      <c r="O73">
        <v>0</v>
      </c>
    </row>
    <row r="74" spans="1:15" x14ac:dyDescent="0.3">
      <c r="A74">
        <v>169</v>
      </c>
      <c r="B74" s="34">
        <v>38149</v>
      </c>
      <c r="C74">
        <v>1.2114</v>
      </c>
      <c r="D74">
        <v>0</v>
      </c>
      <c r="F74">
        <v>5.5099999999999198E-2</v>
      </c>
      <c r="G74">
        <v>2.9929577464789698</v>
      </c>
      <c r="H74">
        <v>1</v>
      </c>
      <c r="I74">
        <v>0.57396449999999999</v>
      </c>
      <c r="J74">
        <v>2004</v>
      </c>
      <c r="K74">
        <v>6</v>
      </c>
      <c r="L74">
        <v>11</v>
      </c>
      <c r="M74" t="s">
        <v>91</v>
      </c>
      <c r="N74">
        <v>0</v>
      </c>
      <c r="O74">
        <v>0</v>
      </c>
    </row>
    <row r="75" spans="1:15" x14ac:dyDescent="0.3">
      <c r="A75">
        <v>170</v>
      </c>
      <c r="B75" s="34">
        <v>38152</v>
      </c>
      <c r="C75">
        <v>1.2009000000000001</v>
      </c>
      <c r="D75">
        <v>0</v>
      </c>
      <c r="F75">
        <v>5.5099999999999198E-2</v>
      </c>
      <c r="G75">
        <v>2.9929577464789698</v>
      </c>
      <c r="H75">
        <v>0</v>
      </c>
      <c r="I75">
        <v>0.57058819999999999</v>
      </c>
      <c r="J75">
        <v>2004</v>
      </c>
      <c r="K75">
        <v>6</v>
      </c>
      <c r="L75">
        <v>14</v>
      </c>
      <c r="M75" t="s">
        <v>92</v>
      </c>
      <c r="N75">
        <v>0</v>
      </c>
      <c r="O75">
        <v>0</v>
      </c>
    </row>
    <row r="76" spans="1:15" x14ac:dyDescent="0.3">
      <c r="A76">
        <v>171</v>
      </c>
      <c r="B76" s="34">
        <v>38153</v>
      </c>
      <c r="C76">
        <v>1.2056</v>
      </c>
      <c r="D76">
        <v>0</v>
      </c>
      <c r="F76">
        <v>5.5099999999999198E-2</v>
      </c>
      <c r="G76">
        <v>2.9929577464789698</v>
      </c>
      <c r="H76">
        <v>1</v>
      </c>
      <c r="I76">
        <v>0.57309940000000004</v>
      </c>
      <c r="J76">
        <v>2004</v>
      </c>
      <c r="K76">
        <v>6</v>
      </c>
      <c r="L76">
        <v>15</v>
      </c>
      <c r="M76" t="s">
        <v>93</v>
      </c>
      <c r="N76">
        <v>0</v>
      </c>
      <c r="O76">
        <v>0</v>
      </c>
    </row>
    <row r="77" spans="1:15" x14ac:dyDescent="0.3">
      <c r="A77">
        <v>172</v>
      </c>
      <c r="B77" s="34">
        <v>38154</v>
      </c>
      <c r="C77">
        <v>1.2161999999999999</v>
      </c>
      <c r="D77">
        <v>-4</v>
      </c>
      <c r="F77">
        <v>7.0599999999999094E-2</v>
      </c>
      <c r="G77">
        <v>0</v>
      </c>
      <c r="H77">
        <v>1</v>
      </c>
      <c r="I77">
        <v>0.57558140000000002</v>
      </c>
      <c r="J77">
        <v>2004</v>
      </c>
      <c r="K77">
        <v>6</v>
      </c>
      <c r="L77">
        <v>16</v>
      </c>
      <c r="M77" t="s">
        <v>89</v>
      </c>
      <c r="N77">
        <v>0</v>
      </c>
      <c r="O77">
        <v>0</v>
      </c>
    </row>
    <row r="78" spans="1:15" x14ac:dyDescent="0.3">
      <c r="A78">
        <v>173</v>
      </c>
      <c r="B78" s="34">
        <v>38155</v>
      </c>
      <c r="C78">
        <v>1.2007000000000001</v>
      </c>
      <c r="D78">
        <v>1</v>
      </c>
      <c r="E78" t="s">
        <v>103</v>
      </c>
      <c r="F78">
        <v>7.44999999999989E-2</v>
      </c>
      <c r="G78">
        <v>0</v>
      </c>
      <c r="H78">
        <v>1</v>
      </c>
      <c r="I78">
        <v>0.57803470000000001</v>
      </c>
      <c r="J78">
        <v>2004</v>
      </c>
      <c r="K78">
        <v>6</v>
      </c>
      <c r="L78">
        <v>17</v>
      </c>
      <c r="M78" t="s">
        <v>90</v>
      </c>
      <c r="N78">
        <v>0</v>
      </c>
      <c r="O78">
        <v>0</v>
      </c>
    </row>
    <row r="79" spans="1:15" x14ac:dyDescent="0.3">
      <c r="A79">
        <v>174</v>
      </c>
      <c r="B79" s="34">
        <v>38156</v>
      </c>
      <c r="C79">
        <v>1.2045999999999999</v>
      </c>
      <c r="D79">
        <v>0</v>
      </c>
      <c r="F79">
        <v>7.44999999999989E-2</v>
      </c>
      <c r="G79">
        <v>0</v>
      </c>
      <c r="H79">
        <v>1</v>
      </c>
      <c r="I79">
        <v>0.58045979999999997</v>
      </c>
      <c r="J79">
        <v>2004</v>
      </c>
      <c r="K79">
        <v>6</v>
      </c>
      <c r="L79">
        <v>18</v>
      </c>
      <c r="M79" t="s">
        <v>91</v>
      </c>
      <c r="N79">
        <v>0</v>
      </c>
      <c r="O79">
        <v>0</v>
      </c>
    </row>
    <row r="80" spans="1:15" x14ac:dyDescent="0.3">
      <c r="A80">
        <v>175</v>
      </c>
      <c r="B80" s="34">
        <v>38159</v>
      </c>
      <c r="C80">
        <v>1.2141999999999999</v>
      </c>
      <c r="D80">
        <v>0</v>
      </c>
      <c r="F80">
        <v>7.44999999999989E-2</v>
      </c>
      <c r="G80">
        <v>0</v>
      </c>
      <c r="H80">
        <v>1</v>
      </c>
      <c r="I80">
        <v>0.58285710000000002</v>
      </c>
      <c r="J80">
        <v>2004</v>
      </c>
      <c r="K80">
        <v>6</v>
      </c>
      <c r="L80">
        <v>21</v>
      </c>
      <c r="M80" t="s">
        <v>92</v>
      </c>
      <c r="N80">
        <v>0</v>
      </c>
      <c r="O80">
        <v>0</v>
      </c>
    </row>
    <row r="81" spans="1:15" x14ac:dyDescent="0.3">
      <c r="A81">
        <v>176</v>
      </c>
      <c r="B81" s="34">
        <v>38160</v>
      </c>
      <c r="C81">
        <v>1.2112000000000001</v>
      </c>
      <c r="D81">
        <v>2</v>
      </c>
      <c r="E81" t="s">
        <v>104</v>
      </c>
      <c r="F81">
        <v>7.5299999999998798E-2</v>
      </c>
      <c r="G81">
        <v>0</v>
      </c>
      <c r="H81">
        <v>1</v>
      </c>
      <c r="I81">
        <v>0.58522730000000001</v>
      </c>
      <c r="J81">
        <v>2004</v>
      </c>
      <c r="K81">
        <v>6</v>
      </c>
      <c r="L81">
        <v>22</v>
      </c>
      <c r="M81" t="s">
        <v>93</v>
      </c>
      <c r="N81">
        <v>0</v>
      </c>
      <c r="O81">
        <v>0</v>
      </c>
    </row>
    <row r="82" spans="1:15" x14ac:dyDescent="0.3">
      <c r="A82">
        <v>177</v>
      </c>
      <c r="B82" s="34">
        <v>38161</v>
      </c>
      <c r="C82">
        <v>1.212</v>
      </c>
      <c r="D82">
        <v>-3</v>
      </c>
      <c r="F82">
        <v>7.8299999999998704E-2</v>
      </c>
      <c r="G82">
        <v>0</v>
      </c>
      <c r="H82">
        <v>0</v>
      </c>
      <c r="I82">
        <v>0.58192089999999996</v>
      </c>
      <c r="J82">
        <v>2004</v>
      </c>
      <c r="K82">
        <v>6</v>
      </c>
      <c r="L82">
        <v>23</v>
      </c>
      <c r="M82" t="s">
        <v>89</v>
      </c>
      <c r="N82">
        <v>0</v>
      </c>
      <c r="O82">
        <v>0</v>
      </c>
    </row>
    <row r="83" spans="1:15" x14ac:dyDescent="0.3">
      <c r="A83">
        <v>178</v>
      </c>
      <c r="B83" s="34">
        <v>38162</v>
      </c>
      <c r="C83">
        <v>1.2090000000000001</v>
      </c>
      <c r="D83">
        <v>3</v>
      </c>
      <c r="E83" t="s">
        <v>105</v>
      </c>
      <c r="F83">
        <v>8.7799999999998504E-2</v>
      </c>
      <c r="G83">
        <v>0</v>
      </c>
      <c r="H83">
        <v>1</v>
      </c>
      <c r="I83">
        <v>0.58426959999999994</v>
      </c>
      <c r="J83">
        <v>2004</v>
      </c>
      <c r="K83">
        <v>6</v>
      </c>
      <c r="L83">
        <v>24</v>
      </c>
      <c r="M83" t="s">
        <v>90</v>
      </c>
      <c r="N83">
        <v>0</v>
      </c>
      <c r="O83">
        <v>0</v>
      </c>
    </row>
    <row r="84" spans="1:15" x14ac:dyDescent="0.3">
      <c r="A84">
        <v>179</v>
      </c>
      <c r="B84" s="34">
        <v>38163</v>
      </c>
      <c r="C84">
        <v>1.2184999999999999</v>
      </c>
      <c r="D84">
        <v>-1</v>
      </c>
      <c r="F84">
        <v>8.8199999999998502E-2</v>
      </c>
      <c r="G84">
        <v>0</v>
      </c>
      <c r="H84">
        <v>1</v>
      </c>
      <c r="I84">
        <v>0.58659220000000001</v>
      </c>
      <c r="J84">
        <v>2004</v>
      </c>
      <c r="K84">
        <v>6</v>
      </c>
      <c r="L84">
        <v>25</v>
      </c>
      <c r="M84" t="s">
        <v>91</v>
      </c>
      <c r="N84">
        <v>0</v>
      </c>
      <c r="O84">
        <v>0</v>
      </c>
    </row>
    <row r="85" spans="1:15" x14ac:dyDescent="0.3">
      <c r="A85">
        <v>180</v>
      </c>
      <c r="B85" s="34">
        <v>38166</v>
      </c>
      <c r="C85">
        <v>1.2181</v>
      </c>
      <c r="D85">
        <v>0</v>
      </c>
      <c r="F85">
        <v>8.8199999999998502E-2</v>
      </c>
      <c r="G85">
        <v>0</v>
      </c>
      <c r="H85">
        <v>1</v>
      </c>
      <c r="I85">
        <v>0.58888890000000005</v>
      </c>
      <c r="J85">
        <v>2004</v>
      </c>
      <c r="K85">
        <v>6</v>
      </c>
      <c r="L85">
        <v>28</v>
      </c>
      <c r="M85" t="s">
        <v>92</v>
      </c>
      <c r="N85">
        <v>0</v>
      </c>
      <c r="O85">
        <v>0</v>
      </c>
    </row>
    <row r="86" spans="1:15" x14ac:dyDescent="0.3">
      <c r="A86">
        <v>181</v>
      </c>
      <c r="B86" s="34">
        <v>38167</v>
      </c>
      <c r="C86">
        <v>1.2183999999999999</v>
      </c>
      <c r="D86">
        <v>0</v>
      </c>
      <c r="F86">
        <v>8.8199999999998502E-2</v>
      </c>
      <c r="G86">
        <v>0</v>
      </c>
      <c r="H86">
        <v>0</v>
      </c>
      <c r="I86">
        <v>0.58563540000000003</v>
      </c>
      <c r="J86">
        <v>2004</v>
      </c>
      <c r="K86">
        <v>6</v>
      </c>
      <c r="L86">
        <v>29</v>
      </c>
      <c r="M86" t="s">
        <v>93</v>
      </c>
      <c r="N86">
        <v>0</v>
      </c>
      <c r="O86">
        <v>0</v>
      </c>
    </row>
    <row r="87" spans="1:15" x14ac:dyDescent="0.3">
      <c r="A87">
        <v>182</v>
      </c>
      <c r="B87" s="34">
        <v>38168</v>
      </c>
      <c r="C87">
        <v>1.2081</v>
      </c>
      <c r="D87">
        <v>18</v>
      </c>
      <c r="E87" t="s">
        <v>106</v>
      </c>
      <c r="F87">
        <v>9.86999999999984E-2</v>
      </c>
      <c r="G87">
        <v>0</v>
      </c>
      <c r="H87">
        <v>0.5</v>
      </c>
      <c r="I87">
        <v>0.58516480000000004</v>
      </c>
      <c r="J87">
        <v>2004</v>
      </c>
      <c r="K87">
        <v>6</v>
      </c>
      <c r="L87">
        <v>30</v>
      </c>
      <c r="M87" t="s">
        <v>89</v>
      </c>
      <c r="N87">
        <v>0</v>
      </c>
      <c r="O87">
        <v>0</v>
      </c>
    </row>
    <row r="88" spans="1:15" x14ac:dyDescent="0.3">
      <c r="A88">
        <v>183</v>
      </c>
      <c r="B88" s="34">
        <v>38169</v>
      </c>
      <c r="C88">
        <v>1.2185999999999999</v>
      </c>
      <c r="D88">
        <v>0</v>
      </c>
      <c r="F88">
        <v>9.86999999999984E-2</v>
      </c>
      <c r="G88">
        <v>0</v>
      </c>
      <c r="H88">
        <v>1</v>
      </c>
      <c r="I88">
        <v>0.5874317</v>
      </c>
      <c r="J88">
        <v>2004</v>
      </c>
      <c r="K88">
        <v>7</v>
      </c>
      <c r="L88">
        <v>1</v>
      </c>
      <c r="M88" t="s">
        <v>90</v>
      </c>
      <c r="N88">
        <v>0</v>
      </c>
      <c r="O88">
        <v>0</v>
      </c>
    </row>
    <row r="89" spans="1:15" x14ac:dyDescent="0.3">
      <c r="A89">
        <v>184</v>
      </c>
      <c r="B89" s="34">
        <v>38170</v>
      </c>
      <c r="C89">
        <v>1.2159</v>
      </c>
      <c r="D89">
        <v>0</v>
      </c>
      <c r="F89">
        <v>9.86999999999984E-2</v>
      </c>
      <c r="G89">
        <v>0</v>
      </c>
      <c r="H89">
        <v>1</v>
      </c>
      <c r="I89">
        <v>0.58967389999999997</v>
      </c>
      <c r="J89">
        <v>2004</v>
      </c>
      <c r="K89">
        <v>7</v>
      </c>
      <c r="L89">
        <v>2</v>
      </c>
      <c r="M89" t="s">
        <v>91</v>
      </c>
      <c r="N89">
        <v>0</v>
      </c>
      <c r="O89">
        <v>0</v>
      </c>
    </row>
    <row r="90" spans="1:15" x14ac:dyDescent="0.3">
      <c r="A90">
        <v>185</v>
      </c>
      <c r="B90" s="34">
        <v>38173</v>
      </c>
      <c r="C90">
        <v>1.2321</v>
      </c>
      <c r="D90">
        <v>-2</v>
      </c>
      <c r="F90">
        <v>0.102299999999998</v>
      </c>
      <c r="G90">
        <v>0</v>
      </c>
      <c r="H90">
        <v>1</v>
      </c>
      <c r="I90">
        <v>0.59189190000000003</v>
      </c>
      <c r="J90">
        <v>2004</v>
      </c>
      <c r="K90">
        <v>7</v>
      </c>
      <c r="L90">
        <v>5</v>
      </c>
      <c r="M90" t="s">
        <v>92</v>
      </c>
      <c r="N90">
        <v>0</v>
      </c>
      <c r="O90">
        <v>0</v>
      </c>
    </row>
    <row r="91" spans="1:15" x14ac:dyDescent="0.3">
      <c r="A91">
        <v>186</v>
      </c>
      <c r="B91" s="34">
        <v>38174</v>
      </c>
      <c r="C91">
        <v>1.2284999999999999</v>
      </c>
      <c r="D91">
        <v>0</v>
      </c>
      <c r="F91">
        <v>0.102299999999998</v>
      </c>
      <c r="G91">
        <v>0</v>
      </c>
      <c r="H91">
        <v>1</v>
      </c>
      <c r="I91">
        <v>0.59408609999999995</v>
      </c>
      <c r="J91">
        <v>2004</v>
      </c>
      <c r="K91">
        <v>7</v>
      </c>
      <c r="L91">
        <v>6</v>
      </c>
      <c r="M91" t="s">
        <v>93</v>
      </c>
      <c r="N91">
        <v>0</v>
      </c>
      <c r="O91">
        <v>0</v>
      </c>
    </row>
    <row r="92" spans="1:15" x14ac:dyDescent="0.3">
      <c r="A92">
        <v>187</v>
      </c>
      <c r="B92" s="34">
        <v>38175</v>
      </c>
      <c r="C92">
        <v>1.2292000000000001</v>
      </c>
      <c r="D92">
        <v>0</v>
      </c>
      <c r="F92">
        <v>0.102299999999998</v>
      </c>
      <c r="G92">
        <v>0</v>
      </c>
      <c r="H92">
        <v>0</v>
      </c>
      <c r="I92">
        <v>0.59090909999999996</v>
      </c>
      <c r="J92">
        <v>2004</v>
      </c>
      <c r="K92">
        <v>7</v>
      </c>
      <c r="L92">
        <v>7</v>
      </c>
      <c r="M92" t="s">
        <v>89</v>
      </c>
      <c r="N92">
        <v>0</v>
      </c>
      <c r="O92">
        <v>0</v>
      </c>
    </row>
    <row r="93" spans="1:15" x14ac:dyDescent="0.3">
      <c r="A93">
        <v>188</v>
      </c>
      <c r="B93" s="34">
        <v>38176</v>
      </c>
      <c r="C93">
        <v>1.2369000000000001</v>
      </c>
      <c r="D93">
        <v>-2</v>
      </c>
      <c r="F93">
        <v>9.9699999999998498E-2</v>
      </c>
      <c r="G93">
        <v>2.54154447702832</v>
      </c>
      <c r="H93">
        <v>0</v>
      </c>
      <c r="I93">
        <v>0.58776589999999995</v>
      </c>
      <c r="J93">
        <v>2004</v>
      </c>
      <c r="K93">
        <v>7</v>
      </c>
      <c r="L93">
        <v>8</v>
      </c>
      <c r="M93" t="s">
        <v>90</v>
      </c>
      <c r="N93">
        <v>0</v>
      </c>
      <c r="O93">
        <v>0</v>
      </c>
    </row>
    <row r="94" spans="1:15" x14ac:dyDescent="0.3">
      <c r="A94">
        <v>189</v>
      </c>
      <c r="B94" s="34">
        <v>38177</v>
      </c>
      <c r="C94">
        <v>1.2395</v>
      </c>
      <c r="D94">
        <v>0</v>
      </c>
      <c r="F94">
        <v>9.9699999999998498E-2</v>
      </c>
      <c r="G94">
        <v>2.54154447702832</v>
      </c>
      <c r="H94">
        <v>0</v>
      </c>
      <c r="I94">
        <v>0.58465610000000001</v>
      </c>
      <c r="J94">
        <v>2004</v>
      </c>
      <c r="K94">
        <v>7</v>
      </c>
      <c r="L94">
        <v>9</v>
      </c>
      <c r="M94" t="s">
        <v>91</v>
      </c>
      <c r="N94">
        <v>0</v>
      </c>
      <c r="O94">
        <v>0</v>
      </c>
    </row>
    <row r="95" spans="1:15" x14ac:dyDescent="0.3">
      <c r="A95">
        <v>190</v>
      </c>
      <c r="B95" s="34">
        <v>38180</v>
      </c>
      <c r="C95">
        <v>1.2418</v>
      </c>
      <c r="D95">
        <v>0</v>
      </c>
      <c r="F95">
        <v>9.9699999999998498E-2</v>
      </c>
      <c r="G95">
        <v>2.54154447702832</v>
      </c>
      <c r="H95">
        <v>0</v>
      </c>
      <c r="I95">
        <v>0.58157899999999996</v>
      </c>
      <c r="J95">
        <v>2004</v>
      </c>
      <c r="K95">
        <v>7</v>
      </c>
      <c r="L95">
        <v>12</v>
      </c>
      <c r="M95" t="s">
        <v>92</v>
      </c>
      <c r="N95">
        <v>0</v>
      </c>
      <c r="O95">
        <v>0</v>
      </c>
    </row>
    <row r="96" spans="1:15" x14ac:dyDescent="0.3">
      <c r="A96">
        <v>191</v>
      </c>
      <c r="B96" s="34">
        <v>38181</v>
      </c>
      <c r="C96">
        <v>1.2410000000000001</v>
      </c>
      <c r="D96">
        <v>-4</v>
      </c>
      <c r="F96">
        <v>0.107099999999998</v>
      </c>
      <c r="G96">
        <v>0</v>
      </c>
      <c r="H96">
        <v>1</v>
      </c>
      <c r="I96">
        <v>0.5837696</v>
      </c>
      <c r="J96">
        <v>2004</v>
      </c>
      <c r="K96">
        <v>7</v>
      </c>
      <c r="L96">
        <v>13</v>
      </c>
      <c r="M96" t="s">
        <v>93</v>
      </c>
      <c r="N96">
        <v>0</v>
      </c>
      <c r="O96">
        <v>0</v>
      </c>
    </row>
    <row r="97" spans="1:15" x14ac:dyDescent="0.3">
      <c r="A97">
        <v>192</v>
      </c>
      <c r="B97" s="34">
        <v>38182</v>
      </c>
      <c r="C97">
        <v>1.2336</v>
      </c>
      <c r="D97">
        <v>3</v>
      </c>
      <c r="E97" t="s">
        <v>107</v>
      </c>
      <c r="F97">
        <v>0.112199999999998</v>
      </c>
      <c r="G97">
        <v>0</v>
      </c>
      <c r="H97">
        <v>1</v>
      </c>
      <c r="I97">
        <v>0.5859375</v>
      </c>
      <c r="J97">
        <v>2004</v>
      </c>
      <c r="K97">
        <v>7</v>
      </c>
      <c r="L97">
        <v>14</v>
      </c>
      <c r="M97" t="s">
        <v>89</v>
      </c>
      <c r="N97">
        <v>0</v>
      </c>
      <c r="O97">
        <v>0</v>
      </c>
    </row>
    <row r="98" spans="1:15" x14ac:dyDescent="0.3">
      <c r="A98">
        <v>193</v>
      </c>
      <c r="B98" s="34">
        <v>38183</v>
      </c>
      <c r="C98">
        <v>1.2386999999999999</v>
      </c>
      <c r="D98">
        <v>0</v>
      </c>
      <c r="F98">
        <v>0.112199999999998</v>
      </c>
      <c r="G98">
        <v>0</v>
      </c>
      <c r="H98">
        <v>1</v>
      </c>
      <c r="I98">
        <v>0.58808289999999996</v>
      </c>
      <c r="J98">
        <v>2004</v>
      </c>
      <c r="K98">
        <v>7</v>
      </c>
      <c r="L98">
        <v>15</v>
      </c>
      <c r="M98" t="s">
        <v>90</v>
      </c>
      <c r="N98">
        <v>0</v>
      </c>
      <c r="O98">
        <v>0</v>
      </c>
    </row>
    <row r="99" spans="1:15" x14ac:dyDescent="0.3">
      <c r="A99">
        <v>194</v>
      </c>
      <c r="B99" s="34">
        <v>38184</v>
      </c>
      <c r="C99">
        <v>1.2356</v>
      </c>
      <c r="D99">
        <v>1</v>
      </c>
      <c r="E99" t="s">
        <v>108</v>
      </c>
      <c r="F99">
        <v>0.121999999999998</v>
      </c>
      <c r="G99">
        <v>0</v>
      </c>
      <c r="H99">
        <v>1</v>
      </c>
      <c r="I99">
        <v>0.59020620000000001</v>
      </c>
      <c r="J99">
        <v>2004</v>
      </c>
      <c r="K99">
        <v>7</v>
      </c>
      <c r="L99">
        <v>16</v>
      </c>
      <c r="M99" t="s">
        <v>91</v>
      </c>
      <c r="N99">
        <v>0</v>
      </c>
      <c r="O99">
        <v>0</v>
      </c>
    </row>
    <row r="100" spans="1:15" x14ac:dyDescent="0.3">
      <c r="A100">
        <v>195</v>
      </c>
      <c r="B100" s="34">
        <v>38187</v>
      </c>
      <c r="C100">
        <v>1.2454000000000001</v>
      </c>
      <c r="D100">
        <v>0</v>
      </c>
      <c r="F100">
        <v>0.121999999999998</v>
      </c>
      <c r="G100">
        <v>0</v>
      </c>
      <c r="H100">
        <v>1</v>
      </c>
      <c r="I100">
        <v>0.59230769999999999</v>
      </c>
      <c r="J100">
        <v>2004</v>
      </c>
      <c r="K100">
        <v>7</v>
      </c>
      <c r="L100">
        <v>19</v>
      </c>
      <c r="M100" t="s">
        <v>92</v>
      </c>
      <c r="N100">
        <v>0</v>
      </c>
      <c r="O100">
        <v>0</v>
      </c>
    </row>
    <row r="101" spans="1:15" x14ac:dyDescent="0.3">
      <c r="A101">
        <v>196</v>
      </c>
      <c r="B101" s="34">
        <v>38188</v>
      </c>
      <c r="C101">
        <v>1.2445999999999999</v>
      </c>
      <c r="D101">
        <v>0</v>
      </c>
      <c r="F101">
        <v>0.121999999999998</v>
      </c>
      <c r="G101">
        <v>0</v>
      </c>
      <c r="H101">
        <v>1</v>
      </c>
      <c r="I101">
        <v>0.59438780000000002</v>
      </c>
      <c r="J101">
        <v>2004</v>
      </c>
      <c r="K101">
        <v>7</v>
      </c>
      <c r="L101">
        <v>20</v>
      </c>
      <c r="M101" t="s">
        <v>93</v>
      </c>
      <c r="N101">
        <v>0</v>
      </c>
      <c r="O101">
        <v>0</v>
      </c>
    </row>
    <row r="102" spans="1:15" x14ac:dyDescent="0.3">
      <c r="A102">
        <v>197</v>
      </c>
      <c r="B102" s="34">
        <v>38189</v>
      </c>
      <c r="C102">
        <v>1.2331000000000001</v>
      </c>
      <c r="D102">
        <v>1</v>
      </c>
      <c r="E102" t="s">
        <v>109</v>
      </c>
      <c r="F102">
        <v>0.116799999999998</v>
      </c>
      <c r="G102">
        <v>4.2622950819673404</v>
      </c>
      <c r="H102">
        <v>1</v>
      </c>
      <c r="I102">
        <v>0.5964467</v>
      </c>
      <c r="J102">
        <v>2004</v>
      </c>
      <c r="K102">
        <v>7</v>
      </c>
      <c r="L102">
        <v>21</v>
      </c>
      <c r="M102" t="s">
        <v>89</v>
      </c>
      <c r="N102">
        <v>0</v>
      </c>
      <c r="O102">
        <v>0</v>
      </c>
    </row>
    <row r="103" spans="1:15" x14ac:dyDescent="0.3">
      <c r="A103">
        <v>198</v>
      </c>
      <c r="B103" s="34">
        <v>38190</v>
      </c>
      <c r="C103">
        <v>1.2279</v>
      </c>
      <c r="D103">
        <v>0</v>
      </c>
      <c r="F103">
        <v>0.116799999999998</v>
      </c>
      <c r="G103">
        <v>4.2622950819673404</v>
      </c>
      <c r="H103">
        <v>0</v>
      </c>
      <c r="I103">
        <v>0.59343429999999997</v>
      </c>
      <c r="J103">
        <v>2004</v>
      </c>
      <c r="K103">
        <v>7</v>
      </c>
      <c r="L103">
        <v>22</v>
      </c>
      <c r="M103" t="s">
        <v>90</v>
      </c>
      <c r="N103">
        <v>0</v>
      </c>
      <c r="O103">
        <v>0</v>
      </c>
    </row>
    <row r="104" spans="1:15" x14ac:dyDescent="0.3">
      <c r="A104">
        <v>199</v>
      </c>
      <c r="B104" s="34">
        <v>38191</v>
      </c>
      <c r="C104">
        <v>1.2256</v>
      </c>
      <c r="D104">
        <v>0</v>
      </c>
      <c r="F104">
        <v>0.116799999999998</v>
      </c>
      <c r="G104">
        <v>4.2622950819673404</v>
      </c>
      <c r="H104">
        <v>0</v>
      </c>
      <c r="I104">
        <v>0.59045230000000004</v>
      </c>
      <c r="J104">
        <v>2004</v>
      </c>
      <c r="K104">
        <v>7</v>
      </c>
      <c r="L104">
        <v>23</v>
      </c>
      <c r="M104" t="s">
        <v>91</v>
      </c>
      <c r="N104">
        <v>0</v>
      </c>
      <c r="O104">
        <v>0</v>
      </c>
    </row>
    <row r="105" spans="1:15" x14ac:dyDescent="0.3">
      <c r="A105">
        <v>200</v>
      </c>
      <c r="B105" s="34">
        <v>38194</v>
      </c>
      <c r="C105">
        <v>1.2095</v>
      </c>
      <c r="D105">
        <v>1</v>
      </c>
      <c r="E105" t="s">
        <v>110</v>
      </c>
      <c r="F105">
        <v>0.122199999999998</v>
      </c>
      <c r="G105">
        <v>0</v>
      </c>
      <c r="H105">
        <v>0</v>
      </c>
      <c r="I105">
        <v>0.58750000000000002</v>
      </c>
      <c r="J105">
        <v>2004</v>
      </c>
      <c r="K105">
        <v>7</v>
      </c>
      <c r="L105">
        <v>26</v>
      </c>
      <c r="M105" t="s">
        <v>92</v>
      </c>
      <c r="N105">
        <v>0</v>
      </c>
      <c r="O105">
        <v>0</v>
      </c>
    </row>
    <row r="106" spans="1:15" x14ac:dyDescent="0.3">
      <c r="A106">
        <v>201</v>
      </c>
      <c r="B106" s="34">
        <v>38195</v>
      </c>
      <c r="C106">
        <v>1.2149000000000001</v>
      </c>
      <c r="D106">
        <v>0</v>
      </c>
      <c r="F106">
        <v>0.122199999999998</v>
      </c>
      <c r="G106">
        <v>0</v>
      </c>
      <c r="H106">
        <v>1</v>
      </c>
      <c r="I106">
        <v>0.58955219999999997</v>
      </c>
      <c r="J106">
        <v>2004</v>
      </c>
      <c r="K106">
        <v>7</v>
      </c>
      <c r="L106">
        <v>27</v>
      </c>
      <c r="M106" t="s">
        <v>93</v>
      </c>
      <c r="N106">
        <v>0</v>
      </c>
      <c r="O106">
        <v>0</v>
      </c>
    </row>
    <row r="107" spans="1:15" x14ac:dyDescent="0.3">
      <c r="A107">
        <v>202</v>
      </c>
      <c r="B107" s="34">
        <v>38196</v>
      </c>
      <c r="C107">
        <v>1.2058</v>
      </c>
      <c r="D107">
        <v>1</v>
      </c>
      <c r="E107" t="s">
        <v>111</v>
      </c>
      <c r="F107">
        <v>0.122199999999998</v>
      </c>
      <c r="G107">
        <v>0</v>
      </c>
      <c r="H107">
        <v>0</v>
      </c>
      <c r="I107">
        <v>0.58663370000000004</v>
      </c>
      <c r="J107">
        <v>2004</v>
      </c>
      <c r="K107">
        <v>7</v>
      </c>
      <c r="L107">
        <v>28</v>
      </c>
      <c r="M107" t="s">
        <v>89</v>
      </c>
      <c r="N107">
        <v>0</v>
      </c>
      <c r="O107">
        <v>0</v>
      </c>
    </row>
    <row r="108" spans="1:15" x14ac:dyDescent="0.3">
      <c r="A108">
        <v>203</v>
      </c>
      <c r="B108" s="34">
        <v>38197</v>
      </c>
      <c r="C108">
        <v>1.2058</v>
      </c>
      <c r="D108">
        <v>44</v>
      </c>
      <c r="E108" t="s">
        <v>112</v>
      </c>
      <c r="F108">
        <v>0.120699999999998</v>
      </c>
      <c r="G108">
        <v>1.22749590834703</v>
      </c>
      <c r="H108">
        <v>0.5</v>
      </c>
      <c r="I108">
        <v>0.58620689999999998</v>
      </c>
      <c r="J108">
        <v>2004</v>
      </c>
      <c r="K108">
        <v>7</v>
      </c>
      <c r="L108">
        <v>29</v>
      </c>
      <c r="M108" t="s">
        <v>90</v>
      </c>
      <c r="N108">
        <v>0</v>
      </c>
      <c r="O108">
        <v>0</v>
      </c>
    </row>
    <row r="109" spans="1:15" x14ac:dyDescent="0.3">
      <c r="A109">
        <v>204</v>
      </c>
      <c r="B109" s="34">
        <v>38198</v>
      </c>
      <c r="C109">
        <v>1.2042999999999999</v>
      </c>
      <c r="D109">
        <v>19</v>
      </c>
      <c r="E109" t="s">
        <v>113</v>
      </c>
      <c r="F109">
        <v>0.118299999999998</v>
      </c>
      <c r="G109">
        <v>3.1914893617021698</v>
      </c>
      <c r="H109">
        <v>0.5</v>
      </c>
      <c r="I109">
        <v>0.58578430000000004</v>
      </c>
      <c r="J109">
        <v>2004</v>
      </c>
      <c r="K109">
        <v>7</v>
      </c>
      <c r="L109">
        <v>30</v>
      </c>
      <c r="M109" t="s">
        <v>91</v>
      </c>
      <c r="N109">
        <v>0</v>
      </c>
      <c r="O109">
        <v>0</v>
      </c>
    </row>
    <row r="110" spans="1:15" x14ac:dyDescent="0.3">
      <c r="A110">
        <v>205</v>
      </c>
      <c r="B110" s="34">
        <v>38201</v>
      </c>
      <c r="C110">
        <v>1.2019</v>
      </c>
      <c r="D110">
        <v>4</v>
      </c>
      <c r="E110" t="s">
        <v>114</v>
      </c>
      <c r="F110">
        <v>0.11889999999999799</v>
      </c>
      <c r="G110">
        <v>2.70049099836343</v>
      </c>
      <c r="H110">
        <v>0</v>
      </c>
      <c r="I110">
        <v>0.58292679999999997</v>
      </c>
      <c r="J110">
        <v>2004</v>
      </c>
      <c r="K110">
        <v>8</v>
      </c>
      <c r="L110">
        <v>2</v>
      </c>
      <c r="M110" t="s">
        <v>92</v>
      </c>
      <c r="N110">
        <v>0</v>
      </c>
      <c r="O110">
        <v>0</v>
      </c>
    </row>
    <row r="111" spans="1:15" x14ac:dyDescent="0.3">
      <c r="A111">
        <v>206</v>
      </c>
      <c r="B111" s="34">
        <v>38202</v>
      </c>
      <c r="C111">
        <v>1.2024999999999999</v>
      </c>
      <c r="D111">
        <v>0</v>
      </c>
      <c r="F111">
        <v>0.11889999999999799</v>
      </c>
      <c r="G111">
        <v>2.70049099836343</v>
      </c>
      <c r="H111">
        <v>1</v>
      </c>
      <c r="I111">
        <v>0.58495149999999996</v>
      </c>
      <c r="J111">
        <v>2004</v>
      </c>
      <c r="K111">
        <v>8</v>
      </c>
      <c r="L111">
        <v>3</v>
      </c>
      <c r="M111" t="s">
        <v>93</v>
      </c>
      <c r="N111">
        <v>0</v>
      </c>
      <c r="O111">
        <v>0</v>
      </c>
    </row>
    <row r="112" spans="1:15" x14ac:dyDescent="0.3">
      <c r="A112">
        <v>207</v>
      </c>
      <c r="B112" s="34">
        <v>38203</v>
      </c>
      <c r="C112">
        <v>1.2051000000000001</v>
      </c>
      <c r="D112">
        <v>-4</v>
      </c>
      <c r="F112">
        <v>0.118999999999998</v>
      </c>
      <c r="G112">
        <v>2.6186579378069799</v>
      </c>
      <c r="H112">
        <v>1</v>
      </c>
      <c r="I112">
        <v>0.58695649999999999</v>
      </c>
      <c r="J112">
        <v>2004</v>
      </c>
      <c r="K112">
        <v>8</v>
      </c>
      <c r="L112">
        <v>4</v>
      </c>
      <c r="M112" t="s">
        <v>89</v>
      </c>
      <c r="N112">
        <v>0</v>
      </c>
      <c r="O112">
        <v>0</v>
      </c>
    </row>
    <row r="113" spans="1:15" x14ac:dyDescent="0.3">
      <c r="A113">
        <v>208</v>
      </c>
      <c r="B113" s="34">
        <v>38204</v>
      </c>
      <c r="C113">
        <v>1.2050000000000001</v>
      </c>
      <c r="D113">
        <v>-1</v>
      </c>
      <c r="F113">
        <v>0.118099999999998</v>
      </c>
      <c r="G113">
        <v>3.35515548281509</v>
      </c>
      <c r="H113">
        <v>1</v>
      </c>
      <c r="I113">
        <v>0.58894230000000003</v>
      </c>
      <c r="J113">
        <v>2004</v>
      </c>
      <c r="K113">
        <v>8</v>
      </c>
      <c r="L113">
        <v>5</v>
      </c>
      <c r="M113" t="s">
        <v>90</v>
      </c>
      <c r="N113">
        <v>0</v>
      </c>
      <c r="O113">
        <v>0</v>
      </c>
    </row>
    <row r="114" spans="1:15" x14ac:dyDescent="0.3">
      <c r="A114">
        <v>209</v>
      </c>
      <c r="B114" s="34">
        <v>38205</v>
      </c>
      <c r="C114">
        <v>1.2059</v>
      </c>
      <c r="D114">
        <v>0</v>
      </c>
      <c r="F114">
        <v>0.118099999999998</v>
      </c>
      <c r="G114">
        <v>3.35515548281509</v>
      </c>
      <c r="H114">
        <v>0</v>
      </c>
      <c r="I114">
        <v>0.58612439999999999</v>
      </c>
      <c r="J114">
        <v>2004</v>
      </c>
      <c r="K114">
        <v>8</v>
      </c>
      <c r="L114">
        <v>6</v>
      </c>
      <c r="M114" t="s">
        <v>91</v>
      </c>
      <c r="N114">
        <v>0</v>
      </c>
      <c r="O114">
        <v>0</v>
      </c>
    </row>
    <row r="115" spans="1:15" x14ac:dyDescent="0.3">
      <c r="A115">
        <v>210</v>
      </c>
      <c r="B115" s="34">
        <v>38208</v>
      </c>
      <c r="C115">
        <v>1.2282999999999999</v>
      </c>
      <c r="D115">
        <v>-1</v>
      </c>
      <c r="F115">
        <v>0.11979999999999801</v>
      </c>
      <c r="G115">
        <v>1.96399345335514</v>
      </c>
      <c r="H115">
        <v>0</v>
      </c>
      <c r="I115">
        <v>0.58333330000000005</v>
      </c>
      <c r="J115">
        <v>2004</v>
      </c>
      <c r="K115">
        <v>8</v>
      </c>
      <c r="L115">
        <v>9</v>
      </c>
      <c r="M115" t="s">
        <v>92</v>
      </c>
      <c r="N115">
        <v>0</v>
      </c>
      <c r="O115">
        <v>0</v>
      </c>
    </row>
    <row r="116" spans="1:15" x14ac:dyDescent="0.3">
      <c r="A116">
        <v>211</v>
      </c>
      <c r="B116" s="34">
        <v>38209</v>
      </c>
      <c r="C116">
        <v>1.2265999999999999</v>
      </c>
      <c r="D116">
        <v>0</v>
      </c>
      <c r="F116">
        <v>0.11979999999999801</v>
      </c>
      <c r="G116">
        <v>1.96399345335514</v>
      </c>
      <c r="H116">
        <v>1</v>
      </c>
      <c r="I116">
        <v>0.5853081</v>
      </c>
      <c r="J116">
        <v>2004</v>
      </c>
      <c r="K116">
        <v>8</v>
      </c>
      <c r="L116">
        <v>10</v>
      </c>
      <c r="M116" t="s">
        <v>93</v>
      </c>
      <c r="N116">
        <v>0</v>
      </c>
      <c r="O116">
        <v>0</v>
      </c>
    </row>
    <row r="117" spans="1:15" x14ac:dyDescent="0.3">
      <c r="A117">
        <v>212</v>
      </c>
      <c r="B117" s="34">
        <v>38210</v>
      </c>
      <c r="C117">
        <v>1.2228000000000001</v>
      </c>
      <c r="D117">
        <v>2</v>
      </c>
      <c r="E117" t="s">
        <v>115</v>
      </c>
      <c r="F117">
        <v>0.119499999999998</v>
      </c>
      <c r="G117">
        <v>2.2094926350246902</v>
      </c>
      <c r="H117">
        <v>1</v>
      </c>
      <c r="I117">
        <v>0.58726420000000001</v>
      </c>
      <c r="J117">
        <v>2004</v>
      </c>
      <c r="K117">
        <v>8</v>
      </c>
      <c r="L117">
        <v>11</v>
      </c>
      <c r="M117" t="s">
        <v>89</v>
      </c>
      <c r="N117">
        <v>0</v>
      </c>
      <c r="O117">
        <v>0</v>
      </c>
    </row>
    <row r="118" spans="1:15" x14ac:dyDescent="0.3">
      <c r="A118">
        <v>213</v>
      </c>
      <c r="B118" s="34">
        <v>38211</v>
      </c>
      <c r="C118">
        <v>1.2224999999999999</v>
      </c>
      <c r="D118">
        <v>3</v>
      </c>
      <c r="E118" t="s">
        <v>116</v>
      </c>
      <c r="F118">
        <v>0.121899999999998</v>
      </c>
      <c r="G118">
        <v>0.24549918166936999</v>
      </c>
      <c r="H118">
        <v>0.5</v>
      </c>
      <c r="I118">
        <v>0.58685449999999995</v>
      </c>
      <c r="J118">
        <v>2004</v>
      </c>
      <c r="K118">
        <v>8</v>
      </c>
      <c r="L118">
        <v>12</v>
      </c>
      <c r="M118" t="s">
        <v>90</v>
      </c>
      <c r="N118">
        <v>0</v>
      </c>
      <c r="O118">
        <v>0</v>
      </c>
    </row>
    <row r="119" spans="1:15" x14ac:dyDescent="0.3">
      <c r="A119">
        <v>214</v>
      </c>
      <c r="B119" s="34">
        <v>38212</v>
      </c>
      <c r="C119">
        <v>1.2249000000000001</v>
      </c>
      <c r="D119">
        <v>-4</v>
      </c>
      <c r="F119">
        <v>0.109099999999998</v>
      </c>
      <c r="G119">
        <v>10.7201309328969</v>
      </c>
      <c r="H119">
        <v>1</v>
      </c>
      <c r="I119">
        <v>0.58878509999999995</v>
      </c>
      <c r="J119">
        <v>2004</v>
      </c>
      <c r="K119">
        <v>8</v>
      </c>
      <c r="L119">
        <v>13</v>
      </c>
      <c r="M119" t="s">
        <v>91</v>
      </c>
      <c r="N119">
        <v>0</v>
      </c>
      <c r="O119">
        <v>0</v>
      </c>
    </row>
    <row r="120" spans="1:15" x14ac:dyDescent="0.3">
      <c r="A120">
        <v>215</v>
      </c>
      <c r="B120" s="34">
        <v>38215</v>
      </c>
      <c r="C120">
        <v>1.2377</v>
      </c>
      <c r="D120">
        <v>-1</v>
      </c>
      <c r="F120">
        <v>0.110899999999998</v>
      </c>
      <c r="G120">
        <v>9.2471358428805193</v>
      </c>
      <c r="H120">
        <v>0</v>
      </c>
      <c r="I120">
        <v>0.58604650000000003</v>
      </c>
      <c r="J120">
        <v>2004</v>
      </c>
      <c r="K120">
        <v>8</v>
      </c>
      <c r="L120">
        <v>16</v>
      </c>
      <c r="M120" t="s">
        <v>92</v>
      </c>
      <c r="N120">
        <v>0</v>
      </c>
      <c r="O120">
        <v>0</v>
      </c>
    </row>
    <row r="121" spans="1:15" x14ac:dyDescent="0.3">
      <c r="A121">
        <v>216</v>
      </c>
      <c r="B121" s="34">
        <v>38216</v>
      </c>
      <c r="C121">
        <v>1.2359</v>
      </c>
      <c r="D121">
        <v>0</v>
      </c>
      <c r="F121">
        <v>0.110899999999998</v>
      </c>
      <c r="G121">
        <v>9.2471358428805193</v>
      </c>
      <c r="H121">
        <v>1</v>
      </c>
      <c r="I121">
        <v>0.58796300000000001</v>
      </c>
      <c r="J121">
        <v>2004</v>
      </c>
      <c r="K121">
        <v>8</v>
      </c>
      <c r="L121">
        <v>17</v>
      </c>
      <c r="M121" t="s">
        <v>93</v>
      </c>
      <c r="N121">
        <v>0</v>
      </c>
      <c r="O121">
        <v>0</v>
      </c>
    </row>
    <row r="122" spans="1:15" x14ac:dyDescent="0.3">
      <c r="A122">
        <v>217</v>
      </c>
      <c r="B122" s="34">
        <v>38217</v>
      </c>
      <c r="C122">
        <v>1.2347999999999999</v>
      </c>
      <c r="D122">
        <v>2</v>
      </c>
      <c r="E122" t="s">
        <v>117</v>
      </c>
      <c r="F122">
        <v>0.109899999999998</v>
      </c>
      <c r="G122">
        <v>10.065466448444999</v>
      </c>
      <c r="H122">
        <v>1</v>
      </c>
      <c r="I122">
        <v>0.58986179999999999</v>
      </c>
      <c r="J122">
        <v>2004</v>
      </c>
      <c r="K122">
        <v>8</v>
      </c>
      <c r="L122">
        <v>18</v>
      </c>
      <c r="M122" t="s">
        <v>89</v>
      </c>
      <c r="N122">
        <v>0</v>
      </c>
      <c r="O122">
        <v>0</v>
      </c>
    </row>
    <row r="123" spans="1:15" x14ac:dyDescent="0.3">
      <c r="A123">
        <v>218</v>
      </c>
      <c r="B123" s="34">
        <v>38218</v>
      </c>
      <c r="C123">
        <v>1.2338</v>
      </c>
      <c r="D123">
        <v>7</v>
      </c>
      <c r="E123" t="s">
        <v>118</v>
      </c>
      <c r="F123">
        <v>0.112899999999998</v>
      </c>
      <c r="G123">
        <v>7.6104746317511998</v>
      </c>
      <c r="H123">
        <v>1</v>
      </c>
      <c r="I123">
        <v>0.59174309999999997</v>
      </c>
      <c r="J123">
        <v>2004</v>
      </c>
      <c r="K123">
        <v>8</v>
      </c>
      <c r="L123">
        <v>19</v>
      </c>
      <c r="M123" t="s">
        <v>90</v>
      </c>
      <c r="N123">
        <v>0</v>
      </c>
      <c r="O123">
        <v>0</v>
      </c>
    </row>
    <row r="124" spans="1:15" x14ac:dyDescent="0.3">
      <c r="A124">
        <v>219</v>
      </c>
      <c r="B124" s="34">
        <v>38219</v>
      </c>
      <c r="C124">
        <v>1.2367999999999999</v>
      </c>
      <c r="D124">
        <v>-9</v>
      </c>
      <c r="F124">
        <v>0.117799999999998</v>
      </c>
      <c r="G124">
        <v>3.6006546644844599</v>
      </c>
      <c r="H124">
        <v>0.5</v>
      </c>
      <c r="I124">
        <v>0.59132419999999997</v>
      </c>
      <c r="J124">
        <v>2004</v>
      </c>
      <c r="K124">
        <v>8</v>
      </c>
      <c r="L124">
        <v>20</v>
      </c>
      <c r="M124" t="s">
        <v>91</v>
      </c>
      <c r="N124">
        <v>0</v>
      </c>
      <c r="O124">
        <v>0</v>
      </c>
    </row>
    <row r="125" spans="1:15" x14ac:dyDescent="0.3">
      <c r="A125">
        <v>220</v>
      </c>
      <c r="B125" s="34">
        <v>38222</v>
      </c>
      <c r="C125">
        <v>1.2319</v>
      </c>
      <c r="D125">
        <v>0</v>
      </c>
      <c r="F125">
        <v>0.117799999999998</v>
      </c>
      <c r="G125">
        <v>3.6006546644844599</v>
      </c>
      <c r="H125">
        <v>1</v>
      </c>
      <c r="I125">
        <v>0.59318179999999998</v>
      </c>
      <c r="J125">
        <v>2004</v>
      </c>
      <c r="K125">
        <v>8</v>
      </c>
      <c r="L125">
        <v>23</v>
      </c>
      <c r="M125" t="s">
        <v>92</v>
      </c>
      <c r="N125">
        <v>0</v>
      </c>
      <c r="O125">
        <v>0</v>
      </c>
    </row>
    <row r="126" spans="1:15" x14ac:dyDescent="0.3">
      <c r="A126">
        <v>221</v>
      </c>
      <c r="B126" s="34">
        <v>38223</v>
      </c>
      <c r="C126">
        <v>1.2139</v>
      </c>
      <c r="D126">
        <v>1</v>
      </c>
      <c r="E126" t="s">
        <v>119</v>
      </c>
      <c r="F126">
        <v>0.11209999999999801</v>
      </c>
      <c r="G126">
        <v>8.2651391162030396</v>
      </c>
      <c r="H126">
        <v>0</v>
      </c>
      <c r="I126">
        <v>0.59049770000000001</v>
      </c>
      <c r="J126">
        <v>2004</v>
      </c>
      <c r="K126">
        <v>8</v>
      </c>
      <c r="L126">
        <v>24</v>
      </c>
      <c r="M126" t="s">
        <v>93</v>
      </c>
      <c r="N126">
        <v>0</v>
      </c>
      <c r="O126">
        <v>0</v>
      </c>
    </row>
    <row r="127" spans="1:15" x14ac:dyDescent="0.3">
      <c r="A127">
        <v>222</v>
      </c>
      <c r="B127" s="34">
        <v>38224</v>
      </c>
      <c r="C127">
        <v>1.2081999999999999</v>
      </c>
      <c r="D127">
        <v>0</v>
      </c>
      <c r="F127">
        <v>0.11209999999999801</v>
      </c>
      <c r="G127">
        <v>8.2651391162030396</v>
      </c>
      <c r="H127">
        <v>0</v>
      </c>
      <c r="I127">
        <v>0.58783779999999997</v>
      </c>
      <c r="J127">
        <v>2004</v>
      </c>
      <c r="K127">
        <v>8</v>
      </c>
      <c r="L127">
        <v>25</v>
      </c>
      <c r="M127" t="s">
        <v>89</v>
      </c>
      <c r="N127">
        <v>0</v>
      </c>
      <c r="O127">
        <v>0</v>
      </c>
    </row>
    <row r="128" spans="1:15" x14ac:dyDescent="0.3">
      <c r="A128">
        <v>223</v>
      </c>
      <c r="B128" s="34">
        <v>38225</v>
      </c>
      <c r="C128">
        <v>1.2084999999999999</v>
      </c>
      <c r="D128">
        <v>0</v>
      </c>
      <c r="F128">
        <v>0.11209999999999801</v>
      </c>
      <c r="G128">
        <v>8.2651391162030396</v>
      </c>
      <c r="H128">
        <v>1</v>
      </c>
      <c r="I128">
        <v>0.58968609999999999</v>
      </c>
      <c r="J128">
        <v>2004</v>
      </c>
      <c r="K128">
        <v>8</v>
      </c>
      <c r="L128">
        <v>26</v>
      </c>
      <c r="M128" t="s">
        <v>90</v>
      </c>
      <c r="N128">
        <v>0</v>
      </c>
      <c r="O128">
        <v>0</v>
      </c>
    </row>
    <row r="129" spans="1:15" x14ac:dyDescent="0.3">
      <c r="A129">
        <v>224</v>
      </c>
      <c r="B129" s="34">
        <v>38226</v>
      </c>
      <c r="C129">
        <v>1.2104999999999999</v>
      </c>
      <c r="D129">
        <v>-7</v>
      </c>
      <c r="F129">
        <v>0.121099999999998</v>
      </c>
      <c r="G129">
        <v>0.90016366612120602</v>
      </c>
      <c r="H129">
        <v>1</v>
      </c>
      <c r="I129">
        <v>0.59151790000000004</v>
      </c>
      <c r="J129">
        <v>2004</v>
      </c>
      <c r="K129">
        <v>8</v>
      </c>
      <c r="L129">
        <v>27</v>
      </c>
      <c r="M129" t="s">
        <v>91</v>
      </c>
      <c r="N129">
        <v>0</v>
      </c>
      <c r="O129">
        <v>0</v>
      </c>
    </row>
    <row r="130" spans="1:15" x14ac:dyDescent="0.3">
      <c r="A130">
        <v>225</v>
      </c>
      <c r="B130" s="34">
        <v>38229</v>
      </c>
      <c r="C130">
        <v>1.2015</v>
      </c>
      <c r="D130">
        <v>3</v>
      </c>
      <c r="E130" t="s">
        <v>120</v>
      </c>
      <c r="F130">
        <v>0.124899999999998</v>
      </c>
      <c r="G130">
        <v>0</v>
      </c>
      <c r="H130">
        <v>1</v>
      </c>
      <c r="I130">
        <v>0.59333329999999995</v>
      </c>
      <c r="J130">
        <v>2004</v>
      </c>
      <c r="K130">
        <v>8</v>
      </c>
      <c r="L130">
        <v>30</v>
      </c>
      <c r="M130" t="s">
        <v>92</v>
      </c>
      <c r="N130">
        <v>0</v>
      </c>
      <c r="O130">
        <v>0</v>
      </c>
    </row>
    <row r="131" spans="1:15" x14ac:dyDescent="0.3">
      <c r="A131">
        <v>226</v>
      </c>
      <c r="B131" s="34">
        <v>38230</v>
      </c>
      <c r="C131">
        <v>1.2053</v>
      </c>
      <c r="D131">
        <v>0</v>
      </c>
      <c r="F131">
        <v>0.124899999999998</v>
      </c>
      <c r="G131">
        <v>0</v>
      </c>
      <c r="H131">
        <v>1</v>
      </c>
      <c r="I131">
        <v>0.59513280000000002</v>
      </c>
      <c r="J131">
        <v>2004</v>
      </c>
      <c r="K131">
        <v>8</v>
      </c>
      <c r="L131">
        <v>31</v>
      </c>
      <c r="M131" t="s">
        <v>93</v>
      </c>
      <c r="N131">
        <v>0</v>
      </c>
      <c r="O131">
        <v>0</v>
      </c>
    </row>
    <row r="132" spans="1:15" x14ac:dyDescent="0.3">
      <c r="A132">
        <v>227</v>
      </c>
      <c r="B132" s="34">
        <v>38231</v>
      </c>
      <c r="C132">
        <v>1.2181999999999999</v>
      </c>
      <c r="D132">
        <v>-6</v>
      </c>
      <c r="F132">
        <v>0.123999999999998</v>
      </c>
      <c r="G132">
        <v>0.72057646116904195</v>
      </c>
      <c r="H132">
        <v>1</v>
      </c>
      <c r="I132">
        <v>0.59691629999999996</v>
      </c>
      <c r="J132">
        <v>2004</v>
      </c>
      <c r="K132">
        <v>9</v>
      </c>
      <c r="L132">
        <v>1</v>
      </c>
      <c r="M132" t="s">
        <v>89</v>
      </c>
      <c r="N132">
        <v>0</v>
      </c>
      <c r="O132">
        <v>0</v>
      </c>
    </row>
    <row r="133" spans="1:15" x14ac:dyDescent="0.3">
      <c r="A133">
        <v>228</v>
      </c>
      <c r="B133" s="34">
        <v>38232</v>
      </c>
      <c r="C133">
        <v>1.2191000000000001</v>
      </c>
      <c r="D133">
        <v>0</v>
      </c>
      <c r="F133">
        <v>0.123999999999998</v>
      </c>
      <c r="G133">
        <v>0.72057646116904195</v>
      </c>
      <c r="H133">
        <v>0</v>
      </c>
      <c r="I133">
        <v>0.5942982</v>
      </c>
      <c r="J133">
        <v>2004</v>
      </c>
      <c r="K133">
        <v>9</v>
      </c>
      <c r="L133">
        <v>2</v>
      </c>
      <c r="M133" t="s">
        <v>90</v>
      </c>
      <c r="N133">
        <v>0</v>
      </c>
      <c r="O133">
        <v>0</v>
      </c>
    </row>
    <row r="134" spans="1:15" x14ac:dyDescent="0.3">
      <c r="A134">
        <v>229</v>
      </c>
      <c r="B134" s="34">
        <v>38233</v>
      </c>
      <c r="C134">
        <v>1.2169000000000001</v>
      </c>
      <c r="D134">
        <v>0</v>
      </c>
      <c r="F134">
        <v>0.123999999999998</v>
      </c>
      <c r="G134">
        <v>0.72057646116904195</v>
      </c>
      <c r="H134">
        <v>1</v>
      </c>
      <c r="I134">
        <v>0.59606990000000004</v>
      </c>
      <c r="J134">
        <v>2004</v>
      </c>
      <c r="K134">
        <v>9</v>
      </c>
      <c r="L134">
        <v>3</v>
      </c>
      <c r="M134" t="s">
        <v>91</v>
      </c>
      <c r="N134">
        <v>0</v>
      </c>
      <c r="O134">
        <v>0</v>
      </c>
    </row>
    <row r="135" spans="1:15" x14ac:dyDescent="0.3">
      <c r="A135">
        <v>230</v>
      </c>
      <c r="B135" s="34">
        <v>38236</v>
      </c>
      <c r="C135">
        <v>1.2060999999999999</v>
      </c>
      <c r="D135">
        <v>7</v>
      </c>
      <c r="E135" t="s">
        <v>121</v>
      </c>
      <c r="F135">
        <v>0.124399999999998</v>
      </c>
      <c r="G135">
        <v>0.40032025620510198</v>
      </c>
      <c r="H135">
        <v>1</v>
      </c>
      <c r="I135">
        <v>0.59782610000000003</v>
      </c>
      <c r="J135">
        <v>2004</v>
      </c>
      <c r="K135">
        <v>9</v>
      </c>
      <c r="L135">
        <v>6</v>
      </c>
      <c r="M135" t="s">
        <v>92</v>
      </c>
      <c r="N135">
        <v>0</v>
      </c>
      <c r="O135">
        <v>0</v>
      </c>
    </row>
    <row r="136" spans="1:15" x14ac:dyDescent="0.3">
      <c r="A136">
        <v>231</v>
      </c>
      <c r="B136" s="34">
        <v>38237</v>
      </c>
      <c r="C136">
        <v>1.2064999999999999</v>
      </c>
      <c r="D136">
        <v>0</v>
      </c>
      <c r="F136">
        <v>0.124399999999998</v>
      </c>
      <c r="G136">
        <v>0.40032025620510198</v>
      </c>
      <c r="H136">
        <v>1</v>
      </c>
      <c r="I136">
        <v>0.59956710000000002</v>
      </c>
      <c r="J136">
        <v>2004</v>
      </c>
      <c r="K136">
        <v>9</v>
      </c>
      <c r="L136">
        <v>7</v>
      </c>
      <c r="M136" t="s">
        <v>93</v>
      </c>
      <c r="N136">
        <v>0</v>
      </c>
      <c r="O136">
        <v>0</v>
      </c>
    </row>
    <row r="137" spans="1:15" x14ac:dyDescent="0.3">
      <c r="A137">
        <v>232</v>
      </c>
      <c r="B137" s="34">
        <v>38238</v>
      </c>
      <c r="C137">
        <v>1.2103999999999999</v>
      </c>
      <c r="D137">
        <v>-1</v>
      </c>
      <c r="F137">
        <v>0.11639999999999801</v>
      </c>
      <c r="G137">
        <v>6.8054443554846102</v>
      </c>
      <c r="H137">
        <v>1</v>
      </c>
      <c r="I137">
        <v>0.60129310000000002</v>
      </c>
      <c r="J137">
        <v>2004</v>
      </c>
      <c r="K137">
        <v>9</v>
      </c>
      <c r="L137">
        <v>8</v>
      </c>
      <c r="M137" t="s">
        <v>89</v>
      </c>
      <c r="N137">
        <v>0</v>
      </c>
      <c r="O137">
        <v>0</v>
      </c>
    </row>
    <row r="138" spans="1:15" x14ac:dyDescent="0.3">
      <c r="A138">
        <v>233</v>
      </c>
      <c r="B138" s="34">
        <v>38239</v>
      </c>
      <c r="C138">
        <v>1.2183999999999999</v>
      </c>
      <c r="D138">
        <v>-6</v>
      </c>
      <c r="F138">
        <v>0.111499999999998</v>
      </c>
      <c r="G138">
        <v>10.728582866293401</v>
      </c>
      <c r="H138">
        <v>1</v>
      </c>
      <c r="I138">
        <v>0.60300430000000005</v>
      </c>
      <c r="J138">
        <v>2004</v>
      </c>
      <c r="K138">
        <v>9</v>
      </c>
      <c r="L138">
        <v>9</v>
      </c>
      <c r="M138" t="s">
        <v>90</v>
      </c>
      <c r="N138">
        <v>0</v>
      </c>
      <c r="O138">
        <v>0</v>
      </c>
    </row>
    <row r="139" spans="1:15" x14ac:dyDescent="0.3">
      <c r="A139">
        <v>234</v>
      </c>
      <c r="B139" s="34">
        <v>38240</v>
      </c>
      <c r="C139">
        <v>1.2233000000000001</v>
      </c>
      <c r="D139">
        <v>0</v>
      </c>
      <c r="F139">
        <v>0.111499999999998</v>
      </c>
      <c r="G139">
        <v>10.728582866293401</v>
      </c>
      <c r="H139">
        <v>0</v>
      </c>
      <c r="I139">
        <v>0.6004273</v>
      </c>
      <c r="J139">
        <v>2004</v>
      </c>
      <c r="K139">
        <v>9</v>
      </c>
      <c r="L139">
        <v>10</v>
      </c>
      <c r="M139" t="s">
        <v>91</v>
      </c>
      <c r="N139">
        <v>0</v>
      </c>
      <c r="O139">
        <v>0</v>
      </c>
    </row>
    <row r="140" spans="1:15" x14ac:dyDescent="0.3">
      <c r="A140">
        <v>235</v>
      </c>
      <c r="B140" s="34">
        <v>38243</v>
      </c>
      <c r="C140">
        <v>1.2269000000000001</v>
      </c>
      <c r="D140">
        <v>0</v>
      </c>
      <c r="F140">
        <v>0.111499999999998</v>
      </c>
      <c r="G140">
        <v>10.728582866293401</v>
      </c>
      <c r="H140">
        <v>0</v>
      </c>
      <c r="I140">
        <v>0.59787230000000002</v>
      </c>
      <c r="J140">
        <v>2004</v>
      </c>
      <c r="K140">
        <v>9</v>
      </c>
      <c r="L140">
        <v>13</v>
      </c>
      <c r="M140" t="s">
        <v>92</v>
      </c>
      <c r="N140">
        <v>0</v>
      </c>
      <c r="O140">
        <v>0</v>
      </c>
    </row>
    <row r="141" spans="1:15" x14ac:dyDescent="0.3">
      <c r="A141">
        <v>236</v>
      </c>
      <c r="B141" s="34">
        <v>38244</v>
      </c>
      <c r="C141">
        <v>1.226</v>
      </c>
      <c r="D141">
        <v>0</v>
      </c>
      <c r="F141">
        <v>0.111499999999998</v>
      </c>
      <c r="G141">
        <v>10.728582866293401</v>
      </c>
      <c r="H141">
        <v>1</v>
      </c>
      <c r="I141">
        <v>0.59957629999999995</v>
      </c>
      <c r="J141">
        <v>2004</v>
      </c>
      <c r="K141">
        <v>9</v>
      </c>
      <c r="L141">
        <v>14</v>
      </c>
      <c r="M141" t="s">
        <v>93</v>
      </c>
      <c r="N141">
        <v>0</v>
      </c>
      <c r="O141">
        <v>0</v>
      </c>
    </row>
    <row r="142" spans="1:15" x14ac:dyDescent="0.3">
      <c r="A142">
        <v>237</v>
      </c>
      <c r="B142" s="34">
        <v>38245</v>
      </c>
      <c r="C142">
        <v>1.2246999999999999</v>
      </c>
      <c r="D142">
        <v>2</v>
      </c>
      <c r="E142" t="s">
        <v>122</v>
      </c>
      <c r="F142">
        <v>0.101999999999998</v>
      </c>
      <c r="G142">
        <v>18.334667734187601</v>
      </c>
      <c r="H142">
        <v>1</v>
      </c>
      <c r="I142">
        <v>0.60126579999999996</v>
      </c>
      <c r="J142">
        <v>2004</v>
      </c>
      <c r="K142">
        <v>9</v>
      </c>
      <c r="L142">
        <v>15</v>
      </c>
      <c r="M142" t="s">
        <v>89</v>
      </c>
      <c r="N142">
        <v>0</v>
      </c>
      <c r="O142">
        <v>0</v>
      </c>
    </row>
    <row r="143" spans="1:15" x14ac:dyDescent="0.3">
      <c r="A143">
        <v>238</v>
      </c>
      <c r="B143" s="34">
        <v>38246</v>
      </c>
      <c r="C143">
        <v>1.2152000000000001</v>
      </c>
      <c r="D143">
        <v>8</v>
      </c>
      <c r="E143" t="s">
        <v>123</v>
      </c>
      <c r="F143">
        <v>0.10529999999999801</v>
      </c>
      <c r="G143">
        <v>15.692554043235001</v>
      </c>
      <c r="H143">
        <v>0</v>
      </c>
      <c r="I143">
        <v>0.59873949999999998</v>
      </c>
      <c r="J143">
        <v>2004</v>
      </c>
      <c r="K143">
        <v>9</v>
      </c>
      <c r="L143">
        <v>16</v>
      </c>
      <c r="M143" t="s">
        <v>90</v>
      </c>
      <c r="N143">
        <v>0</v>
      </c>
      <c r="O143">
        <v>0</v>
      </c>
    </row>
    <row r="144" spans="1:15" x14ac:dyDescent="0.3">
      <c r="A144">
        <v>239</v>
      </c>
      <c r="B144" s="34">
        <v>38247</v>
      </c>
      <c r="C144">
        <v>1.2184999999999999</v>
      </c>
      <c r="D144">
        <v>-1</v>
      </c>
      <c r="F144">
        <v>0.10679999999999799</v>
      </c>
      <c r="G144">
        <v>14.4915932746202</v>
      </c>
      <c r="H144">
        <v>1</v>
      </c>
      <c r="I144">
        <v>0.60041840000000002</v>
      </c>
      <c r="J144">
        <v>2004</v>
      </c>
      <c r="K144">
        <v>9</v>
      </c>
      <c r="L144">
        <v>17</v>
      </c>
      <c r="M144" t="s">
        <v>91</v>
      </c>
      <c r="N144">
        <v>0</v>
      </c>
      <c r="O144">
        <v>0</v>
      </c>
    </row>
    <row r="145" spans="1:15" x14ac:dyDescent="0.3">
      <c r="A145">
        <v>240</v>
      </c>
      <c r="B145" s="34">
        <v>38250</v>
      </c>
      <c r="C145">
        <v>1.2170000000000001</v>
      </c>
      <c r="D145">
        <v>2</v>
      </c>
      <c r="E145" t="s">
        <v>124</v>
      </c>
      <c r="F145">
        <v>0.106999999999997</v>
      </c>
      <c r="G145">
        <v>14.3314651721382</v>
      </c>
      <c r="H145">
        <v>0</v>
      </c>
      <c r="I145">
        <v>0.59791669999999997</v>
      </c>
      <c r="J145">
        <v>2004</v>
      </c>
      <c r="K145">
        <v>9</v>
      </c>
      <c r="L145">
        <v>20</v>
      </c>
      <c r="M145" t="s">
        <v>92</v>
      </c>
      <c r="N145">
        <v>0</v>
      </c>
      <c r="O145">
        <v>0</v>
      </c>
    </row>
    <row r="146" spans="1:15" x14ac:dyDescent="0.3">
      <c r="A146">
        <v>241</v>
      </c>
      <c r="B146" s="34">
        <v>38251</v>
      </c>
      <c r="C146">
        <v>1.2172000000000001</v>
      </c>
      <c r="D146">
        <v>-4</v>
      </c>
      <c r="F146">
        <v>9.1199999999997894E-2</v>
      </c>
      <c r="G146">
        <v>26.981585268215301</v>
      </c>
      <c r="H146">
        <v>1</v>
      </c>
      <c r="I146">
        <v>0.59958509999999998</v>
      </c>
      <c r="J146">
        <v>2004</v>
      </c>
      <c r="K146">
        <v>9</v>
      </c>
      <c r="L146">
        <v>21</v>
      </c>
      <c r="M146" t="s">
        <v>93</v>
      </c>
      <c r="N146">
        <v>0</v>
      </c>
      <c r="O146">
        <v>0</v>
      </c>
    </row>
    <row r="147" spans="1:15" x14ac:dyDescent="0.3">
      <c r="A147">
        <v>242</v>
      </c>
      <c r="B147" s="34">
        <v>38252</v>
      </c>
      <c r="C147">
        <v>1.2330000000000001</v>
      </c>
      <c r="D147">
        <v>-7</v>
      </c>
      <c r="F147">
        <v>9.78999999999981E-2</v>
      </c>
      <c r="G147">
        <v>21.617293835068601</v>
      </c>
      <c r="H147">
        <v>1</v>
      </c>
      <c r="I147">
        <v>0.60123970000000004</v>
      </c>
      <c r="J147">
        <v>2004</v>
      </c>
      <c r="K147">
        <v>9</v>
      </c>
      <c r="L147">
        <v>22</v>
      </c>
      <c r="M147" t="s">
        <v>89</v>
      </c>
      <c r="N147">
        <v>0</v>
      </c>
      <c r="O147">
        <v>0</v>
      </c>
    </row>
    <row r="148" spans="1:15" x14ac:dyDescent="0.3">
      <c r="A148">
        <v>243</v>
      </c>
      <c r="B148" s="34">
        <v>38253</v>
      </c>
      <c r="C148">
        <v>1.2262999999999999</v>
      </c>
      <c r="D148">
        <v>0</v>
      </c>
      <c r="F148">
        <v>9.78999999999981E-2</v>
      </c>
      <c r="G148">
        <v>21.617293835068601</v>
      </c>
      <c r="H148">
        <v>1</v>
      </c>
      <c r="I148">
        <v>0.60288070000000005</v>
      </c>
      <c r="J148">
        <v>2004</v>
      </c>
      <c r="K148">
        <v>9</v>
      </c>
      <c r="L148">
        <v>23</v>
      </c>
      <c r="M148" t="s">
        <v>90</v>
      </c>
      <c r="N148">
        <v>0</v>
      </c>
      <c r="O148">
        <v>0</v>
      </c>
    </row>
    <row r="149" spans="1:15" x14ac:dyDescent="0.3">
      <c r="A149">
        <v>244</v>
      </c>
      <c r="B149" s="34">
        <v>38254</v>
      </c>
      <c r="C149">
        <v>1.2266999999999999</v>
      </c>
      <c r="D149">
        <v>3</v>
      </c>
      <c r="E149" t="s">
        <v>125</v>
      </c>
      <c r="F149">
        <v>9.8799999999998195E-2</v>
      </c>
      <c r="G149">
        <v>20.896717373899499</v>
      </c>
      <c r="H149">
        <v>0</v>
      </c>
      <c r="I149">
        <v>0.60040990000000005</v>
      </c>
      <c r="J149">
        <v>2004</v>
      </c>
      <c r="K149">
        <v>9</v>
      </c>
      <c r="L149">
        <v>24</v>
      </c>
      <c r="M149" t="s">
        <v>91</v>
      </c>
      <c r="N149">
        <v>0</v>
      </c>
      <c r="O149">
        <v>0</v>
      </c>
    </row>
    <row r="150" spans="1:15" x14ac:dyDescent="0.3">
      <c r="A150">
        <v>245</v>
      </c>
      <c r="B150" s="34">
        <v>38257</v>
      </c>
      <c r="C150">
        <v>1.2276</v>
      </c>
      <c r="D150">
        <v>-2</v>
      </c>
      <c r="F150">
        <v>9.6499999999998198E-2</v>
      </c>
      <c r="G150">
        <v>22.738190552442301</v>
      </c>
      <c r="H150">
        <v>0</v>
      </c>
      <c r="I150">
        <v>0.59795920000000002</v>
      </c>
      <c r="J150">
        <v>2004</v>
      </c>
      <c r="K150">
        <v>9</v>
      </c>
      <c r="L150">
        <v>27</v>
      </c>
      <c r="M150" t="s">
        <v>92</v>
      </c>
      <c r="N150">
        <v>0</v>
      </c>
      <c r="O150">
        <v>0</v>
      </c>
    </row>
    <row r="151" spans="1:15" x14ac:dyDescent="0.3">
      <c r="A151">
        <v>246</v>
      </c>
      <c r="B151" s="34">
        <v>38258</v>
      </c>
      <c r="C151">
        <v>1.2299</v>
      </c>
      <c r="D151">
        <v>-4</v>
      </c>
      <c r="F151">
        <v>9.3899999999998304E-2</v>
      </c>
      <c r="G151">
        <v>24.819855884708101</v>
      </c>
      <c r="H151">
        <v>0.5</v>
      </c>
      <c r="I151">
        <v>0.59756100000000001</v>
      </c>
      <c r="J151">
        <v>2004</v>
      </c>
      <c r="K151">
        <v>9</v>
      </c>
      <c r="L151">
        <v>28</v>
      </c>
      <c r="M151" t="s">
        <v>93</v>
      </c>
      <c r="N151">
        <v>0</v>
      </c>
      <c r="O151">
        <v>0</v>
      </c>
    </row>
    <row r="152" spans="1:15" x14ac:dyDescent="0.3">
      <c r="A152">
        <v>247</v>
      </c>
      <c r="B152" s="34">
        <v>38259</v>
      </c>
      <c r="C152">
        <v>1.2324999999999999</v>
      </c>
      <c r="D152">
        <v>-3</v>
      </c>
      <c r="F152">
        <v>9.3199999999998104E-2</v>
      </c>
      <c r="G152">
        <v>25.380304243395202</v>
      </c>
      <c r="H152">
        <v>0</v>
      </c>
      <c r="I152">
        <v>0.5951417</v>
      </c>
      <c r="J152">
        <v>2004</v>
      </c>
      <c r="K152">
        <v>9</v>
      </c>
      <c r="L152">
        <v>29</v>
      </c>
      <c r="M152" t="s">
        <v>89</v>
      </c>
      <c r="N152">
        <v>0</v>
      </c>
      <c r="O152">
        <v>0</v>
      </c>
    </row>
    <row r="153" spans="1:15" x14ac:dyDescent="0.3">
      <c r="A153">
        <v>248</v>
      </c>
      <c r="B153" s="34">
        <v>38260</v>
      </c>
      <c r="C153">
        <v>1.2332000000000001</v>
      </c>
      <c r="D153">
        <v>0</v>
      </c>
      <c r="F153">
        <v>9.3199999999998104E-2</v>
      </c>
      <c r="G153">
        <v>25.380304243395202</v>
      </c>
      <c r="H153">
        <v>0</v>
      </c>
      <c r="I153">
        <v>0.59274190000000004</v>
      </c>
      <c r="J153">
        <v>2004</v>
      </c>
      <c r="K153">
        <v>9</v>
      </c>
      <c r="L153">
        <v>30</v>
      </c>
      <c r="M153" t="s">
        <v>90</v>
      </c>
      <c r="N153">
        <v>0</v>
      </c>
      <c r="O153">
        <v>0</v>
      </c>
    </row>
    <row r="154" spans="1:15" x14ac:dyDescent="0.3">
      <c r="A154">
        <v>249</v>
      </c>
      <c r="B154" s="34">
        <v>38261</v>
      </c>
      <c r="C154">
        <v>1.2427999999999999</v>
      </c>
      <c r="D154">
        <v>-6</v>
      </c>
      <c r="F154">
        <v>9.5799999999998095E-2</v>
      </c>
      <c r="G154">
        <v>23.298638911129402</v>
      </c>
      <c r="H154">
        <v>0</v>
      </c>
      <c r="I154">
        <v>0.59036140000000004</v>
      </c>
      <c r="J154">
        <v>2004</v>
      </c>
      <c r="K154">
        <v>10</v>
      </c>
      <c r="L154">
        <v>1</v>
      </c>
      <c r="M154" t="s">
        <v>91</v>
      </c>
      <c r="N154">
        <v>0</v>
      </c>
      <c r="O154">
        <v>0</v>
      </c>
    </row>
    <row r="155" spans="1:15" x14ac:dyDescent="0.3">
      <c r="A155">
        <v>250</v>
      </c>
      <c r="B155" s="34">
        <v>38264</v>
      </c>
      <c r="C155">
        <v>1.2402</v>
      </c>
      <c r="D155">
        <v>0</v>
      </c>
      <c r="F155">
        <v>9.5799999999998095E-2</v>
      </c>
      <c r="G155">
        <v>23.298638911129402</v>
      </c>
      <c r="H155">
        <v>1</v>
      </c>
      <c r="I155">
        <v>0.59199999999999997</v>
      </c>
      <c r="J155">
        <v>2004</v>
      </c>
      <c r="K155">
        <v>10</v>
      </c>
      <c r="L155">
        <v>4</v>
      </c>
      <c r="M155" t="s">
        <v>92</v>
      </c>
      <c r="N155">
        <v>0</v>
      </c>
      <c r="O155">
        <v>0</v>
      </c>
    </row>
    <row r="156" spans="1:15" x14ac:dyDescent="0.3">
      <c r="A156">
        <v>251</v>
      </c>
      <c r="B156" s="34">
        <v>38265</v>
      </c>
      <c r="C156">
        <v>1.2284999999999999</v>
      </c>
      <c r="D156">
        <v>2</v>
      </c>
      <c r="E156" t="s">
        <v>126</v>
      </c>
      <c r="F156">
        <v>9.8199999999998205E-2</v>
      </c>
      <c r="G156">
        <v>21.377101681345401</v>
      </c>
      <c r="H156">
        <v>1</v>
      </c>
      <c r="I156">
        <v>0.59362550000000003</v>
      </c>
      <c r="J156">
        <v>2004</v>
      </c>
      <c r="K156">
        <v>10</v>
      </c>
      <c r="L156">
        <v>5</v>
      </c>
      <c r="M156" t="s">
        <v>93</v>
      </c>
      <c r="N156">
        <v>0</v>
      </c>
      <c r="O156">
        <v>0</v>
      </c>
    </row>
    <row r="157" spans="1:15" x14ac:dyDescent="0.3">
      <c r="A157">
        <v>252</v>
      </c>
      <c r="B157" s="34">
        <v>38266</v>
      </c>
      <c r="C157">
        <v>1.2309000000000001</v>
      </c>
      <c r="D157">
        <v>0</v>
      </c>
      <c r="F157">
        <v>9.8199999999998205E-2</v>
      </c>
      <c r="G157">
        <v>21.377101681345401</v>
      </c>
      <c r="H157">
        <v>1</v>
      </c>
      <c r="I157">
        <v>0.59523809999999999</v>
      </c>
      <c r="J157">
        <v>2004</v>
      </c>
      <c r="K157">
        <v>10</v>
      </c>
      <c r="L157">
        <v>6</v>
      </c>
      <c r="M157" t="s">
        <v>89</v>
      </c>
      <c r="N157">
        <v>0</v>
      </c>
      <c r="O157">
        <v>0</v>
      </c>
    </row>
    <row r="158" spans="1:15" x14ac:dyDescent="0.3">
      <c r="A158">
        <v>253</v>
      </c>
      <c r="B158" s="34">
        <v>38267</v>
      </c>
      <c r="C158">
        <v>1.2282</v>
      </c>
      <c r="D158">
        <v>0</v>
      </c>
      <c r="F158">
        <v>9.8199999999998205E-2</v>
      </c>
      <c r="G158">
        <v>21.377101681345401</v>
      </c>
      <c r="H158">
        <v>0</v>
      </c>
      <c r="I158">
        <v>0.59288540000000001</v>
      </c>
      <c r="J158">
        <v>2004</v>
      </c>
      <c r="K158">
        <v>10</v>
      </c>
      <c r="L158">
        <v>7</v>
      </c>
      <c r="M158" t="s">
        <v>90</v>
      </c>
      <c r="N158">
        <v>0</v>
      </c>
      <c r="O158">
        <v>0</v>
      </c>
    </row>
    <row r="159" spans="1:15" x14ac:dyDescent="0.3">
      <c r="A159">
        <v>254</v>
      </c>
      <c r="B159" s="34">
        <v>38268</v>
      </c>
      <c r="C159">
        <v>1.2285999999999999</v>
      </c>
      <c r="D159">
        <v>-1</v>
      </c>
      <c r="F159">
        <v>8.59999999999983E-2</v>
      </c>
      <c r="G159">
        <v>31.144915932746699</v>
      </c>
      <c r="H159">
        <v>1</v>
      </c>
      <c r="I159">
        <v>0.59448820000000002</v>
      </c>
      <c r="J159">
        <v>2004</v>
      </c>
      <c r="K159">
        <v>10</v>
      </c>
      <c r="L159">
        <v>8</v>
      </c>
      <c r="M159" t="s">
        <v>91</v>
      </c>
      <c r="N159">
        <v>0</v>
      </c>
      <c r="O159">
        <v>0</v>
      </c>
    </row>
    <row r="160" spans="1:15" x14ac:dyDescent="0.3">
      <c r="A160">
        <v>255</v>
      </c>
      <c r="B160" s="34">
        <v>38271</v>
      </c>
      <c r="C160">
        <v>1.2407999999999999</v>
      </c>
      <c r="D160">
        <v>-15</v>
      </c>
      <c r="F160">
        <v>8.8299999999998199E-2</v>
      </c>
      <c r="G160">
        <v>29.3034427542038</v>
      </c>
      <c r="H160">
        <v>1</v>
      </c>
      <c r="I160">
        <v>0.59607849999999996</v>
      </c>
      <c r="J160">
        <v>2004</v>
      </c>
      <c r="K160">
        <v>10</v>
      </c>
      <c r="L160">
        <v>11</v>
      </c>
      <c r="M160" t="s">
        <v>92</v>
      </c>
      <c r="N160">
        <v>0</v>
      </c>
      <c r="O160">
        <v>0</v>
      </c>
    </row>
    <row r="161" spans="1:15" x14ac:dyDescent="0.3">
      <c r="A161">
        <v>256</v>
      </c>
      <c r="B161" s="34">
        <v>38272</v>
      </c>
      <c r="C161">
        <v>1.2384999999999999</v>
      </c>
      <c r="D161">
        <v>0</v>
      </c>
      <c r="F161">
        <v>8.8299999999998199E-2</v>
      </c>
      <c r="G161">
        <v>29.3034427542038</v>
      </c>
      <c r="H161">
        <v>1</v>
      </c>
      <c r="I161">
        <v>0.59765630000000003</v>
      </c>
      <c r="J161">
        <v>2004</v>
      </c>
      <c r="K161">
        <v>10</v>
      </c>
      <c r="L161">
        <v>12</v>
      </c>
      <c r="M161" t="s">
        <v>93</v>
      </c>
      <c r="N161">
        <v>0</v>
      </c>
      <c r="O161">
        <v>0</v>
      </c>
    </row>
    <row r="162" spans="1:15" x14ac:dyDescent="0.3">
      <c r="A162">
        <v>257</v>
      </c>
      <c r="B162" s="34">
        <v>38273</v>
      </c>
      <c r="C162">
        <v>1.2327999999999999</v>
      </c>
      <c r="D162">
        <v>2</v>
      </c>
      <c r="E162" t="s">
        <v>127</v>
      </c>
      <c r="F162">
        <v>8.9499999999998303E-2</v>
      </c>
      <c r="G162">
        <v>28.3426741393118</v>
      </c>
      <c r="H162">
        <v>1</v>
      </c>
      <c r="I162">
        <v>0.59922180000000003</v>
      </c>
      <c r="J162">
        <v>2004</v>
      </c>
      <c r="K162">
        <v>10</v>
      </c>
      <c r="L162">
        <v>13</v>
      </c>
      <c r="M162" t="s">
        <v>89</v>
      </c>
      <c r="N162">
        <v>0</v>
      </c>
      <c r="O162">
        <v>0</v>
      </c>
    </row>
    <row r="163" spans="1:15" x14ac:dyDescent="0.3">
      <c r="A163">
        <v>258</v>
      </c>
      <c r="B163" s="34">
        <v>38274</v>
      </c>
      <c r="C163">
        <v>1.234</v>
      </c>
      <c r="D163">
        <v>-3</v>
      </c>
      <c r="F163">
        <v>8.5199999999998305E-2</v>
      </c>
      <c r="G163">
        <v>31.7854283426745</v>
      </c>
      <c r="H163">
        <v>0</v>
      </c>
      <c r="I163">
        <v>0.59689919999999996</v>
      </c>
      <c r="J163">
        <v>2004</v>
      </c>
      <c r="K163">
        <v>10</v>
      </c>
      <c r="L163">
        <v>14</v>
      </c>
      <c r="M163" t="s">
        <v>90</v>
      </c>
      <c r="N163">
        <v>0</v>
      </c>
      <c r="O163">
        <v>0</v>
      </c>
    </row>
    <row r="164" spans="1:15" x14ac:dyDescent="0.3">
      <c r="A164">
        <v>259</v>
      </c>
      <c r="B164" s="34">
        <v>38275</v>
      </c>
      <c r="C164">
        <v>1.2383</v>
      </c>
      <c r="D164">
        <v>-3</v>
      </c>
      <c r="F164">
        <v>7.5799999999998299E-2</v>
      </c>
      <c r="G164">
        <v>39.311449159327999</v>
      </c>
      <c r="H164">
        <v>0</v>
      </c>
      <c r="I164">
        <v>0.59459459999999997</v>
      </c>
      <c r="J164">
        <v>2004</v>
      </c>
      <c r="K164">
        <v>10</v>
      </c>
      <c r="L164">
        <v>15</v>
      </c>
      <c r="M164" t="s">
        <v>91</v>
      </c>
      <c r="N164">
        <v>0</v>
      </c>
      <c r="O164">
        <v>0</v>
      </c>
    </row>
    <row r="165" spans="1:15" x14ac:dyDescent="0.3">
      <c r="A165">
        <v>260</v>
      </c>
      <c r="B165" s="34">
        <v>38278</v>
      </c>
      <c r="C165">
        <v>1.2477</v>
      </c>
      <c r="D165">
        <v>0</v>
      </c>
      <c r="F165">
        <v>7.5799999999998299E-2</v>
      </c>
      <c r="G165">
        <v>39.311449159327999</v>
      </c>
      <c r="H165">
        <v>0</v>
      </c>
      <c r="I165">
        <v>0.59230769999999999</v>
      </c>
      <c r="J165">
        <v>2004</v>
      </c>
      <c r="K165">
        <v>10</v>
      </c>
      <c r="L165">
        <v>18</v>
      </c>
      <c r="M165" t="s">
        <v>92</v>
      </c>
      <c r="N165">
        <v>0</v>
      </c>
      <c r="O165">
        <v>0</v>
      </c>
    </row>
    <row r="166" spans="1:15" x14ac:dyDescent="0.3">
      <c r="A166">
        <v>261</v>
      </c>
      <c r="B166" s="34">
        <v>38279</v>
      </c>
      <c r="C166">
        <v>1.2491000000000001</v>
      </c>
      <c r="D166">
        <v>0</v>
      </c>
      <c r="F166">
        <v>7.5799999999998299E-2</v>
      </c>
      <c r="G166">
        <v>39.311449159327999</v>
      </c>
      <c r="H166">
        <v>0</v>
      </c>
      <c r="I166">
        <v>0.59003830000000002</v>
      </c>
      <c r="J166">
        <v>2004</v>
      </c>
      <c r="K166">
        <v>10</v>
      </c>
      <c r="L166">
        <v>19</v>
      </c>
      <c r="M166" t="s">
        <v>93</v>
      </c>
      <c r="N166">
        <v>0</v>
      </c>
      <c r="O166">
        <v>0</v>
      </c>
    </row>
    <row r="167" spans="1:15" x14ac:dyDescent="0.3">
      <c r="A167">
        <v>262</v>
      </c>
      <c r="B167" s="34">
        <v>38280</v>
      </c>
      <c r="C167">
        <v>1.2517</v>
      </c>
      <c r="D167">
        <v>2</v>
      </c>
      <c r="E167" t="s">
        <v>128</v>
      </c>
      <c r="F167">
        <v>8.2399999999998197E-2</v>
      </c>
      <c r="G167">
        <v>34.027221777422497</v>
      </c>
      <c r="H167">
        <v>0</v>
      </c>
      <c r="I167">
        <v>0.58778629999999998</v>
      </c>
      <c r="J167">
        <v>2004</v>
      </c>
      <c r="K167">
        <v>10</v>
      </c>
      <c r="L167">
        <v>20</v>
      </c>
      <c r="M167" t="s">
        <v>89</v>
      </c>
      <c r="N167">
        <v>0</v>
      </c>
      <c r="O167">
        <v>0</v>
      </c>
    </row>
    <row r="168" spans="1:15" x14ac:dyDescent="0.3">
      <c r="A168">
        <v>263</v>
      </c>
      <c r="B168" s="34">
        <v>38281</v>
      </c>
      <c r="C168">
        <v>1.2583</v>
      </c>
      <c r="D168">
        <v>-4</v>
      </c>
      <c r="F168">
        <v>7.9399999999998097E-2</v>
      </c>
      <c r="G168">
        <v>36.4291433146524</v>
      </c>
      <c r="H168">
        <v>0</v>
      </c>
      <c r="I168">
        <v>0.5855513</v>
      </c>
      <c r="J168">
        <v>2004</v>
      </c>
      <c r="K168">
        <v>10</v>
      </c>
      <c r="L168">
        <v>21</v>
      </c>
      <c r="M168" t="s">
        <v>90</v>
      </c>
      <c r="N168">
        <v>0</v>
      </c>
      <c r="O168">
        <v>0</v>
      </c>
    </row>
    <row r="169" spans="1:15" x14ac:dyDescent="0.3">
      <c r="A169">
        <v>264</v>
      </c>
      <c r="B169" s="34">
        <v>38282</v>
      </c>
      <c r="C169">
        <v>1.2613000000000001</v>
      </c>
      <c r="D169">
        <v>0</v>
      </c>
      <c r="F169">
        <v>7.9399999999998097E-2</v>
      </c>
      <c r="G169">
        <v>36.4291433146524</v>
      </c>
      <c r="H169">
        <v>0</v>
      </c>
      <c r="I169">
        <v>0.58333330000000005</v>
      </c>
      <c r="J169">
        <v>2004</v>
      </c>
      <c r="K169">
        <v>10</v>
      </c>
      <c r="L169">
        <v>22</v>
      </c>
      <c r="M169" t="s">
        <v>91</v>
      </c>
      <c r="N169">
        <v>0</v>
      </c>
      <c r="O169">
        <v>0</v>
      </c>
    </row>
    <row r="170" spans="1:15" x14ac:dyDescent="0.3">
      <c r="A170">
        <v>265</v>
      </c>
      <c r="B170" s="34">
        <v>38285</v>
      </c>
      <c r="C170">
        <v>1.2685999999999999</v>
      </c>
      <c r="D170">
        <v>-5</v>
      </c>
      <c r="F170">
        <v>6.7699999999998095E-2</v>
      </c>
      <c r="G170">
        <v>45.796637309848698</v>
      </c>
      <c r="H170">
        <v>0</v>
      </c>
      <c r="I170">
        <v>0.58113210000000004</v>
      </c>
      <c r="J170">
        <v>2004</v>
      </c>
      <c r="K170">
        <v>10</v>
      </c>
      <c r="L170">
        <v>25</v>
      </c>
      <c r="M170" t="s">
        <v>92</v>
      </c>
      <c r="N170">
        <v>0</v>
      </c>
      <c r="O170">
        <v>0</v>
      </c>
    </row>
    <row r="171" spans="1:15" x14ac:dyDescent="0.3">
      <c r="A171">
        <v>266</v>
      </c>
      <c r="B171" s="34">
        <v>38286</v>
      </c>
      <c r="C171">
        <v>1.2803</v>
      </c>
      <c r="D171">
        <v>0</v>
      </c>
      <c r="F171">
        <v>6.7699999999998095E-2</v>
      </c>
      <c r="G171">
        <v>45.796637309848698</v>
      </c>
      <c r="H171">
        <v>0</v>
      </c>
      <c r="I171">
        <v>0.5789474</v>
      </c>
      <c r="J171">
        <v>2004</v>
      </c>
      <c r="K171">
        <v>10</v>
      </c>
      <c r="L171">
        <v>26</v>
      </c>
      <c r="M171" t="s">
        <v>93</v>
      </c>
      <c r="N171">
        <v>0</v>
      </c>
      <c r="O171">
        <v>0</v>
      </c>
    </row>
    <row r="172" spans="1:15" x14ac:dyDescent="0.3">
      <c r="A172">
        <v>267</v>
      </c>
      <c r="B172" s="34">
        <v>38287</v>
      </c>
      <c r="C172">
        <v>1.2746999999999999</v>
      </c>
      <c r="D172">
        <v>0</v>
      </c>
      <c r="F172">
        <v>6.7699999999998095E-2</v>
      </c>
      <c r="G172">
        <v>45.796637309848698</v>
      </c>
      <c r="H172">
        <v>1</v>
      </c>
      <c r="I172">
        <v>0.58052429999999999</v>
      </c>
      <c r="J172">
        <v>2004</v>
      </c>
      <c r="K172">
        <v>10</v>
      </c>
      <c r="L172">
        <v>27</v>
      </c>
      <c r="M172" t="s">
        <v>89</v>
      </c>
      <c r="N172">
        <v>0</v>
      </c>
      <c r="O172">
        <v>0</v>
      </c>
    </row>
    <row r="173" spans="1:15" x14ac:dyDescent="0.3">
      <c r="A173">
        <v>268</v>
      </c>
      <c r="B173" s="34">
        <v>38288</v>
      </c>
      <c r="C173">
        <v>1.2702</v>
      </c>
      <c r="D173">
        <v>2</v>
      </c>
      <c r="E173" t="s">
        <v>129</v>
      </c>
      <c r="F173">
        <v>7.1699999999998099E-2</v>
      </c>
      <c r="G173">
        <v>42.594075260208903</v>
      </c>
      <c r="H173">
        <v>1</v>
      </c>
      <c r="I173">
        <v>0.58208950000000004</v>
      </c>
      <c r="J173">
        <v>2004</v>
      </c>
      <c r="K173">
        <v>10</v>
      </c>
      <c r="L173">
        <v>28</v>
      </c>
      <c r="M173" t="s">
        <v>90</v>
      </c>
      <c r="N173">
        <v>0</v>
      </c>
      <c r="O173">
        <v>0</v>
      </c>
    </row>
    <row r="174" spans="1:15" x14ac:dyDescent="0.3">
      <c r="A174">
        <v>269</v>
      </c>
      <c r="B174" s="34">
        <v>38289</v>
      </c>
      <c r="C174">
        <v>1.2742</v>
      </c>
      <c r="D174">
        <v>-3</v>
      </c>
      <c r="F174">
        <v>6.7199999999998095E-2</v>
      </c>
      <c r="G174">
        <v>46.196957566053598</v>
      </c>
      <c r="H174">
        <v>1</v>
      </c>
      <c r="I174">
        <v>0.58364309999999997</v>
      </c>
      <c r="J174">
        <v>2004</v>
      </c>
      <c r="K174">
        <v>10</v>
      </c>
      <c r="L174">
        <v>29</v>
      </c>
      <c r="M174" t="s">
        <v>91</v>
      </c>
      <c r="N174">
        <v>0</v>
      </c>
      <c r="O174">
        <v>0</v>
      </c>
    </row>
    <row r="175" spans="1:15" x14ac:dyDescent="0.3">
      <c r="A175">
        <v>270</v>
      </c>
      <c r="B175" s="34">
        <v>38292</v>
      </c>
      <c r="C175">
        <v>1.2786999999999999</v>
      </c>
      <c r="D175">
        <v>0</v>
      </c>
      <c r="F175">
        <v>6.7199999999998095E-2</v>
      </c>
      <c r="G175">
        <v>46.196957566053598</v>
      </c>
      <c r="H175">
        <v>0</v>
      </c>
      <c r="I175">
        <v>0.58148149999999998</v>
      </c>
      <c r="J175">
        <v>2004</v>
      </c>
      <c r="K175">
        <v>11</v>
      </c>
      <c r="L175">
        <v>1</v>
      </c>
      <c r="M175" t="s">
        <v>92</v>
      </c>
      <c r="N175">
        <v>0</v>
      </c>
      <c r="O175">
        <v>0</v>
      </c>
    </row>
    <row r="176" spans="1:15" x14ac:dyDescent="0.3">
      <c r="A176">
        <v>271</v>
      </c>
      <c r="B176" s="34">
        <v>38293</v>
      </c>
      <c r="C176">
        <v>1.2753000000000001</v>
      </c>
      <c r="D176">
        <v>0</v>
      </c>
      <c r="F176">
        <v>6.7199999999998095E-2</v>
      </c>
      <c r="G176">
        <v>46.196957566053598</v>
      </c>
      <c r="H176">
        <v>1</v>
      </c>
      <c r="I176">
        <v>0.58302580000000004</v>
      </c>
      <c r="J176">
        <v>2004</v>
      </c>
      <c r="K176">
        <v>11</v>
      </c>
      <c r="L176">
        <v>2</v>
      </c>
      <c r="M176" t="s">
        <v>93</v>
      </c>
      <c r="N176">
        <v>0</v>
      </c>
      <c r="O176">
        <v>0</v>
      </c>
    </row>
    <row r="177" spans="1:15" x14ac:dyDescent="0.3">
      <c r="A177">
        <v>272</v>
      </c>
      <c r="B177" s="34">
        <v>38294</v>
      </c>
      <c r="C177">
        <v>1.2744</v>
      </c>
      <c r="D177">
        <v>1</v>
      </c>
      <c r="E177" t="s">
        <v>130</v>
      </c>
      <c r="F177">
        <v>7.5399999999998094E-2</v>
      </c>
      <c r="G177">
        <v>39.631705364292102</v>
      </c>
      <c r="H177">
        <v>0</v>
      </c>
      <c r="I177">
        <v>0.58088240000000002</v>
      </c>
      <c r="J177">
        <v>2004</v>
      </c>
      <c r="K177">
        <v>11</v>
      </c>
      <c r="L177">
        <v>3</v>
      </c>
      <c r="M177" t="s">
        <v>89</v>
      </c>
      <c r="N177">
        <v>0</v>
      </c>
      <c r="O177">
        <v>0</v>
      </c>
    </row>
    <row r="178" spans="1:15" x14ac:dyDescent="0.3">
      <c r="A178">
        <v>273</v>
      </c>
      <c r="B178" s="34">
        <v>38295</v>
      </c>
      <c r="C178">
        <v>1.2826</v>
      </c>
      <c r="D178">
        <v>-2</v>
      </c>
      <c r="F178">
        <v>7.0899999999998103E-2</v>
      </c>
      <c r="G178">
        <v>43.234587670136797</v>
      </c>
      <c r="H178">
        <v>1</v>
      </c>
      <c r="I178">
        <v>0.58241759999999998</v>
      </c>
      <c r="J178">
        <v>2004</v>
      </c>
      <c r="K178">
        <v>11</v>
      </c>
      <c r="L178">
        <v>4</v>
      </c>
      <c r="M178" t="s">
        <v>90</v>
      </c>
      <c r="N178">
        <v>0</v>
      </c>
      <c r="O178">
        <v>0</v>
      </c>
    </row>
    <row r="179" spans="1:15" x14ac:dyDescent="0.3">
      <c r="A179">
        <v>274</v>
      </c>
      <c r="B179" s="34">
        <v>38296</v>
      </c>
      <c r="C179">
        <v>1.2870999999999999</v>
      </c>
      <c r="D179">
        <v>0</v>
      </c>
      <c r="F179">
        <v>7.0899999999998103E-2</v>
      </c>
      <c r="G179">
        <v>43.234587670136797</v>
      </c>
      <c r="H179">
        <v>0</v>
      </c>
      <c r="I179">
        <v>0.58029200000000003</v>
      </c>
      <c r="J179">
        <v>2004</v>
      </c>
      <c r="K179">
        <v>11</v>
      </c>
      <c r="L179">
        <v>5</v>
      </c>
      <c r="M179" t="s">
        <v>91</v>
      </c>
      <c r="N179">
        <v>0</v>
      </c>
      <c r="O179">
        <v>0</v>
      </c>
    </row>
    <row r="180" spans="1:15" x14ac:dyDescent="0.3">
      <c r="A180">
        <v>275</v>
      </c>
      <c r="B180" s="34">
        <v>38299</v>
      </c>
      <c r="C180">
        <v>1.2974000000000001</v>
      </c>
      <c r="D180">
        <v>0</v>
      </c>
      <c r="F180">
        <v>7.0899999999998103E-2</v>
      </c>
      <c r="G180">
        <v>43.234587670136797</v>
      </c>
      <c r="H180">
        <v>0</v>
      </c>
      <c r="I180">
        <v>0.57818179999999997</v>
      </c>
      <c r="J180">
        <v>2004</v>
      </c>
      <c r="K180">
        <v>11</v>
      </c>
      <c r="L180">
        <v>8</v>
      </c>
      <c r="M180" t="s">
        <v>92</v>
      </c>
      <c r="N180">
        <v>0</v>
      </c>
      <c r="O180">
        <v>0</v>
      </c>
    </row>
    <row r="181" spans="1:15" x14ac:dyDescent="0.3">
      <c r="A181">
        <v>276</v>
      </c>
      <c r="B181" s="34">
        <v>38300</v>
      </c>
      <c r="C181">
        <v>1.2911999999999999</v>
      </c>
      <c r="D181">
        <v>0</v>
      </c>
      <c r="F181">
        <v>7.0899999999998103E-2</v>
      </c>
      <c r="G181">
        <v>43.234587670136797</v>
      </c>
      <c r="H181">
        <v>1</v>
      </c>
      <c r="I181">
        <v>0.57971010000000001</v>
      </c>
      <c r="J181">
        <v>2004</v>
      </c>
      <c r="K181">
        <v>11</v>
      </c>
      <c r="L181">
        <v>9</v>
      </c>
      <c r="M181" t="s">
        <v>93</v>
      </c>
      <c r="N181">
        <v>0</v>
      </c>
      <c r="O181">
        <v>0</v>
      </c>
    </row>
    <row r="182" spans="1:15" x14ac:dyDescent="0.3">
      <c r="A182">
        <v>277</v>
      </c>
      <c r="B182" s="34">
        <v>38301</v>
      </c>
      <c r="C182">
        <v>1.2897000000000001</v>
      </c>
      <c r="D182">
        <v>11</v>
      </c>
      <c r="E182" t="s">
        <v>131</v>
      </c>
      <c r="F182">
        <v>7.0199999999998E-2</v>
      </c>
      <c r="G182">
        <v>43.795036028823901</v>
      </c>
      <c r="H182">
        <v>1</v>
      </c>
      <c r="I182">
        <v>0.58122739999999995</v>
      </c>
      <c r="J182">
        <v>2004</v>
      </c>
      <c r="K182">
        <v>11</v>
      </c>
      <c r="L182">
        <v>10</v>
      </c>
      <c r="M182" t="s">
        <v>89</v>
      </c>
      <c r="N182">
        <v>0</v>
      </c>
      <c r="O182">
        <v>0</v>
      </c>
    </row>
    <row r="183" spans="1:15" x14ac:dyDescent="0.3">
      <c r="A183">
        <v>278</v>
      </c>
      <c r="B183" s="34">
        <v>38302</v>
      </c>
      <c r="C183">
        <v>1.2889999999999999</v>
      </c>
      <c r="D183">
        <v>0</v>
      </c>
      <c r="F183">
        <v>7.0199999999998E-2</v>
      </c>
      <c r="G183">
        <v>43.795036028823901</v>
      </c>
      <c r="H183">
        <v>0</v>
      </c>
      <c r="I183">
        <v>0.57913669999999995</v>
      </c>
      <c r="J183">
        <v>2004</v>
      </c>
      <c r="K183">
        <v>11</v>
      </c>
      <c r="L183">
        <v>11</v>
      </c>
      <c r="M183" t="s">
        <v>90</v>
      </c>
      <c r="N183">
        <v>0</v>
      </c>
      <c r="O183">
        <v>0</v>
      </c>
    </row>
    <row r="184" spans="1:15" x14ac:dyDescent="0.3">
      <c r="A184">
        <v>279</v>
      </c>
      <c r="B184" s="34">
        <v>38303</v>
      </c>
      <c r="C184">
        <v>1.2907999999999999</v>
      </c>
      <c r="D184">
        <v>-3</v>
      </c>
      <c r="F184">
        <v>6.3999999999998003E-2</v>
      </c>
      <c r="G184">
        <v>48.759007205765499</v>
      </c>
      <c r="H184">
        <v>1</v>
      </c>
      <c r="I184">
        <v>0.58064510000000003</v>
      </c>
      <c r="J184">
        <v>2004</v>
      </c>
      <c r="K184">
        <v>11</v>
      </c>
      <c r="L184">
        <v>12</v>
      </c>
      <c r="M184" t="s">
        <v>91</v>
      </c>
      <c r="N184">
        <v>0</v>
      </c>
      <c r="O184">
        <v>0</v>
      </c>
    </row>
    <row r="185" spans="1:15" x14ac:dyDescent="0.3">
      <c r="A185">
        <v>280</v>
      </c>
      <c r="B185" s="34">
        <v>38306</v>
      </c>
      <c r="C185">
        <v>1.2969999999999999</v>
      </c>
      <c r="D185">
        <v>-2</v>
      </c>
      <c r="F185">
        <v>6.6199999999997997E-2</v>
      </c>
      <c r="G185">
        <v>46.997598078463596</v>
      </c>
      <c r="H185">
        <v>0</v>
      </c>
      <c r="I185">
        <v>0.57857139999999996</v>
      </c>
      <c r="J185">
        <v>2004</v>
      </c>
      <c r="K185">
        <v>11</v>
      </c>
      <c r="L185">
        <v>15</v>
      </c>
      <c r="M185" t="s">
        <v>92</v>
      </c>
      <c r="N185">
        <v>0</v>
      </c>
      <c r="O185">
        <v>0</v>
      </c>
    </row>
    <row r="186" spans="1:15" x14ac:dyDescent="0.3">
      <c r="A186">
        <v>281</v>
      </c>
      <c r="B186" s="34">
        <v>38307</v>
      </c>
      <c r="C186">
        <v>1.2948</v>
      </c>
      <c r="D186">
        <v>0</v>
      </c>
      <c r="F186">
        <v>6.6199999999997997E-2</v>
      </c>
      <c r="G186">
        <v>46.997598078463596</v>
      </c>
      <c r="H186">
        <v>1</v>
      </c>
      <c r="I186">
        <v>0.58007120000000001</v>
      </c>
      <c r="J186">
        <v>2004</v>
      </c>
      <c r="K186">
        <v>11</v>
      </c>
      <c r="L186">
        <v>16</v>
      </c>
      <c r="M186" t="s">
        <v>93</v>
      </c>
      <c r="N186">
        <v>0</v>
      </c>
      <c r="O186">
        <v>0</v>
      </c>
    </row>
    <row r="187" spans="1:15" x14ac:dyDescent="0.3">
      <c r="A187">
        <v>282</v>
      </c>
      <c r="B187" s="34">
        <v>38308</v>
      </c>
      <c r="C187">
        <v>1.2959000000000001</v>
      </c>
      <c r="D187">
        <v>-6</v>
      </c>
      <c r="F187">
        <v>5.8399999999998002E-2</v>
      </c>
      <c r="G187">
        <v>53.242594075261202</v>
      </c>
      <c r="H187">
        <v>0</v>
      </c>
      <c r="I187">
        <v>0.57801420000000003</v>
      </c>
      <c r="J187">
        <v>2004</v>
      </c>
      <c r="K187">
        <v>11</v>
      </c>
      <c r="L187">
        <v>17</v>
      </c>
      <c r="M187" t="s">
        <v>89</v>
      </c>
      <c r="N187">
        <v>0</v>
      </c>
      <c r="O187">
        <v>0</v>
      </c>
    </row>
    <row r="188" spans="1:15" x14ac:dyDescent="0.3">
      <c r="A188">
        <v>283</v>
      </c>
      <c r="B188" s="34">
        <v>38309</v>
      </c>
      <c r="C188">
        <v>1.3037000000000001</v>
      </c>
      <c r="D188">
        <v>-5</v>
      </c>
      <c r="F188">
        <v>6.7699999999998095E-2</v>
      </c>
      <c r="G188">
        <v>45.796637309848698</v>
      </c>
      <c r="H188">
        <v>0</v>
      </c>
      <c r="I188">
        <v>0.57597169999999998</v>
      </c>
      <c r="J188">
        <v>2004</v>
      </c>
      <c r="K188">
        <v>11</v>
      </c>
      <c r="L188">
        <v>18</v>
      </c>
      <c r="M188" t="s">
        <v>90</v>
      </c>
      <c r="N188">
        <v>0</v>
      </c>
      <c r="O188">
        <v>0</v>
      </c>
    </row>
    <row r="189" spans="1:15" x14ac:dyDescent="0.3">
      <c r="A189">
        <v>284</v>
      </c>
      <c r="B189" s="34">
        <v>38310</v>
      </c>
      <c r="C189">
        <v>1.2944</v>
      </c>
      <c r="D189">
        <v>0</v>
      </c>
      <c r="F189">
        <v>6.7699999999998095E-2</v>
      </c>
      <c r="G189">
        <v>45.796637309848698</v>
      </c>
      <c r="H189">
        <v>1</v>
      </c>
      <c r="I189">
        <v>0.5774648</v>
      </c>
      <c r="J189">
        <v>2004</v>
      </c>
      <c r="K189">
        <v>11</v>
      </c>
      <c r="L189">
        <v>19</v>
      </c>
      <c r="M189" t="s">
        <v>91</v>
      </c>
      <c r="N189">
        <v>0</v>
      </c>
      <c r="O189">
        <v>0</v>
      </c>
    </row>
    <row r="190" spans="1:15" x14ac:dyDescent="0.3">
      <c r="A190">
        <v>285</v>
      </c>
      <c r="B190" s="34">
        <v>38313</v>
      </c>
      <c r="C190">
        <v>1.3053999999999999</v>
      </c>
      <c r="D190">
        <v>-3</v>
      </c>
      <c r="F190">
        <v>6.8999999999997896E-2</v>
      </c>
      <c r="G190">
        <v>44.755804643715898</v>
      </c>
      <c r="H190">
        <v>1</v>
      </c>
      <c r="I190">
        <v>0.5789474</v>
      </c>
      <c r="J190">
        <v>2004</v>
      </c>
      <c r="K190">
        <v>11</v>
      </c>
      <c r="L190">
        <v>22</v>
      </c>
      <c r="M190" t="s">
        <v>92</v>
      </c>
      <c r="N190">
        <v>0</v>
      </c>
      <c r="O190">
        <v>0</v>
      </c>
    </row>
    <row r="191" spans="1:15" x14ac:dyDescent="0.3">
      <c r="A191">
        <v>286</v>
      </c>
      <c r="B191" s="34">
        <v>38314</v>
      </c>
      <c r="C191">
        <v>1.3041</v>
      </c>
      <c r="D191">
        <v>0</v>
      </c>
      <c r="F191">
        <v>6.8999999999997896E-2</v>
      </c>
      <c r="G191">
        <v>44.755804643715898</v>
      </c>
      <c r="H191">
        <v>1</v>
      </c>
      <c r="I191">
        <v>0.58041960000000004</v>
      </c>
      <c r="J191">
        <v>2004</v>
      </c>
      <c r="K191">
        <v>11</v>
      </c>
      <c r="L191">
        <v>23</v>
      </c>
      <c r="M191" t="s">
        <v>93</v>
      </c>
      <c r="N191">
        <v>0</v>
      </c>
      <c r="O191">
        <v>0</v>
      </c>
    </row>
    <row r="192" spans="1:15" x14ac:dyDescent="0.3">
      <c r="A192">
        <v>287</v>
      </c>
      <c r="B192" s="34">
        <v>38315</v>
      </c>
      <c r="C192">
        <v>1.3085</v>
      </c>
      <c r="D192">
        <v>0</v>
      </c>
      <c r="F192">
        <v>6.8999999999997896E-2</v>
      </c>
      <c r="G192">
        <v>44.755804643715898</v>
      </c>
      <c r="H192">
        <v>0</v>
      </c>
      <c r="I192">
        <v>0.57839719999999994</v>
      </c>
      <c r="J192">
        <v>2004</v>
      </c>
      <c r="K192">
        <v>11</v>
      </c>
      <c r="L192">
        <v>24</v>
      </c>
      <c r="M192" t="s">
        <v>89</v>
      </c>
      <c r="N192">
        <v>0</v>
      </c>
      <c r="O192">
        <v>0</v>
      </c>
    </row>
    <row r="193" spans="1:15" x14ac:dyDescent="0.3">
      <c r="A193">
        <v>288</v>
      </c>
      <c r="B193" s="34">
        <v>38316</v>
      </c>
      <c r="C193">
        <v>1.3187</v>
      </c>
      <c r="D193">
        <v>0</v>
      </c>
      <c r="F193">
        <v>6.8999999999997896E-2</v>
      </c>
      <c r="G193">
        <v>44.755804643715898</v>
      </c>
      <c r="H193">
        <v>0</v>
      </c>
      <c r="I193">
        <v>0.57638889999999998</v>
      </c>
      <c r="J193">
        <v>2004</v>
      </c>
      <c r="K193">
        <v>11</v>
      </c>
      <c r="L193">
        <v>25</v>
      </c>
      <c r="M193" t="s">
        <v>90</v>
      </c>
      <c r="N193">
        <v>0</v>
      </c>
      <c r="O193">
        <v>0</v>
      </c>
    </row>
    <row r="194" spans="1:15" x14ac:dyDescent="0.3">
      <c r="A194">
        <v>289</v>
      </c>
      <c r="B194" s="34">
        <v>38317</v>
      </c>
      <c r="C194">
        <v>1.3274999999999999</v>
      </c>
      <c r="D194">
        <v>0</v>
      </c>
      <c r="F194">
        <v>6.8999999999997896E-2</v>
      </c>
      <c r="G194">
        <v>44.755804643715898</v>
      </c>
      <c r="H194">
        <v>0</v>
      </c>
      <c r="I194">
        <v>0.57439450000000003</v>
      </c>
      <c r="J194">
        <v>2004</v>
      </c>
      <c r="K194">
        <v>11</v>
      </c>
      <c r="L194">
        <v>26</v>
      </c>
      <c r="M194" t="s">
        <v>91</v>
      </c>
      <c r="N194">
        <v>0</v>
      </c>
      <c r="O194">
        <v>0</v>
      </c>
    </row>
    <row r="195" spans="1:15" x14ac:dyDescent="0.3">
      <c r="A195">
        <v>290</v>
      </c>
      <c r="B195" s="34">
        <v>38320</v>
      </c>
      <c r="C195">
        <v>1.3297000000000001</v>
      </c>
      <c r="D195">
        <v>0</v>
      </c>
      <c r="F195">
        <v>6.8999999999997896E-2</v>
      </c>
      <c r="G195">
        <v>44.755804643715898</v>
      </c>
      <c r="H195">
        <v>0</v>
      </c>
      <c r="I195">
        <v>0.57241379999999997</v>
      </c>
      <c r="J195">
        <v>2004</v>
      </c>
      <c r="K195">
        <v>11</v>
      </c>
      <c r="L195">
        <v>29</v>
      </c>
      <c r="M195" t="s">
        <v>92</v>
      </c>
      <c r="N195">
        <v>0</v>
      </c>
      <c r="O195">
        <v>0</v>
      </c>
    </row>
    <row r="196" spans="1:15" x14ac:dyDescent="0.3">
      <c r="A196">
        <v>291</v>
      </c>
      <c r="B196" s="34">
        <v>38321</v>
      </c>
      <c r="C196">
        <v>1.327</v>
      </c>
      <c r="D196">
        <v>2</v>
      </c>
      <c r="E196" t="s">
        <v>132</v>
      </c>
      <c r="F196">
        <v>7.0899999999997895E-2</v>
      </c>
      <c r="G196">
        <v>43.234587670137003</v>
      </c>
      <c r="H196">
        <v>1</v>
      </c>
      <c r="I196">
        <v>0.57388320000000004</v>
      </c>
      <c r="J196">
        <v>2004</v>
      </c>
      <c r="K196">
        <v>11</v>
      </c>
      <c r="L196">
        <v>30</v>
      </c>
      <c r="M196" t="s">
        <v>93</v>
      </c>
      <c r="N196">
        <v>0</v>
      </c>
      <c r="O196">
        <v>0</v>
      </c>
    </row>
    <row r="197" spans="1:15" x14ac:dyDescent="0.3">
      <c r="A197">
        <v>292</v>
      </c>
      <c r="B197" s="34">
        <v>38322</v>
      </c>
      <c r="C197">
        <v>1.3289</v>
      </c>
      <c r="D197">
        <v>-7</v>
      </c>
      <c r="F197">
        <v>6.5799999999997805E-2</v>
      </c>
      <c r="G197">
        <v>47.317854283427799</v>
      </c>
      <c r="H197">
        <v>0</v>
      </c>
      <c r="I197">
        <v>0.57191780000000003</v>
      </c>
      <c r="J197">
        <v>2004</v>
      </c>
      <c r="K197">
        <v>12</v>
      </c>
      <c r="L197">
        <v>1</v>
      </c>
      <c r="M197" t="s">
        <v>89</v>
      </c>
      <c r="N197">
        <v>0</v>
      </c>
      <c r="O197">
        <v>0</v>
      </c>
    </row>
    <row r="198" spans="1:15" x14ac:dyDescent="0.3">
      <c r="A198">
        <v>293</v>
      </c>
      <c r="B198" s="34">
        <v>38323</v>
      </c>
      <c r="C198">
        <v>1.3340000000000001</v>
      </c>
      <c r="D198">
        <v>-1</v>
      </c>
      <c r="F198">
        <v>7.3099999999997903E-2</v>
      </c>
      <c r="G198">
        <v>41.4731785428351</v>
      </c>
      <c r="H198">
        <v>0</v>
      </c>
      <c r="I198">
        <v>0.56996590000000003</v>
      </c>
      <c r="J198">
        <v>2004</v>
      </c>
      <c r="K198">
        <v>12</v>
      </c>
      <c r="L198">
        <v>2</v>
      </c>
      <c r="M198" t="s">
        <v>90</v>
      </c>
      <c r="N198">
        <v>0</v>
      </c>
      <c r="O198">
        <v>0</v>
      </c>
    </row>
    <row r="199" spans="1:15" x14ac:dyDescent="0.3">
      <c r="A199">
        <v>294</v>
      </c>
      <c r="B199" s="34">
        <v>38324</v>
      </c>
      <c r="C199">
        <v>1.3267</v>
      </c>
      <c r="D199">
        <v>0</v>
      </c>
      <c r="F199">
        <v>7.3099999999997903E-2</v>
      </c>
      <c r="G199">
        <v>41.4731785428351</v>
      </c>
      <c r="H199">
        <v>1</v>
      </c>
      <c r="I199">
        <v>0.57142859999999995</v>
      </c>
      <c r="J199">
        <v>2004</v>
      </c>
      <c r="K199">
        <v>12</v>
      </c>
      <c r="L199">
        <v>3</v>
      </c>
      <c r="M199" t="s">
        <v>91</v>
      </c>
      <c r="N199">
        <v>0</v>
      </c>
      <c r="O199">
        <v>0</v>
      </c>
    </row>
    <row r="200" spans="1:15" x14ac:dyDescent="0.3">
      <c r="A200">
        <v>295</v>
      </c>
      <c r="B200" s="34">
        <v>38327</v>
      </c>
      <c r="C200">
        <v>1.3454999999999999</v>
      </c>
      <c r="D200">
        <v>-1</v>
      </c>
      <c r="F200">
        <v>7.8299999999997802E-2</v>
      </c>
      <c r="G200">
        <v>37.3098478783036</v>
      </c>
      <c r="H200">
        <v>1</v>
      </c>
      <c r="I200">
        <v>0.57288130000000004</v>
      </c>
      <c r="J200">
        <v>2004</v>
      </c>
      <c r="K200">
        <v>12</v>
      </c>
      <c r="L200">
        <v>6</v>
      </c>
      <c r="M200" t="s">
        <v>92</v>
      </c>
      <c r="N200">
        <v>0</v>
      </c>
      <c r="O200">
        <v>0</v>
      </c>
    </row>
    <row r="201" spans="1:15" x14ac:dyDescent="0.3">
      <c r="A201">
        <v>296</v>
      </c>
      <c r="B201" s="34">
        <v>38328</v>
      </c>
      <c r="C201">
        <v>1.3403</v>
      </c>
      <c r="D201">
        <v>0</v>
      </c>
      <c r="F201">
        <v>7.8299999999997802E-2</v>
      </c>
      <c r="G201">
        <v>37.3098478783036</v>
      </c>
      <c r="H201">
        <v>1</v>
      </c>
      <c r="I201">
        <v>0.57432430000000001</v>
      </c>
      <c r="J201">
        <v>2004</v>
      </c>
      <c r="K201">
        <v>12</v>
      </c>
      <c r="L201">
        <v>7</v>
      </c>
      <c r="M201" t="s">
        <v>93</v>
      </c>
      <c r="N201">
        <v>0</v>
      </c>
      <c r="O201">
        <v>0</v>
      </c>
    </row>
    <row r="202" spans="1:15" x14ac:dyDescent="0.3">
      <c r="A202">
        <v>297</v>
      </c>
      <c r="B202" s="34">
        <v>38329</v>
      </c>
      <c r="C202">
        <v>1.3425</v>
      </c>
      <c r="D202">
        <v>-2</v>
      </c>
      <c r="F202">
        <v>8.5299999999997905E-2</v>
      </c>
      <c r="G202">
        <v>31.705364291433899</v>
      </c>
      <c r="H202">
        <v>0</v>
      </c>
      <c r="I202">
        <v>0.57239059999999997</v>
      </c>
      <c r="J202">
        <v>2004</v>
      </c>
      <c r="K202">
        <v>12</v>
      </c>
      <c r="L202">
        <v>8</v>
      </c>
      <c r="M202" t="s">
        <v>89</v>
      </c>
      <c r="N202">
        <v>0</v>
      </c>
      <c r="O202">
        <v>0</v>
      </c>
    </row>
    <row r="203" spans="1:15" x14ac:dyDescent="0.3">
      <c r="A203">
        <v>298</v>
      </c>
      <c r="B203" s="34">
        <v>38330</v>
      </c>
      <c r="C203">
        <v>1.3354999999999999</v>
      </c>
      <c r="D203">
        <v>0</v>
      </c>
      <c r="F203">
        <v>8.5299999999997905E-2</v>
      </c>
      <c r="G203">
        <v>31.705364291433899</v>
      </c>
      <c r="H203">
        <v>1</v>
      </c>
      <c r="I203">
        <v>0.57382549999999999</v>
      </c>
      <c r="J203">
        <v>2004</v>
      </c>
      <c r="K203">
        <v>12</v>
      </c>
      <c r="L203">
        <v>9</v>
      </c>
      <c r="M203" t="s">
        <v>90</v>
      </c>
      <c r="N203">
        <v>0</v>
      </c>
      <c r="O203">
        <v>0</v>
      </c>
    </row>
    <row r="204" spans="1:15" x14ac:dyDescent="0.3">
      <c r="A204">
        <v>299</v>
      </c>
      <c r="B204" s="34">
        <v>38331</v>
      </c>
      <c r="C204">
        <v>1.3309</v>
      </c>
      <c r="D204">
        <v>0</v>
      </c>
      <c r="F204">
        <v>8.5299999999997905E-2</v>
      </c>
      <c r="G204">
        <v>31.705364291433899</v>
      </c>
      <c r="H204">
        <v>0</v>
      </c>
      <c r="I204">
        <v>0.57190629999999998</v>
      </c>
      <c r="J204">
        <v>2004</v>
      </c>
      <c r="K204">
        <v>12</v>
      </c>
      <c r="L204">
        <v>10</v>
      </c>
      <c r="M204" t="s">
        <v>91</v>
      </c>
      <c r="N204">
        <v>0</v>
      </c>
      <c r="O204">
        <v>0</v>
      </c>
    </row>
    <row r="205" spans="1:15" x14ac:dyDescent="0.3">
      <c r="A205">
        <v>300</v>
      </c>
      <c r="B205" s="34">
        <v>38334</v>
      </c>
      <c r="C205">
        <v>1.3211999999999999</v>
      </c>
      <c r="D205">
        <v>0</v>
      </c>
      <c r="F205">
        <v>8.5299999999997905E-2</v>
      </c>
      <c r="G205">
        <v>31.705364291433899</v>
      </c>
      <c r="H205">
        <v>0</v>
      </c>
      <c r="I205">
        <v>0.56999999999999995</v>
      </c>
      <c r="J205">
        <v>2004</v>
      </c>
      <c r="K205">
        <v>12</v>
      </c>
      <c r="L205">
        <v>13</v>
      </c>
      <c r="M205" t="s">
        <v>92</v>
      </c>
      <c r="N205">
        <v>0</v>
      </c>
      <c r="O205">
        <v>0</v>
      </c>
    </row>
    <row r="206" spans="1:15" x14ac:dyDescent="0.3">
      <c r="A206">
        <v>301</v>
      </c>
      <c r="B206" s="34">
        <v>38335</v>
      </c>
      <c r="C206">
        <v>1.3314999999999999</v>
      </c>
      <c r="D206">
        <v>0</v>
      </c>
      <c r="F206">
        <v>8.5299999999997905E-2</v>
      </c>
      <c r="G206">
        <v>31.705364291433899</v>
      </c>
      <c r="H206">
        <v>1</v>
      </c>
      <c r="I206">
        <v>0.57142859999999995</v>
      </c>
      <c r="J206">
        <v>2004</v>
      </c>
      <c r="K206">
        <v>12</v>
      </c>
      <c r="L206">
        <v>14</v>
      </c>
      <c r="M206" t="s">
        <v>93</v>
      </c>
      <c r="N206">
        <v>0</v>
      </c>
      <c r="O206">
        <v>0</v>
      </c>
    </row>
    <row r="207" spans="1:15" x14ac:dyDescent="0.3">
      <c r="A207">
        <v>302</v>
      </c>
      <c r="B207" s="34">
        <v>38336</v>
      </c>
      <c r="C207">
        <v>1.329</v>
      </c>
      <c r="D207">
        <v>4</v>
      </c>
      <c r="E207" t="s">
        <v>133</v>
      </c>
      <c r="F207">
        <v>9.6199999999997995E-2</v>
      </c>
      <c r="G207">
        <v>22.978382706165501</v>
      </c>
      <c r="H207">
        <v>0</v>
      </c>
      <c r="I207">
        <v>0.56953640000000005</v>
      </c>
      <c r="J207">
        <v>2004</v>
      </c>
      <c r="K207">
        <v>12</v>
      </c>
      <c r="L207">
        <v>15</v>
      </c>
      <c r="M207" t="s">
        <v>89</v>
      </c>
      <c r="N207">
        <v>0</v>
      </c>
      <c r="O207">
        <v>0</v>
      </c>
    </row>
    <row r="208" spans="1:15" x14ac:dyDescent="0.3">
      <c r="A208">
        <v>303</v>
      </c>
      <c r="B208" s="34">
        <v>38337</v>
      </c>
      <c r="C208">
        <v>1.3399000000000001</v>
      </c>
      <c r="D208">
        <v>-3</v>
      </c>
      <c r="F208">
        <v>0.110799999999998</v>
      </c>
      <c r="G208">
        <v>11.289031224980301</v>
      </c>
      <c r="H208">
        <v>1</v>
      </c>
      <c r="I208">
        <v>0.5709571</v>
      </c>
      <c r="J208">
        <v>2004</v>
      </c>
      <c r="K208">
        <v>12</v>
      </c>
      <c r="L208">
        <v>16</v>
      </c>
      <c r="M208" t="s">
        <v>90</v>
      </c>
      <c r="N208">
        <v>0</v>
      </c>
      <c r="O208">
        <v>0</v>
      </c>
    </row>
    <row r="209" spans="1:15" x14ac:dyDescent="0.3">
      <c r="A209">
        <v>304</v>
      </c>
      <c r="B209" s="34">
        <v>38338</v>
      </c>
      <c r="C209">
        <v>1.3252999999999999</v>
      </c>
      <c r="D209">
        <v>0</v>
      </c>
      <c r="F209">
        <v>0.110799999999998</v>
      </c>
      <c r="G209">
        <v>11.289031224980301</v>
      </c>
      <c r="H209">
        <v>1</v>
      </c>
      <c r="I209">
        <v>0.5723684</v>
      </c>
      <c r="J209">
        <v>2004</v>
      </c>
      <c r="K209">
        <v>12</v>
      </c>
      <c r="L209">
        <v>17</v>
      </c>
      <c r="M209" t="s">
        <v>91</v>
      </c>
      <c r="N209">
        <v>0</v>
      </c>
      <c r="O209">
        <v>0</v>
      </c>
    </row>
    <row r="210" spans="1:15" x14ac:dyDescent="0.3">
      <c r="A210">
        <v>305</v>
      </c>
      <c r="B210" s="34">
        <v>38341</v>
      </c>
      <c r="C210">
        <v>1.3315999999999999</v>
      </c>
      <c r="D210">
        <v>0</v>
      </c>
      <c r="F210">
        <v>0.110799999999998</v>
      </c>
      <c r="G210">
        <v>11.289031224980301</v>
      </c>
      <c r="H210">
        <v>1</v>
      </c>
      <c r="I210">
        <v>0.57377049999999996</v>
      </c>
      <c r="J210">
        <v>2004</v>
      </c>
      <c r="K210">
        <v>12</v>
      </c>
      <c r="L210">
        <v>20</v>
      </c>
      <c r="M210" t="s">
        <v>92</v>
      </c>
      <c r="N210">
        <v>0</v>
      </c>
      <c r="O210">
        <v>0</v>
      </c>
    </row>
    <row r="211" spans="1:15" x14ac:dyDescent="0.3">
      <c r="A211">
        <v>306</v>
      </c>
      <c r="B211" s="34">
        <v>38342</v>
      </c>
      <c r="C211">
        <v>1.3396999999999999</v>
      </c>
      <c r="D211">
        <v>-3</v>
      </c>
      <c r="F211">
        <v>0.11409999999999799</v>
      </c>
      <c r="G211">
        <v>8.6469175340276205</v>
      </c>
      <c r="H211">
        <v>1</v>
      </c>
      <c r="I211">
        <v>0.57516339999999999</v>
      </c>
      <c r="J211">
        <v>2004</v>
      </c>
      <c r="K211">
        <v>12</v>
      </c>
      <c r="L211">
        <v>21</v>
      </c>
      <c r="M211" t="s">
        <v>93</v>
      </c>
      <c r="N211">
        <v>0</v>
      </c>
      <c r="O211">
        <v>0</v>
      </c>
    </row>
    <row r="212" spans="1:15" x14ac:dyDescent="0.3">
      <c r="A212">
        <v>307</v>
      </c>
      <c r="B212" s="34">
        <v>38343</v>
      </c>
      <c r="C212">
        <v>1.3364</v>
      </c>
      <c r="D212">
        <v>0</v>
      </c>
      <c r="F212">
        <v>0.11409999999999799</v>
      </c>
      <c r="G212">
        <v>8.6469175340276205</v>
      </c>
      <c r="H212">
        <v>1</v>
      </c>
      <c r="I212">
        <v>0.57654720000000004</v>
      </c>
      <c r="J212">
        <v>2004</v>
      </c>
      <c r="K212">
        <v>12</v>
      </c>
      <c r="L212">
        <v>22</v>
      </c>
      <c r="M212" t="s">
        <v>89</v>
      </c>
      <c r="N212">
        <v>0</v>
      </c>
      <c r="O212">
        <v>0</v>
      </c>
    </row>
    <row r="213" spans="1:15" x14ac:dyDescent="0.3">
      <c r="A213">
        <v>308</v>
      </c>
      <c r="B213" s="34">
        <v>38344</v>
      </c>
      <c r="C213">
        <v>1.339</v>
      </c>
      <c r="D213">
        <v>-2</v>
      </c>
      <c r="F213">
        <v>0.102699999999998</v>
      </c>
      <c r="G213">
        <v>17.774219375500898</v>
      </c>
      <c r="H213">
        <v>0</v>
      </c>
      <c r="I213">
        <v>0.5746753</v>
      </c>
      <c r="J213">
        <v>2004</v>
      </c>
      <c r="K213">
        <v>12</v>
      </c>
      <c r="L213">
        <v>23</v>
      </c>
      <c r="M213" t="s">
        <v>90</v>
      </c>
      <c r="N213">
        <v>0</v>
      </c>
      <c r="O213">
        <v>0</v>
      </c>
    </row>
    <row r="214" spans="1:15" x14ac:dyDescent="0.3">
      <c r="A214">
        <v>309</v>
      </c>
      <c r="B214" s="34">
        <v>38345</v>
      </c>
      <c r="C214">
        <v>1.3504</v>
      </c>
      <c r="D214">
        <v>0</v>
      </c>
      <c r="F214">
        <v>0.102699999999998</v>
      </c>
      <c r="G214">
        <v>17.774219375500898</v>
      </c>
      <c r="H214">
        <v>0</v>
      </c>
      <c r="I214">
        <v>0.57281550000000003</v>
      </c>
      <c r="J214">
        <v>2004</v>
      </c>
      <c r="K214">
        <v>12</v>
      </c>
      <c r="L214">
        <v>24</v>
      </c>
      <c r="M214" t="s">
        <v>91</v>
      </c>
      <c r="N214">
        <v>0</v>
      </c>
      <c r="O214">
        <v>0</v>
      </c>
    </row>
    <row r="215" spans="1:15" x14ac:dyDescent="0.3">
      <c r="A215">
        <v>310</v>
      </c>
      <c r="B215" s="34">
        <v>38348</v>
      </c>
      <c r="C215">
        <v>1.3528</v>
      </c>
      <c r="D215">
        <v>0</v>
      </c>
      <c r="F215">
        <v>0.102699999999998</v>
      </c>
      <c r="G215">
        <v>17.774219375500898</v>
      </c>
      <c r="H215">
        <v>0</v>
      </c>
      <c r="I215">
        <v>0.57096769999999997</v>
      </c>
      <c r="J215">
        <v>2004</v>
      </c>
      <c r="K215">
        <v>12</v>
      </c>
      <c r="L215">
        <v>27</v>
      </c>
      <c r="M215" t="s">
        <v>92</v>
      </c>
      <c r="N215">
        <v>0</v>
      </c>
      <c r="O215">
        <v>0</v>
      </c>
    </row>
    <row r="216" spans="1:15" x14ac:dyDescent="0.3">
      <c r="A216">
        <v>311</v>
      </c>
      <c r="B216" s="34">
        <v>38349</v>
      </c>
      <c r="C216">
        <v>1.3620000000000001</v>
      </c>
      <c r="D216">
        <v>0</v>
      </c>
      <c r="F216">
        <v>0.102699999999998</v>
      </c>
      <c r="G216">
        <v>17.774219375500898</v>
      </c>
      <c r="H216">
        <v>0</v>
      </c>
      <c r="I216">
        <v>0.56913190000000002</v>
      </c>
      <c r="J216">
        <v>2004</v>
      </c>
      <c r="K216">
        <v>12</v>
      </c>
      <c r="L216">
        <v>28</v>
      </c>
      <c r="M216" t="s">
        <v>93</v>
      </c>
      <c r="N216">
        <v>0</v>
      </c>
      <c r="O216">
        <v>0</v>
      </c>
    </row>
    <row r="217" spans="1:15" x14ac:dyDescent="0.3">
      <c r="A217">
        <v>312</v>
      </c>
      <c r="B217" s="34">
        <v>38350</v>
      </c>
      <c r="C217">
        <v>1.3614999999999999</v>
      </c>
      <c r="D217">
        <v>0</v>
      </c>
      <c r="F217">
        <v>0.102699999999998</v>
      </c>
      <c r="G217">
        <v>17.774219375500898</v>
      </c>
      <c r="H217">
        <v>1</v>
      </c>
      <c r="I217">
        <v>0.57051280000000004</v>
      </c>
      <c r="J217">
        <v>2004</v>
      </c>
      <c r="K217">
        <v>12</v>
      </c>
      <c r="L217">
        <v>29</v>
      </c>
      <c r="M217" t="s">
        <v>89</v>
      </c>
      <c r="N217">
        <v>0</v>
      </c>
      <c r="O217">
        <v>0</v>
      </c>
    </row>
    <row r="218" spans="1:15" x14ac:dyDescent="0.3">
      <c r="A218">
        <v>313</v>
      </c>
      <c r="B218" s="34">
        <v>38351</v>
      </c>
      <c r="C218">
        <v>1.3611</v>
      </c>
      <c r="D218">
        <v>5</v>
      </c>
      <c r="E218" t="s">
        <v>134</v>
      </c>
      <c r="F218">
        <v>0.10479999999999801</v>
      </c>
      <c r="G218">
        <v>16.092874299440101</v>
      </c>
      <c r="H218">
        <v>0.5</v>
      </c>
      <c r="I218">
        <v>0.57028749999999995</v>
      </c>
      <c r="J218">
        <v>2004</v>
      </c>
      <c r="K218">
        <v>12</v>
      </c>
      <c r="L218">
        <v>30</v>
      </c>
      <c r="M218" t="s">
        <v>90</v>
      </c>
      <c r="N218">
        <v>0</v>
      </c>
      <c r="O218">
        <v>0</v>
      </c>
    </row>
    <row r="219" spans="1:15" x14ac:dyDescent="0.3">
      <c r="A219">
        <v>314</v>
      </c>
      <c r="B219" s="34">
        <v>38352</v>
      </c>
      <c r="C219">
        <v>1.3632</v>
      </c>
      <c r="D219">
        <v>-25</v>
      </c>
      <c r="F219">
        <v>0.111999999999997</v>
      </c>
      <c r="G219">
        <v>10.328262610088601</v>
      </c>
      <c r="H219">
        <v>1</v>
      </c>
      <c r="I219">
        <v>0.57165600000000005</v>
      </c>
      <c r="J219">
        <v>2004</v>
      </c>
      <c r="K219">
        <v>12</v>
      </c>
      <c r="L219">
        <v>31</v>
      </c>
      <c r="M219" t="s">
        <v>91</v>
      </c>
      <c r="N219">
        <v>0</v>
      </c>
      <c r="O219">
        <v>0</v>
      </c>
    </row>
    <row r="220" spans="1:15" x14ac:dyDescent="0.3">
      <c r="A220">
        <v>315</v>
      </c>
      <c r="B220" s="34">
        <v>38355</v>
      </c>
      <c r="C220">
        <v>1.3560000000000001</v>
      </c>
      <c r="D220">
        <v>1</v>
      </c>
      <c r="E220" t="s">
        <v>135</v>
      </c>
      <c r="F220">
        <v>0.102799999999997</v>
      </c>
      <c r="G220">
        <v>17.694155324260102</v>
      </c>
      <c r="H220">
        <v>1</v>
      </c>
      <c r="I220">
        <v>0.57301590000000002</v>
      </c>
      <c r="J220">
        <v>2005</v>
      </c>
      <c r="K220">
        <v>1</v>
      </c>
      <c r="L220">
        <v>3</v>
      </c>
      <c r="M220" t="s">
        <v>92</v>
      </c>
      <c r="N220">
        <v>0</v>
      </c>
      <c r="O220">
        <v>0</v>
      </c>
    </row>
    <row r="221" spans="1:15" x14ac:dyDescent="0.3">
      <c r="A221">
        <v>316</v>
      </c>
      <c r="B221" s="34">
        <v>38356</v>
      </c>
      <c r="C221">
        <v>1.3468</v>
      </c>
      <c r="D221">
        <v>0</v>
      </c>
      <c r="F221">
        <v>0.102799999999997</v>
      </c>
      <c r="G221">
        <v>17.694155324260102</v>
      </c>
      <c r="H221">
        <v>0</v>
      </c>
      <c r="I221">
        <v>0.57120249999999995</v>
      </c>
      <c r="J221">
        <v>2005</v>
      </c>
      <c r="K221">
        <v>1</v>
      </c>
      <c r="L221">
        <v>4</v>
      </c>
      <c r="M221" t="s">
        <v>93</v>
      </c>
      <c r="N221">
        <v>0</v>
      </c>
      <c r="O221">
        <v>0</v>
      </c>
    </row>
    <row r="222" spans="1:15" x14ac:dyDescent="0.3">
      <c r="A222">
        <v>317</v>
      </c>
      <c r="B222" s="34">
        <v>38357</v>
      </c>
      <c r="C222">
        <v>1.327</v>
      </c>
      <c r="D222">
        <v>0</v>
      </c>
      <c r="F222">
        <v>0.102799999999997</v>
      </c>
      <c r="G222">
        <v>17.694155324260102</v>
      </c>
      <c r="H222">
        <v>0</v>
      </c>
      <c r="I222">
        <v>0.56940060000000003</v>
      </c>
      <c r="J222">
        <v>2005</v>
      </c>
      <c r="K222">
        <v>1</v>
      </c>
      <c r="L222">
        <v>5</v>
      </c>
      <c r="M222" t="s">
        <v>89</v>
      </c>
      <c r="N222">
        <v>0</v>
      </c>
      <c r="O222">
        <v>0</v>
      </c>
    </row>
    <row r="223" spans="1:15" x14ac:dyDescent="0.3">
      <c r="A223">
        <v>318</v>
      </c>
      <c r="B223" s="34">
        <v>38358</v>
      </c>
      <c r="C223">
        <v>1.3271999999999999</v>
      </c>
      <c r="D223">
        <v>0</v>
      </c>
      <c r="F223">
        <v>0.102799999999997</v>
      </c>
      <c r="G223">
        <v>17.694155324260102</v>
      </c>
      <c r="H223">
        <v>1</v>
      </c>
      <c r="I223">
        <v>0.57075469999999995</v>
      </c>
      <c r="J223">
        <v>2005</v>
      </c>
      <c r="K223">
        <v>1</v>
      </c>
      <c r="L223">
        <v>6</v>
      </c>
      <c r="M223" t="s">
        <v>90</v>
      </c>
      <c r="N223">
        <v>0</v>
      </c>
      <c r="O223">
        <v>0</v>
      </c>
    </row>
    <row r="224" spans="1:15" x14ac:dyDescent="0.3">
      <c r="A224">
        <v>319</v>
      </c>
      <c r="B224" s="34">
        <v>38359</v>
      </c>
      <c r="C224">
        <v>1.3181</v>
      </c>
      <c r="D224">
        <v>0</v>
      </c>
      <c r="F224">
        <v>0.102799999999997</v>
      </c>
      <c r="G224">
        <v>17.694155324260102</v>
      </c>
      <c r="H224">
        <v>0</v>
      </c>
      <c r="I224">
        <v>0.56896550000000001</v>
      </c>
      <c r="J224">
        <v>2005</v>
      </c>
      <c r="K224">
        <v>1</v>
      </c>
      <c r="L224">
        <v>7</v>
      </c>
      <c r="M224" t="s">
        <v>91</v>
      </c>
      <c r="N224">
        <v>0</v>
      </c>
      <c r="O224">
        <v>0</v>
      </c>
    </row>
    <row r="225" spans="1:15" x14ac:dyDescent="0.3">
      <c r="A225">
        <v>320</v>
      </c>
      <c r="B225" s="34">
        <v>38362</v>
      </c>
      <c r="C225">
        <v>1.3071999999999999</v>
      </c>
      <c r="D225">
        <v>3</v>
      </c>
      <c r="E225" t="s">
        <v>136</v>
      </c>
      <c r="F225">
        <v>0.105599999999997</v>
      </c>
      <c r="G225">
        <v>15.452361889512201</v>
      </c>
      <c r="H225">
        <v>0</v>
      </c>
      <c r="I225">
        <v>0.56718749999999996</v>
      </c>
      <c r="J225">
        <v>2005</v>
      </c>
      <c r="K225">
        <v>1</v>
      </c>
      <c r="L225">
        <v>10</v>
      </c>
      <c r="M225" t="s">
        <v>92</v>
      </c>
      <c r="N225">
        <v>0</v>
      </c>
      <c r="O225">
        <v>0</v>
      </c>
    </row>
    <row r="226" spans="1:15" x14ac:dyDescent="0.3">
      <c r="A226">
        <v>321</v>
      </c>
      <c r="B226" s="34">
        <v>38363</v>
      </c>
      <c r="C226">
        <v>1.31</v>
      </c>
      <c r="D226">
        <v>0</v>
      </c>
      <c r="F226">
        <v>0.105599999999997</v>
      </c>
      <c r="G226">
        <v>15.452361889512201</v>
      </c>
      <c r="H226">
        <v>1</v>
      </c>
      <c r="I226">
        <v>0.56853580000000004</v>
      </c>
      <c r="J226">
        <v>2005</v>
      </c>
      <c r="K226">
        <v>1</v>
      </c>
      <c r="L226">
        <v>11</v>
      </c>
      <c r="M226" t="s">
        <v>93</v>
      </c>
      <c r="N226">
        <v>0</v>
      </c>
      <c r="O226">
        <v>0</v>
      </c>
    </row>
    <row r="227" spans="1:15" x14ac:dyDescent="0.3">
      <c r="A227">
        <v>322</v>
      </c>
      <c r="B227" s="34">
        <v>38364</v>
      </c>
      <c r="C227">
        <v>1.3118000000000001</v>
      </c>
      <c r="D227">
        <v>-2</v>
      </c>
      <c r="F227">
        <v>9.2399999999997998E-2</v>
      </c>
      <c r="G227">
        <v>26.020816653323301</v>
      </c>
      <c r="H227">
        <v>1</v>
      </c>
      <c r="I227">
        <v>0.56987580000000004</v>
      </c>
      <c r="J227">
        <v>2005</v>
      </c>
      <c r="K227">
        <v>1</v>
      </c>
      <c r="L227">
        <v>12</v>
      </c>
      <c r="M227" t="s">
        <v>89</v>
      </c>
      <c r="N227">
        <v>0</v>
      </c>
      <c r="O227">
        <v>0</v>
      </c>
    </row>
    <row r="228" spans="1:15" x14ac:dyDescent="0.3">
      <c r="A228">
        <v>323</v>
      </c>
      <c r="B228" s="34">
        <v>38365</v>
      </c>
      <c r="C228">
        <v>1.325</v>
      </c>
      <c r="D228">
        <v>-8</v>
      </c>
      <c r="F228">
        <v>9.6099999999998006E-2</v>
      </c>
      <c r="G228">
        <v>23.0584467574065</v>
      </c>
      <c r="H228">
        <v>1</v>
      </c>
      <c r="I228">
        <v>0.57120740000000003</v>
      </c>
      <c r="J228">
        <v>2005</v>
      </c>
      <c r="K228">
        <v>1</v>
      </c>
      <c r="L228">
        <v>13</v>
      </c>
      <c r="M228" t="s">
        <v>90</v>
      </c>
      <c r="N228">
        <v>0</v>
      </c>
      <c r="O228">
        <v>0</v>
      </c>
    </row>
    <row r="229" spans="1:15" x14ac:dyDescent="0.3">
      <c r="A229">
        <v>324</v>
      </c>
      <c r="B229" s="34">
        <v>38366</v>
      </c>
      <c r="C229">
        <v>1.3212999999999999</v>
      </c>
      <c r="D229">
        <v>0</v>
      </c>
      <c r="F229">
        <v>9.6099999999998006E-2</v>
      </c>
      <c r="G229">
        <v>23.0584467574065</v>
      </c>
      <c r="H229">
        <v>1</v>
      </c>
      <c r="I229">
        <v>0.57253089999999995</v>
      </c>
      <c r="J229">
        <v>2005</v>
      </c>
      <c r="K229">
        <v>1</v>
      </c>
      <c r="L229">
        <v>14</v>
      </c>
      <c r="M229" t="s">
        <v>91</v>
      </c>
      <c r="N229">
        <v>0</v>
      </c>
      <c r="O229">
        <v>0</v>
      </c>
    </row>
    <row r="230" spans="1:15" x14ac:dyDescent="0.3">
      <c r="A230">
        <v>325</v>
      </c>
      <c r="B230" s="34">
        <v>38369</v>
      </c>
      <c r="C230">
        <v>1.3095000000000001</v>
      </c>
      <c r="D230">
        <v>5</v>
      </c>
      <c r="E230" t="s">
        <v>137</v>
      </c>
      <c r="F230">
        <v>9.1199999999997894E-2</v>
      </c>
      <c r="G230">
        <v>26.981585268215301</v>
      </c>
      <c r="H230">
        <v>1</v>
      </c>
      <c r="I230">
        <v>0.57384619999999997</v>
      </c>
      <c r="J230">
        <v>2005</v>
      </c>
      <c r="K230">
        <v>1</v>
      </c>
      <c r="L230">
        <v>17</v>
      </c>
      <c r="M230" t="s">
        <v>92</v>
      </c>
      <c r="N230">
        <v>0</v>
      </c>
      <c r="O230">
        <v>0</v>
      </c>
    </row>
    <row r="231" spans="1:15" x14ac:dyDescent="0.3">
      <c r="A231">
        <v>326</v>
      </c>
      <c r="B231" s="34">
        <v>38370</v>
      </c>
      <c r="C231">
        <v>1.3046</v>
      </c>
      <c r="D231">
        <v>0</v>
      </c>
      <c r="F231">
        <v>9.1199999999997894E-2</v>
      </c>
      <c r="G231">
        <v>26.981585268215301</v>
      </c>
      <c r="H231">
        <v>0</v>
      </c>
      <c r="I231">
        <v>0.57208590000000004</v>
      </c>
      <c r="J231">
        <v>2005</v>
      </c>
      <c r="K231">
        <v>1</v>
      </c>
      <c r="L231">
        <v>18</v>
      </c>
      <c r="M231" t="s">
        <v>93</v>
      </c>
      <c r="N231">
        <v>0</v>
      </c>
      <c r="O231">
        <v>0</v>
      </c>
    </row>
    <row r="232" spans="1:15" x14ac:dyDescent="0.3">
      <c r="A232">
        <v>327</v>
      </c>
      <c r="B232" s="34">
        <v>38371</v>
      </c>
      <c r="C232">
        <v>1.3017000000000001</v>
      </c>
      <c r="D232">
        <v>0</v>
      </c>
      <c r="F232">
        <v>9.1199999999997894E-2</v>
      </c>
      <c r="G232">
        <v>26.981585268215301</v>
      </c>
      <c r="H232">
        <v>0</v>
      </c>
      <c r="I232">
        <v>0.57033639999999997</v>
      </c>
      <c r="J232">
        <v>2005</v>
      </c>
      <c r="K232">
        <v>1</v>
      </c>
      <c r="L232">
        <v>19</v>
      </c>
      <c r="M232" t="s">
        <v>89</v>
      </c>
      <c r="N232">
        <v>0</v>
      </c>
      <c r="O232">
        <v>0</v>
      </c>
    </row>
    <row r="233" spans="1:15" x14ac:dyDescent="0.3">
      <c r="A233">
        <v>328</v>
      </c>
      <c r="B233" s="34">
        <v>38372</v>
      </c>
      <c r="C233">
        <v>1.3008</v>
      </c>
      <c r="D233">
        <v>-2</v>
      </c>
      <c r="F233">
        <v>9.6299999999997804E-2</v>
      </c>
      <c r="G233">
        <v>22.898318654924701</v>
      </c>
      <c r="H233">
        <v>0</v>
      </c>
      <c r="I233">
        <v>0.56859760000000004</v>
      </c>
      <c r="J233">
        <v>2005</v>
      </c>
      <c r="K233">
        <v>1</v>
      </c>
      <c r="L233">
        <v>20</v>
      </c>
      <c r="M233" t="s">
        <v>90</v>
      </c>
      <c r="N233">
        <v>0</v>
      </c>
      <c r="O233">
        <v>0</v>
      </c>
    </row>
    <row r="234" spans="1:15" x14ac:dyDescent="0.3">
      <c r="A234">
        <v>329</v>
      </c>
      <c r="B234" s="34">
        <v>38373</v>
      </c>
      <c r="C234">
        <v>1.2957000000000001</v>
      </c>
      <c r="D234">
        <v>1</v>
      </c>
      <c r="E234" t="s">
        <v>138</v>
      </c>
      <c r="F234">
        <v>0.10139999999999701</v>
      </c>
      <c r="G234">
        <v>18.8150520416341</v>
      </c>
      <c r="H234">
        <v>1</v>
      </c>
      <c r="I234">
        <v>0.56990879999999999</v>
      </c>
      <c r="J234">
        <v>2005</v>
      </c>
      <c r="K234">
        <v>1</v>
      </c>
      <c r="L234">
        <v>21</v>
      </c>
      <c r="M234" t="s">
        <v>91</v>
      </c>
      <c r="N234">
        <v>0</v>
      </c>
      <c r="O234">
        <v>0</v>
      </c>
    </row>
    <row r="235" spans="1:15" x14ac:dyDescent="0.3">
      <c r="A235">
        <v>330</v>
      </c>
      <c r="B235" s="34">
        <v>38376</v>
      </c>
      <c r="C235">
        <v>1.3008</v>
      </c>
      <c r="D235">
        <v>-6</v>
      </c>
      <c r="F235">
        <v>9.7699999999997594E-2</v>
      </c>
      <c r="G235">
        <v>21.777421937550901</v>
      </c>
      <c r="H235">
        <v>1</v>
      </c>
      <c r="I235">
        <v>0.5712121</v>
      </c>
      <c r="J235">
        <v>2005</v>
      </c>
      <c r="K235">
        <v>1</v>
      </c>
      <c r="L235">
        <v>24</v>
      </c>
      <c r="M235" t="s">
        <v>92</v>
      </c>
      <c r="N235">
        <v>0</v>
      </c>
      <c r="O235">
        <v>0</v>
      </c>
    </row>
    <row r="236" spans="1:15" x14ac:dyDescent="0.3">
      <c r="A236">
        <v>331</v>
      </c>
      <c r="B236" s="34">
        <v>38377</v>
      </c>
      <c r="C236">
        <v>1.3045</v>
      </c>
      <c r="D236">
        <v>-4</v>
      </c>
      <c r="F236">
        <v>0.10479999999999701</v>
      </c>
      <c r="G236">
        <v>16.0928742994404</v>
      </c>
      <c r="H236">
        <v>0</v>
      </c>
      <c r="I236">
        <v>0.56948639999999995</v>
      </c>
      <c r="J236">
        <v>2005</v>
      </c>
      <c r="K236">
        <v>1</v>
      </c>
      <c r="L236">
        <v>25</v>
      </c>
      <c r="M236" t="s">
        <v>93</v>
      </c>
      <c r="N236">
        <v>0</v>
      </c>
      <c r="O236">
        <v>0</v>
      </c>
    </row>
    <row r="237" spans="1:15" x14ac:dyDescent="0.3">
      <c r="A237">
        <v>332</v>
      </c>
      <c r="B237" s="34">
        <v>38378</v>
      </c>
      <c r="C237">
        <v>1.2974000000000001</v>
      </c>
      <c r="D237">
        <v>0</v>
      </c>
      <c r="F237">
        <v>0.10479999999999701</v>
      </c>
      <c r="G237">
        <v>16.0928742994404</v>
      </c>
      <c r="H237">
        <v>1</v>
      </c>
      <c r="I237">
        <v>0.57078309999999999</v>
      </c>
      <c r="J237">
        <v>2005</v>
      </c>
      <c r="K237">
        <v>1</v>
      </c>
      <c r="L237">
        <v>26</v>
      </c>
      <c r="M237" t="s">
        <v>89</v>
      </c>
      <c r="N237">
        <v>0</v>
      </c>
      <c r="O237">
        <v>0</v>
      </c>
    </row>
    <row r="238" spans="1:15" x14ac:dyDescent="0.3">
      <c r="A238">
        <v>333</v>
      </c>
      <c r="B238" s="34">
        <v>38379</v>
      </c>
      <c r="C238">
        <v>1.3073999999999999</v>
      </c>
      <c r="D238">
        <v>0</v>
      </c>
      <c r="F238">
        <v>0.10479999999999701</v>
      </c>
      <c r="G238">
        <v>16.0928742994404</v>
      </c>
      <c r="H238">
        <v>1</v>
      </c>
      <c r="I238">
        <v>0.57207209999999997</v>
      </c>
      <c r="J238">
        <v>2005</v>
      </c>
      <c r="K238">
        <v>1</v>
      </c>
      <c r="L238">
        <v>27</v>
      </c>
      <c r="M238" t="s">
        <v>90</v>
      </c>
      <c r="N238">
        <v>0</v>
      </c>
      <c r="O238">
        <v>0</v>
      </c>
    </row>
    <row r="239" spans="1:15" x14ac:dyDescent="0.3">
      <c r="A239">
        <v>334</v>
      </c>
      <c r="B239" s="34">
        <v>38380</v>
      </c>
      <c r="C239">
        <v>1.3041</v>
      </c>
      <c r="D239">
        <v>0</v>
      </c>
      <c r="F239">
        <v>0.10479999999999701</v>
      </c>
      <c r="G239">
        <v>16.0928742994404</v>
      </c>
      <c r="H239">
        <v>1</v>
      </c>
      <c r="I239">
        <v>0.57335329999999995</v>
      </c>
      <c r="J239">
        <v>2005</v>
      </c>
      <c r="K239">
        <v>1</v>
      </c>
      <c r="L239">
        <v>28</v>
      </c>
      <c r="M239" t="s">
        <v>91</v>
      </c>
      <c r="N239">
        <v>0</v>
      </c>
      <c r="O239">
        <v>0</v>
      </c>
    </row>
    <row r="240" spans="1:15" x14ac:dyDescent="0.3">
      <c r="A240">
        <v>335</v>
      </c>
      <c r="B240" s="34">
        <v>38383</v>
      </c>
      <c r="C240">
        <v>1.3056000000000001</v>
      </c>
      <c r="D240">
        <v>-1</v>
      </c>
      <c r="F240">
        <v>0.105899999999997</v>
      </c>
      <c r="G240">
        <v>15.2121697357894</v>
      </c>
      <c r="H240">
        <v>0</v>
      </c>
      <c r="I240">
        <v>0.57164179999999998</v>
      </c>
      <c r="J240">
        <v>2005</v>
      </c>
      <c r="K240">
        <v>1</v>
      </c>
      <c r="L240">
        <v>31</v>
      </c>
      <c r="M240" t="s">
        <v>92</v>
      </c>
      <c r="N240">
        <v>0</v>
      </c>
      <c r="O240">
        <v>0</v>
      </c>
    </row>
    <row r="241" spans="1:15" x14ac:dyDescent="0.3">
      <c r="A241">
        <v>336</v>
      </c>
      <c r="B241" s="34">
        <v>38384</v>
      </c>
      <c r="C241">
        <v>1.3045</v>
      </c>
      <c r="D241">
        <v>1</v>
      </c>
      <c r="E241" t="s">
        <v>139</v>
      </c>
      <c r="F241">
        <v>0.10579999999999699</v>
      </c>
      <c r="G241">
        <v>15.292233787030399</v>
      </c>
      <c r="H241">
        <v>1</v>
      </c>
      <c r="I241">
        <v>0.57291669999999995</v>
      </c>
      <c r="J241">
        <v>2005</v>
      </c>
      <c r="K241">
        <v>2</v>
      </c>
      <c r="L241">
        <v>1</v>
      </c>
      <c r="M241" t="s">
        <v>93</v>
      </c>
      <c r="N241">
        <v>0</v>
      </c>
      <c r="O241">
        <v>0</v>
      </c>
    </row>
    <row r="242" spans="1:15" x14ac:dyDescent="0.3">
      <c r="A242">
        <v>337</v>
      </c>
      <c r="B242" s="34">
        <v>38385</v>
      </c>
      <c r="C242">
        <v>1.3044</v>
      </c>
      <c r="D242">
        <v>-1</v>
      </c>
      <c r="F242">
        <v>0.106899999999997</v>
      </c>
      <c r="G242">
        <v>14.4115292233794</v>
      </c>
      <c r="H242">
        <v>0</v>
      </c>
      <c r="I242">
        <v>0.57121659999999996</v>
      </c>
      <c r="J242">
        <v>2005</v>
      </c>
      <c r="K242">
        <v>2</v>
      </c>
      <c r="L242">
        <v>2</v>
      </c>
      <c r="M242" t="s">
        <v>89</v>
      </c>
      <c r="N242">
        <v>0</v>
      </c>
      <c r="O242">
        <v>0</v>
      </c>
    </row>
    <row r="243" spans="1:15" x14ac:dyDescent="0.3">
      <c r="A243">
        <v>338</v>
      </c>
      <c r="B243" s="34">
        <v>38386</v>
      </c>
      <c r="C243">
        <v>1.3032999999999999</v>
      </c>
      <c r="D243">
        <v>24</v>
      </c>
      <c r="E243" t="s">
        <v>140</v>
      </c>
      <c r="F243">
        <v>0.101199999999997</v>
      </c>
      <c r="G243">
        <v>18.9751801441159</v>
      </c>
      <c r="H243">
        <v>0</v>
      </c>
      <c r="I243">
        <v>0.56952659999999999</v>
      </c>
      <c r="J243">
        <v>2005</v>
      </c>
      <c r="K243">
        <v>2</v>
      </c>
      <c r="L243">
        <v>3</v>
      </c>
      <c r="M243" t="s">
        <v>90</v>
      </c>
      <c r="N243">
        <v>0</v>
      </c>
      <c r="O243">
        <v>0</v>
      </c>
    </row>
    <row r="244" spans="1:15" x14ac:dyDescent="0.3">
      <c r="A244">
        <v>339</v>
      </c>
      <c r="B244" s="34">
        <v>38387</v>
      </c>
      <c r="C244">
        <v>1.2976000000000001</v>
      </c>
      <c r="D244">
        <v>1</v>
      </c>
      <c r="E244" t="s">
        <v>141</v>
      </c>
      <c r="F244">
        <v>8.9999999999997804E-2</v>
      </c>
      <c r="G244">
        <v>27.942353883107302</v>
      </c>
      <c r="H244">
        <v>0</v>
      </c>
      <c r="I244">
        <v>0.56784659999999998</v>
      </c>
      <c r="J244">
        <v>2005</v>
      </c>
      <c r="K244">
        <v>2</v>
      </c>
      <c r="L244">
        <v>4</v>
      </c>
      <c r="M244" t="s">
        <v>91</v>
      </c>
      <c r="N244">
        <v>0</v>
      </c>
      <c r="O244">
        <v>0</v>
      </c>
    </row>
    <row r="245" spans="1:15" x14ac:dyDescent="0.3">
      <c r="A245">
        <v>340</v>
      </c>
      <c r="B245" s="34">
        <v>38390</v>
      </c>
      <c r="C245">
        <v>1.2864</v>
      </c>
      <c r="D245">
        <v>0</v>
      </c>
      <c r="F245">
        <v>8.9999999999997804E-2</v>
      </c>
      <c r="G245">
        <v>27.942353883107302</v>
      </c>
      <c r="H245">
        <v>0</v>
      </c>
      <c r="I245">
        <v>0.56617649999999997</v>
      </c>
      <c r="J245">
        <v>2005</v>
      </c>
      <c r="K245">
        <v>2</v>
      </c>
      <c r="L245">
        <v>7</v>
      </c>
      <c r="M245" t="s">
        <v>92</v>
      </c>
      <c r="N245">
        <v>0</v>
      </c>
      <c r="O245">
        <v>0</v>
      </c>
    </row>
    <row r="246" spans="1:15" x14ac:dyDescent="0.3">
      <c r="A246">
        <v>341</v>
      </c>
      <c r="B246" s="34">
        <v>38391</v>
      </c>
      <c r="C246">
        <v>1.2751999999999999</v>
      </c>
      <c r="D246">
        <v>0</v>
      </c>
      <c r="F246">
        <v>8.9999999999997804E-2</v>
      </c>
      <c r="G246">
        <v>27.942353883107302</v>
      </c>
      <c r="H246">
        <v>0</v>
      </c>
      <c r="I246">
        <v>0.56451609999999997</v>
      </c>
      <c r="J246">
        <v>2005</v>
      </c>
      <c r="K246">
        <v>2</v>
      </c>
      <c r="L246">
        <v>8</v>
      </c>
      <c r="M246" t="s">
        <v>93</v>
      </c>
      <c r="N246">
        <v>0</v>
      </c>
      <c r="O246">
        <v>0</v>
      </c>
    </row>
    <row r="247" spans="1:15" x14ac:dyDescent="0.3">
      <c r="A247">
        <v>342</v>
      </c>
      <c r="B247" s="34">
        <v>38392</v>
      </c>
      <c r="C247">
        <v>1.2763</v>
      </c>
      <c r="D247">
        <v>0</v>
      </c>
      <c r="F247">
        <v>8.9999999999997804E-2</v>
      </c>
      <c r="G247">
        <v>27.942353883107302</v>
      </c>
      <c r="H247">
        <v>1</v>
      </c>
      <c r="I247">
        <v>0.56578949999999995</v>
      </c>
      <c r="J247">
        <v>2005</v>
      </c>
      <c r="K247">
        <v>2</v>
      </c>
      <c r="L247">
        <v>9</v>
      </c>
      <c r="M247" t="s">
        <v>89</v>
      </c>
      <c r="N247">
        <v>0</v>
      </c>
      <c r="O247">
        <v>0</v>
      </c>
    </row>
    <row r="248" spans="1:15" x14ac:dyDescent="0.3">
      <c r="A248">
        <v>343</v>
      </c>
      <c r="B248" s="34">
        <v>38393</v>
      </c>
      <c r="C248">
        <v>1.2810999999999999</v>
      </c>
      <c r="D248">
        <v>-10</v>
      </c>
      <c r="F248">
        <v>8.3499999999997604E-2</v>
      </c>
      <c r="G248">
        <v>33.146517213772</v>
      </c>
      <c r="H248">
        <v>0.5</v>
      </c>
      <c r="I248">
        <v>0.56559769999999998</v>
      </c>
      <c r="J248">
        <v>2005</v>
      </c>
      <c r="K248">
        <v>2</v>
      </c>
      <c r="L248">
        <v>10</v>
      </c>
      <c r="M248" t="s">
        <v>90</v>
      </c>
      <c r="N248">
        <v>0</v>
      </c>
      <c r="O248">
        <v>0</v>
      </c>
    </row>
    <row r="249" spans="1:15" x14ac:dyDescent="0.3">
      <c r="A249">
        <v>344</v>
      </c>
      <c r="B249" s="34">
        <v>38394</v>
      </c>
      <c r="C249">
        <v>1.2876000000000001</v>
      </c>
      <c r="D249">
        <v>-1</v>
      </c>
      <c r="F249">
        <v>8.4599999999997705E-2</v>
      </c>
      <c r="G249">
        <v>32.265812650120999</v>
      </c>
      <c r="H249">
        <v>0</v>
      </c>
      <c r="I249">
        <v>0.5639535</v>
      </c>
      <c r="J249">
        <v>2005</v>
      </c>
      <c r="K249">
        <v>2</v>
      </c>
      <c r="L249">
        <v>11</v>
      </c>
      <c r="M249" t="s">
        <v>91</v>
      </c>
      <c r="N249">
        <v>0</v>
      </c>
      <c r="O249">
        <v>0</v>
      </c>
    </row>
    <row r="250" spans="1:15" x14ac:dyDescent="0.3">
      <c r="A250">
        <v>345</v>
      </c>
      <c r="B250" s="34">
        <v>38397</v>
      </c>
      <c r="C250">
        <v>1.2865</v>
      </c>
      <c r="D250">
        <v>0</v>
      </c>
      <c r="F250">
        <v>8.4599999999997705E-2</v>
      </c>
      <c r="G250">
        <v>32.265812650120999</v>
      </c>
      <c r="H250">
        <v>1</v>
      </c>
      <c r="I250">
        <v>0.56521739999999998</v>
      </c>
      <c r="J250">
        <v>2005</v>
      </c>
      <c r="K250">
        <v>2</v>
      </c>
      <c r="L250">
        <v>14</v>
      </c>
      <c r="M250" t="s">
        <v>92</v>
      </c>
      <c r="N250">
        <v>0</v>
      </c>
      <c r="O250">
        <v>0</v>
      </c>
    </row>
    <row r="251" spans="1:15" x14ac:dyDescent="0.3">
      <c r="A251">
        <v>346</v>
      </c>
      <c r="B251" s="34">
        <v>38398</v>
      </c>
      <c r="C251">
        <v>1.2971999999999999</v>
      </c>
      <c r="D251">
        <v>-3</v>
      </c>
      <c r="F251">
        <v>7.9999999999997601E-2</v>
      </c>
      <c r="G251">
        <v>35.948759007206803</v>
      </c>
      <c r="H251">
        <v>0</v>
      </c>
      <c r="I251">
        <v>0.56358379999999997</v>
      </c>
      <c r="J251">
        <v>2005</v>
      </c>
      <c r="K251">
        <v>2</v>
      </c>
      <c r="L251">
        <v>15</v>
      </c>
      <c r="M251" t="s">
        <v>93</v>
      </c>
      <c r="N251">
        <v>0</v>
      </c>
      <c r="O251">
        <v>0</v>
      </c>
    </row>
    <row r="252" spans="1:15" x14ac:dyDescent="0.3">
      <c r="A252">
        <v>347</v>
      </c>
      <c r="B252" s="34">
        <v>38399</v>
      </c>
      <c r="C252">
        <v>1.3018000000000001</v>
      </c>
      <c r="D252">
        <v>0</v>
      </c>
      <c r="F252">
        <v>7.9999999999997601E-2</v>
      </c>
      <c r="G252">
        <v>35.948759007206803</v>
      </c>
      <c r="H252">
        <v>0</v>
      </c>
      <c r="I252">
        <v>0.56195969999999995</v>
      </c>
      <c r="J252">
        <v>2005</v>
      </c>
      <c r="K252">
        <v>2</v>
      </c>
      <c r="L252">
        <v>16</v>
      </c>
      <c r="M252" t="s">
        <v>89</v>
      </c>
      <c r="N252">
        <v>0</v>
      </c>
      <c r="O252">
        <v>0</v>
      </c>
    </row>
    <row r="253" spans="1:15" x14ac:dyDescent="0.3">
      <c r="A253">
        <v>348</v>
      </c>
      <c r="B253" s="34">
        <v>38400</v>
      </c>
      <c r="C253">
        <v>1.3025</v>
      </c>
      <c r="D253">
        <v>0</v>
      </c>
      <c r="F253">
        <v>7.9999999999997601E-2</v>
      </c>
      <c r="G253">
        <v>35.948759007206803</v>
      </c>
      <c r="H253">
        <v>0</v>
      </c>
      <c r="I253">
        <v>0.56034479999999998</v>
      </c>
      <c r="J253">
        <v>2005</v>
      </c>
      <c r="K253">
        <v>2</v>
      </c>
      <c r="L253">
        <v>17</v>
      </c>
      <c r="M253" t="s">
        <v>90</v>
      </c>
      <c r="N253">
        <v>0</v>
      </c>
      <c r="O253">
        <v>0</v>
      </c>
    </row>
    <row r="254" spans="1:15" x14ac:dyDescent="0.3">
      <c r="A254">
        <v>349</v>
      </c>
      <c r="B254" s="34">
        <v>38401</v>
      </c>
      <c r="C254">
        <v>1.3073999999999999</v>
      </c>
      <c r="D254">
        <v>-5</v>
      </c>
      <c r="F254">
        <v>8.0999999999997505E-2</v>
      </c>
      <c r="G254">
        <v>35.148118494796996</v>
      </c>
      <c r="H254">
        <v>0</v>
      </c>
      <c r="I254">
        <v>0.55873919999999999</v>
      </c>
      <c r="J254">
        <v>2005</v>
      </c>
      <c r="K254">
        <v>2</v>
      </c>
      <c r="L254">
        <v>18</v>
      </c>
      <c r="M254" t="s">
        <v>91</v>
      </c>
      <c r="N254">
        <v>0</v>
      </c>
      <c r="O254">
        <v>0</v>
      </c>
    </row>
    <row r="255" spans="1:15" x14ac:dyDescent="0.3">
      <c r="A255">
        <v>350</v>
      </c>
      <c r="B255" s="34">
        <v>38404</v>
      </c>
      <c r="C255">
        <v>1.3064</v>
      </c>
      <c r="D255">
        <v>0</v>
      </c>
      <c r="F255">
        <v>8.0999999999997505E-2</v>
      </c>
      <c r="G255">
        <v>35.148118494796996</v>
      </c>
      <c r="H255">
        <v>1</v>
      </c>
      <c r="I255">
        <v>0.56000000000000005</v>
      </c>
      <c r="J255">
        <v>2005</v>
      </c>
      <c r="K255">
        <v>2</v>
      </c>
      <c r="L255">
        <v>21</v>
      </c>
      <c r="M255" t="s">
        <v>92</v>
      </c>
      <c r="N255">
        <v>0</v>
      </c>
      <c r="O255">
        <v>0</v>
      </c>
    </row>
    <row r="256" spans="1:15" x14ac:dyDescent="0.3">
      <c r="A256">
        <v>351</v>
      </c>
      <c r="B256" s="34">
        <v>38405</v>
      </c>
      <c r="C256">
        <v>1.306</v>
      </c>
      <c r="D256">
        <v>7</v>
      </c>
      <c r="E256" t="s">
        <v>142</v>
      </c>
      <c r="F256">
        <v>0.10049999999999699</v>
      </c>
      <c r="G256">
        <v>19.535628502803299</v>
      </c>
      <c r="H256">
        <v>1</v>
      </c>
      <c r="I256">
        <v>0.56125349999999996</v>
      </c>
      <c r="J256">
        <v>2005</v>
      </c>
      <c r="K256">
        <v>2</v>
      </c>
      <c r="L256">
        <v>22</v>
      </c>
      <c r="M256" t="s">
        <v>93</v>
      </c>
      <c r="N256">
        <v>0</v>
      </c>
      <c r="O256">
        <v>0</v>
      </c>
    </row>
    <row r="257" spans="1:15" x14ac:dyDescent="0.3">
      <c r="A257">
        <v>352</v>
      </c>
      <c r="B257" s="34">
        <v>38406</v>
      </c>
      <c r="C257">
        <v>1.3254999999999999</v>
      </c>
      <c r="D257">
        <v>-7</v>
      </c>
      <c r="F257">
        <v>0.10529999999999699</v>
      </c>
      <c r="G257">
        <v>15.692554043235701</v>
      </c>
      <c r="H257">
        <v>0</v>
      </c>
      <c r="I257">
        <v>0.55965909999999996</v>
      </c>
      <c r="J257">
        <v>2005</v>
      </c>
      <c r="K257">
        <v>2</v>
      </c>
      <c r="L257">
        <v>23</v>
      </c>
      <c r="M257" t="s">
        <v>89</v>
      </c>
      <c r="N257">
        <v>0</v>
      </c>
      <c r="O257">
        <v>0</v>
      </c>
    </row>
    <row r="258" spans="1:15" x14ac:dyDescent="0.3">
      <c r="A258">
        <v>353</v>
      </c>
      <c r="B258" s="34">
        <v>38407</v>
      </c>
      <c r="C258">
        <v>1.3207</v>
      </c>
      <c r="D258">
        <v>0</v>
      </c>
      <c r="F258">
        <v>0.10529999999999699</v>
      </c>
      <c r="G258">
        <v>15.692554043235701</v>
      </c>
      <c r="H258">
        <v>1</v>
      </c>
      <c r="I258">
        <v>0.56090649999999997</v>
      </c>
      <c r="J258">
        <v>2005</v>
      </c>
      <c r="K258">
        <v>2</v>
      </c>
      <c r="L258">
        <v>24</v>
      </c>
      <c r="M258" t="s">
        <v>90</v>
      </c>
      <c r="N258">
        <v>0</v>
      </c>
      <c r="O258">
        <v>0</v>
      </c>
    </row>
    <row r="259" spans="1:15" x14ac:dyDescent="0.3">
      <c r="A259">
        <v>354</v>
      </c>
      <c r="B259" s="34">
        <v>38408</v>
      </c>
      <c r="C259">
        <v>1.3193999999999999</v>
      </c>
      <c r="D259">
        <v>0</v>
      </c>
      <c r="F259">
        <v>0.10529999999999699</v>
      </c>
      <c r="G259">
        <v>15.692554043235701</v>
      </c>
      <c r="H259">
        <v>1</v>
      </c>
      <c r="I259">
        <v>0.5621469</v>
      </c>
      <c r="J259">
        <v>2005</v>
      </c>
      <c r="K259">
        <v>2</v>
      </c>
      <c r="L259">
        <v>25</v>
      </c>
      <c r="M259" t="s">
        <v>91</v>
      </c>
      <c r="N259">
        <v>0</v>
      </c>
      <c r="O259">
        <v>0</v>
      </c>
    </row>
    <row r="260" spans="1:15" x14ac:dyDescent="0.3">
      <c r="A260">
        <v>355</v>
      </c>
      <c r="B260" s="34">
        <v>38411</v>
      </c>
      <c r="C260">
        <v>1.3243</v>
      </c>
      <c r="D260">
        <v>-5</v>
      </c>
      <c r="F260">
        <v>0.108099999999997</v>
      </c>
      <c r="G260">
        <v>13.4507606084877</v>
      </c>
      <c r="H260">
        <v>0</v>
      </c>
      <c r="I260">
        <v>0.56056340000000004</v>
      </c>
      <c r="J260">
        <v>2005</v>
      </c>
      <c r="K260">
        <v>2</v>
      </c>
      <c r="L260">
        <v>28</v>
      </c>
      <c r="M260" t="s">
        <v>92</v>
      </c>
      <c r="N260">
        <v>0</v>
      </c>
      <c r="O260">
        <v>0</v>
      </c>
    </row>
    <row r="261" spans="1:15" x14ac:dyDescent="0.3">
      <c r="A261">
        <v>356</v>
      </c>
      <c r="B261" s="34">
        <v>38412</v>
      </c>
      <c r="C261">
        <v>1.3214999999999999</v>
      </c>
      <c r="D261">
        <v>0</v>
      </c>
      <c r="F261">
        <v>0.108099999999997</v>
      </c>
      <c r="G261">
        <v>13.4507606084877</v>
      </c>
      <c r="H261">
        <v>1</v>
      </c>
      <c r="I261">
        <v>0.56179769999999996</v>
      </c>
      <c r="J261">
        <v>2005</v>
      </c>
      <c r="K261">
        <v>3</v>
      </c>
      <c r="L261">
        <v>1</v>
      </c>
      <c r="M261" t="s">
        <v>93</v>
      </c>
      <c r="N261">
        <v>0</v>
      </c>
      <c r="O261">
        <v>0</v>
      </c>
    </row>
    <row r="262" spans="1:15" x14ac:dyDescent="0.3">
      <c r="A262">
        <v>357</v>
      </c>
      <c r="B262" s="34">
        <v>38413</v>
      </c>
      <c r="C262">
        <v>1.3185</v>
      </c>
      <c r="D262">
        <v>13</v>
      </c>
      <c r="E262" t="s">
        <v>143</v>
      </c>
      <c r="F262">
        <v>0.103199999999997</v>
      </c>
      <c r="G262">
        <v>17.3738991192964</v>
      </c>
      <c r="H262">
        <v>0</v>
      </c>
      <c r="I262">
        <v>0.5602241</v>
      </c>
      <c r="J262">
        <v>2005</v>
      </c>
      <c r="K262">
        <v>3</v>
      </c>
      <c r="L262">
        <v>2</v>
      </c>
      <c r="M262" t="s">
        <v>89</v>
      </c>
      <c r="N262">
        <v>0</v>
      </c>
      <c r="O262">
        <v>0</v>
      </c>
    </row>
    <row r="263" spans="1:15" x14ac:dyDescent="0.3">
      <c r="A263">
        <v>358</v>
      </c>
      <c r="B263" s="34">
        <v>38414</v>
      </c>
      <c r="C263">
        <v>1.3136000000000001</v>
      </c>
      <c r="D263">
        <v>1</v>
      </c>
      <c r="E263" t="s">
        <v>144</v>
      </c>
      <c r="F263">
        <v>0.10039999999999701</v>
      </c>
      <c r="G263">
        <v>19.615692554044301</v>
      </c>
      <c r="H263">
        <v>0</v>
      </c>
      <c r="I263">
        <v>0.55865920000000002</v>
      </c>
      <c r="J263">
        <v>2005</v>
      </c>
      <c r="K263">
        <v>3</v>
      </c>
      <c r="L263">
        <v>3</v>
      </c>
      <c r="M263" t="s">
        <v>90</v>
      </c>
      <c r="N263">
        <v>0</v>
      </c>
      <c r="O263">
        <v>0</v>
      </c>
    </row>
    <row r="264" spans="1:15" x14ac:dyDescent="0.3">
      <c r="A264">
        <v>359</v>
      </c>
      <c r="B264" s="34">
        <v>38415</v>
      </c>
      <c r="C264">
        <v>1.3108</v>
      </c>
      <c r="D264">
        <v>1</v>
      </c>
      <c r="E264" t="s">
        <v>145</v>
      </c>
      <c r="F264">
        <v>0.113699999999997</v>
      </c>
      <c r="G264">
        <v>8.9671737389920896</v>
      </c>
      <c r="H264">
        <v>0</v>
      </c>
      <c r="I264">
        <v>0.55710300000000001</v>
      </c>
      <c r="J264">
        <v>2005</v>
      </c>
      <c r="K264">
        <v>3</v>
      </c>
      <c r="L264">
        <v>4</v>
      </c>
      <c r="M264" t="s">
        <v>91</v>
      </c>
      <c r="N264">
        <v>0</v>
      </c>
      <c r="O264">
        <v>0</v>
      </c>
    </row>
    <row r="265" spans="1:15" x14ac:dyDescent="0.3">
      <c r="A265">
        <v>360</v>
      </c>
      <c r="B265" s="34">
        <v>38418</v>
      </c>
      <c r="C265">
        <v>1.3241000000000001</v>
      </c>
      <c r="D265">
        <v>0</v>
      </c>
      <c r="F265">
        <v>0.113699999999997</v>
      </c>
      <c r="G265">
        <v>8.9671737389920896</v>
      </c>
      <c r="H265">
        <v>1</v>
      </c>
      <c r="I265">
        <v>0.55833330000000003</v>
      </c>
      <c r="J265">
        <v>2005</v>
      </c>
      <c r="K265">
        <v>3</v>
      </c>
      <c r="L265">
        <v>7</v>
      </c>
      <c r="M265" t="s">
        <v>92</v>
      </c>
      <c r="N265">
        <v>0</v>
      </c>
      <c r="O265">
        <v>0</v>
      </c>
    </row>
    <row r="266" spans="1:15" x14ac:dyDescent="0.3">
      <c r="A266">
        <v>361</v>
      </c>
      <c r="B266" s="34">
        <v>38419</v>
      </c>
      <c r="C266">
        <v>1.3216000000000001</v>
      </c>
      <c r="D266">
        <v>0</v>
      </c>
      <c r="F266">
        <v>0.113699999999997</v>
      </c>
      <c r="G266">
        <v>8.9671737389920896</v>
      </c>
      <c r="H266">
        <v>1</v>
      </c>
      <c r="I266">
        <v>0.55955679999999997</v>
      </c>
      <c r="J266">
        <v>2005</v>
      </c>
      <c r="K266">
        <v>3</v>
      </c>
      <c r="L266">
        <v>8</v>
      </c>
      <c r="M266" t="s">
        <v>93</v>
      </c>
      <c r="N266">
        <v>0</v>
      </c>
      <c r="O266">
        <v>0</v>
      </c>
    </row>
    <row r="267" spans="1:15" x14ac:dyDescent="0.3">
      <c r="A267">
        <v>362</v>
      </c>
      <c r="B267" s="34">
        <v>38420</v>
      </c>
      <c r="C267">
        <v>1.3353999999999999</v>
      </c>
      <c r="D267">
        <v>0</v>
      </c>
      <c r="F267">
        <v>0.113699999999997</v>
      </c>
      <c r="G267">
        <v>8.9671737389920896</v>
      </c>
      <c r="H267">
        <v>0</v>
      </c>
      <c r="I267">
        <v>0.55801109999999998</v>
      </c>
      <c r="J267">
        <v>2005</v>
      </c>
      <c r="K267">
        <v>3</v>
      </c>
      <c r="L267">
        <v>9</v>
      </c>
      <c r="M267" t="s">
        <v>89</v>
      </c>
      <c r="N267">
        <v>0</v>
      </c>
      <c r="O267">
        <v>0</v>
      </c>
    </row>
    <row r="268" spans="1:15" x14ac:dyDescent="0.3">
      <c r="A268">
        <v>363</v>
      </c>
      <c r="B268" s="34">
        <v>38421</v>
      </c>
      <c r="C268">
        <v>1.339</v>
      </c>
      <c r="D268">
        <v>0</v>
      </c>
      <c r="F268">
        <v>0.113699999999997</v>
      </c>
      <c r="G268">
        <v>8.9671737389920896</v>
      </c>
      <c r="H268">
        <v>0</v>
      </c>
      <c r="I268">
        <v>0.55647389999999997</v>
      </c>
      <c r="J268">
        <v>2005</v>
      </c>
      <c r="K268">
        <v>3</v>
      </c>
      <c r="L268">
        <v>10</v>
      </c>
      <c r="M268" t="s">
        <v>90</v>
      </c>
      <c r="N268">
        <v>0</v>
      </c>
      <c r="O268">
        <v>0</v>
      </c>
    </row>
    <row r="269" spans="1:15" x14ac:dyDescent="0.3">
      <c r="A269">
        <v>364</v>
      </c>
      <c r="B269" s="34">
        <v>38422</v>
      </c>
      <c r="C269">
        <v>1.3409</v>
      </c>
      <c r="D269">
        <v>0</v>
      </c>
      <c r="F269">
        <v>0.113699999999997</v>
      </c>
      <c r="G269">
        <v>8.9671737389920896</v>
      </c>
      <c r="H269">
        <v>0</v>
      </c>
      <c r="I269">
        <v>0.55494509999999997</v>
      </c>
      <c r="J269">
        <v>2005</v>
      </c>
      <c r="K269">
        <v>3</v>
      </c>
      <c r="L269">
        <v>11</v>
      </c>
      <c r="M269" t="s">
        <v>91</v>
      </c>
      <c r="N269">
        <v>0</v>
      </c>
      <c r="O269">
        <v>0</v>
      </c>
    </row>
    <row r="270" spans="1:15" x14ac:dyDescent="0.3">
      <c r="A270">
        <v>365</v>
      </c>
      <c r="B270" s="34">
        <v>38425</v>
      </c>
      <c r="C270">
        <v>1.3458000000000001</v>
      </c>
      <c r="D270">
        <v>-2</v>
      </c>
      <c r="F270">
        <v>0.122899999999997</v>
      </c>
      <c r="G270">
        <v>1.60128102482058</v>
      </c>
      <c r="H270">
        <v>1</v>
      </c>
      <c r="I270">
        <v>0.5561644</v>
      </c>
      <c r="J270">
        <v>2005</v>
      </c>
      <c r="K270">
        <v>3</v>
      </c>
      <c r="L270">
        <v>14</v>
      </c>
      <c r="M270" t="s">
        <v>92</v>
      </c>
      <c r="N270">
        <v>0</v>
      </c>
      <c r="O270">
        <v>0</v>
      </c>
    </row>
    <row r="271" spans="1:15" x14ac:dyDescent="0.3">
      <c r="A271">
        <v>366</v>
      </c>
      <c r="B271" s="34">
        <v>38426</v>
      </c>
      <c r="C271">
        <v>1.3366</v>
      </c>
      <c r="D271">
        <v>4</v>
      </c>
      <c r="E271" t="s">
        <v>146</v>
      </c>
      <c r="F271">
        <v>0.117299999999997</v>
      </c>
      <c r="G271">
        <v>6.0848678943162797</v>
      </c>
      <c r="H271">
        <v>0</v>
      </c>
      <c r="I271">
        <v>0.55464480000000005</v>
      </c>
      <c r="J271">
        <v>2005</v>
      </c>
      <c r="K271">
        <v>3</v>
      </c>
      <c r="L271">
        <v>15</v>
      </c>
      <c r="M271" t="s">
        <v>93</v>
      </c>
      <c r="N271">
        <v>0</v>
      </c>
      <c r="O271">
        <v>0</v>
      </c>
    </row>
    <row r="272" spans="1:15" x14ac:dyDescent="0.3">
      <c r="A272">
        <v>367</v>
      </c>
      <c r="B272" s="34">
        <v>38427</v>
      </c>
      <c r="C272">
        <v>1.331</v>
      </c>
      <c r="D272">
        <v>2</v>
      </c>
      <c r="E272" t="s">
        <v>147</v>
      </c>
      <c r="F272">
        <v>0.12799999999999701</v>
      </c>
      <c r="G272">
        <v>0</v>
      </c>
      <c r="H272">
        <v>0</v>
      </c>
      <c r="I272">
        <v>0.55313349999999994</v>
      </c>
      <c r="J272">
        <v>2005</v>
      </c>
      <c r="K272">
        <v>3</v>
      </c>
      <c r="L272">
        <v>16</v>
      </c>
      <c r="M272" t="s">
        <v>89</v>
      </c>
      <c r="N272">
        <v>0</v>
      </c>
      <c r="O272">
        <v>0</v>
      </c>
    </row>
    <row r="273" spans="1:15" x14ac:dyDescent="0.3">
      <c r="A273">
        <v>368</v>
      </c>
      <c r="B273" s="34">
        <v>38428</v>
      </c>
      <c r="C273">
        <v>1.3416999999999999</v>
      </c>
      <c r="D273">
        <v>0</v>
      </c>
      <c r="F273">
        <v>0.12799999999999701</v>
      </c>
      <c r="G273">
        <v>0</v>
      </c>
      <c r="H273">
        <v>1</v>
      </c>
      <c r="I273">
        <v>0.55434779999999995</v>
      </c>
      <c r="J273">
        <v>2005</v>
      </c>
      <c r="K273">
        <v>3</v>
      </c>
      <c r="L273">
        <v>17</v>
      </c>
      <c r="M273" t="s">
        <v>90</v>
      </c>
      <c r="N273">
        <v>0</v>
      </c>
      <c r="O273">
        <v>0</v>
      </c>
    </row>
    <row r="274" spans="1:15" x14ac:dyDescent="0.3">
      <c r="A274">
        <v>369</v>
      </c>
      <c r="B274" s="34">
        <v>38429</v>
      </c>
      <c r="C274">
        <v>1.3379000000000001</v>
      </c>
      <c r="D274">
        <v>3</v>
      </c>
      <c r="E274" t="s">
        <v>148</v>
      </c>
      <c r="F274">
        <v>0.12219999999999701</v>
      </c>
      <c r="G274">
        <v>4.5312500000001101</v>
      </c>
      <c r="H274">
        <v>1</v>
      </c>
      <c r="I274">
        <v>0.55555560000000004</v>
      </c>
      <c r="J274">
        <v>2005</v>
      </c>
      <c r="K274">
        <v>3</v>
      </c>
      <c r="L274">
        <v>18</v>
      </c>
      <c r="M274" t="s">
        <v>91</v>
      </c>
      <c r="N274">
        <v>0</v>
      </c>
      <c r="O274">
        <v>0</v>
      </c>
    </row>
    <row r="275" spans="1:15" x14ac:dyDescent="0.3">
      <c r="A275">
        <v>370</v>
      </c>
      <c r="B275" s="34">
        <v>38432</v>
      </c>
      <c r="C275">
        <v>1.3321000000000001</v>
      </c>
      <c r="D275">
        <v>2</v>
      </c>
      <c r="E275" t="s">
        <v>149</v>
      </c>
      <c r="F275">
        <v>0.10679999999999699</v>
      </c>
      <c r="G275">
        <v>16.562500000000401</v>
      </c>
      <c r="H275">
        <v>1</v>
      </c>
      <c r="I275">
        <v>0.55675669999999999</v>
      </c>
      <c r="J275">
        <v>2005</v>
      </c>
      <c r="K275">
        <v>3</v>
      </c>
      <c r="L275">
        <v>21</v>
      </c>
      <c r="M275" t="s">
        <v>92</v>
      </c>
      <c r="N275">
        <v>0</v>
      </c>
      <c r="O275">
        <v>0</v>
      </c>
    </row>
    <row r="276" spans="1:15" x14ac:dyDescent="0.3">
      <c r="A276">
        <v>371</v>
      </c>
      <c r="B276" s="34">
        <v>38433</v>
      </c>
      <c r="C276">
        <v>1.3167</v>
      </c>
      <c r="D276">
        <v>0</v>
      </c>
      <c r="F276">
        <v>0.10679999999999699</v>
      </c>
      <c r="G276">
        <v>16.562500000000401</v>
      </c>
      <c r="H276">
        <v>0</v>
      </c>
      <c r="I276">
        <v>0.55525610000000003</v>
      </c>
      <c r="J276">
        <v>2005</v>
      </c>
      <c r="K276">
        <v>3</v>
      </c>
      <c r="L276">
        <v>22</v>
      </c>
      <c r="M276" t="s">
        <v>93</v>
      </c>
      <c r="N276">
        <v>0</v>
      </c>
      <c r="O276">
        <v>0</v>
      </c>
    </row>
    <row r="277" spans="1:15" x14ac:dyDescent="0.3">
      <c r="A277">
        <v>372</v>
      </c>
      <c r="B277" s="34">
        <v>38434</v>
      </c>
      <c r="C277">
        <v>1.3085</v>
      </c>
      <c r="D277">
        <v>0</v>
      </c>
      <c r="F277">
        <v>0.10679999999999699</v>
      </c>
      <c r="G277">
        <v>16.562500000000401</v>
      </c>
      <c r="H277">
        <v>0</v>
      </c>
      <c r="I277">
        <v>0.55376340000000002</v>
      </c>
      <c r="J277">
        <v>2005</v>
      </c>
      <c r="K277">
        <v>3</v>
      </c>
      <c r="L277">
        <v>23</v>
      </c>
      <c r="M277" t="s">
        <v>89</v>
      </c>
      <c r="N277">
        <v>0</v>
      </c>
      <c r="O277">
        <v>0</v>
      </c>
    </row>
    <row r="278" spans="1:15" x14ac:dyDescent="0.3">
      <c r="A278">
        <v>373</v>
      </c>
      <c r="B278" s="34">
        <v>38435</v>
      </c>
      <c r="C278">
        <v>1.2988999999999999</v>
      </c>
      <c r="D278">
        <v>0</v>
      </c>
      <c r="F278">
        <v>0.10679999999999699</v>
      </c>
      <c r="G278">
        <v>16.562500000000401</v>
      </c>
      <c r="H278">
        <v>0</v>
      </c>
      <c r="I278">
        <v>0.55227879999999996</v>
      </c>
      <c r="J278">
        <v>2005</v>
      </c>
      <c r="K278">
        <v>3</v>
      </c>
      <c r="L278">
        <v>24</v>
      </c>
      <c r="M278" t="s">
        <v>90</v>
      </c>
      <c r="N278">
        <v>0</v>
      </c>
      <c r="O278">
        <v>0</v>
      </c>
    </row>
    <row r="279" spans="1:15" x14ac:dyDescent="0.3">
      <c r="A279">
        <v>374</v>
      </c>
      <c r="B279" s="34">
        <v>38436</v>
      </c>
      <c r="C279">
        <v>1.2943</v>
      </c>
      <c r="D279">
        <v>-1</v>
      </c>
      <c r="F279">
        <v>0.105499999999997</v>
      </c>
      <c r="G279">
        <v>17.578125000000401</v>
      </c>
      <c r="H279">
        <v>0</v>
      </c>
      <c r="I279">
        <v>0.55080209999999996</v>
      </c>
      <c r="J279">
        <v>2005</v>
      </c>
      <c r="K279">
        <v>3</v>
      </c>
      <c r="L279">
        <v>25</v>
      </c>
      <c r="M279" t="s">
        <v>91</v>
      </c>
      <c r="N279">
        <v>0</v>
      </c>
      <c r="O279">
        <v>0</v>
      </c>
    </row>
    <row r="280" spans="1:15" x14ac:dyDescent="0.3">
      <c r="A280">
        <v>375</v>
      </c>
      <c r="B280" s="34">
        <v>38439</v>
      </c>
      <c r="C280">
        <v>1.2956000000000001</v>
      </c>
      <c r="D280">
        <v>0</v>
      </c>
      <c r="F280">
        <v>0.105499999999997</v>
      </c>
      <c r="G280">
        <v>17.578125000000401</v>
      </c>
      <c r="H280">
        <v>0</v>
      </c>
      <c r="I280">
        <v>0.54933330000000002</v>
      </c>
      <c r="J280">
        <v>2005</v>
      </c>
      <c r="K280">
        <v>3</v>
      </c>
      <c r="L280">
        <v>28</v>
      </c>
      <c r="M280" t="s">
        <v>92</v>
      </c>
      <c r="N280">
        <v>0</v>
      </c>
      <c r="O280">
        <v>0</v>
      </c>
    </row>
    <row r="281" spans="1:15" x14ac:dyDescent="0.3">
      <c r="A281">
        <v>376</v>
      </c>
      <c r="B281" s="34">
        <v>38440</v>
      </c>
      <c r="C281">
        <v>1.2895000000000001</v>
      </c>
      <c r="D281">
        <v>4</v>
      </c>
      <c r="E281" t="s">
        <v>150</v>
      </c>
      <c r="F281">
        <v>0.108499999999997</v>
      </c>
      <c r="G281">
        <v>15.234375000000499</v>
      </c>
      <c r="H281">
        <v>0</v>
      </c>
      <c r="I281">
        <v>0.54787240000000004</v>
      </c>
      <c r="J281">
        <v>2005</v>
      </c>
      <c r="K281">
        <v>3</v>
      </c>
      <c r="L281">
        <v>29</v>
      </c>
      <c r="M281" t="s">
        <v>93</v>
      </c>
      <c r="N281">
        <v>0</v>
      </c>
      <c r="O281">
        <v>0</v>
      </c>
    </row>
    <row r="282" spans="1:15" x14ac:dyDescent="0.3">
      <c r="A282">
        <v>377</v>
      </c>
      <c r="B282" s="34">
        <v>38441</v>
      </c>
      <c r="C282">
        <v>1.2925</v>
      </c>
      <c r="D282">
        <v>0</v>
      </c>
      <c r="F282">
        <v>0.108499999999997</v>
      </c>
      <c r="G282">
        <v>15.234375000000499</v>
      </c>
      <c r="H282">
        <v>1</v>
      </c>
      <c r="I282">
        <v>0.54907159999999999</v>
      </c>
      <c r="J282">
        <v>2005</v>
      </c>
      <c r="K282">
        <v>3</v>
      </c>
      <c r="L282">
        <v>30</v>
      </c>
      <c r="M282" t="s">
        <v>89</v>
      </c>
      <c r="N282">
        <v>0</v>
      </c>
      <c r="O282">
        <v>0</v>
      </c>
    </row>
    <row r="283" spans="1:15" x14ac:dyDescent="0.3">
      <c r="A283">
        <v>378</v>
      </c>
      <c r="B283" s="34">
        <v>38442</v>
      </c>
      <c r="C283">
        <v>1.2916000000000001</v>
      </c>
      <c r="D283">
        <v>7</v>
      </c>
      <c r="E283" t="s">
        <v>151</v>
      </c>
      <c r="F283">
        <v>0.113399999999997</v>
      </c>
      <c r="G283">
        <v>11.406250000000499</v>
      </c>
      <c r="H283">
        <v>0</v>
      </c>
      <c r="I283">
        <v>0.54761899999999997</v>
      </c>
      <c r="J283">
        <v>2005</v>
      </c>
      <c r="K283">
        <v>3</v>
      </c>
      <c r="L283">
        <v>31</v>
      </c>
      <c r="M283" t="s">
        <v>90</v>
      </c>
      <c r="N283">
        <v>0</v>
      </c>
      <c r="O283">
        <v>0</v>
      </c>
    </row>
    <row r="284" spans="1:15" x14ac:dyDescent="0.3">
      <c r="A284">
        <v>379</v>
      </c>
      <c r="B284" s="34">
        <v>38443</v>
      </c>
      <c r="C284">
        <v>1.2965</v>
      </c>
      <c r="D284">
        <v>-1</v>
      </c>
      <c r="F284">
        <v>0.119099999999997</v>
      </c>
      <c r="G284">
        <v>6.9531250000004103</v>
      </c>
      <c r="H284">
        <v>1</v>
      </c>
      <c r="I284">
        <v>0.54881270000000004</v>
      </c>
      <c r="J284">
        <v>2005</v>
      </c>
      <c r="K284">
        <v>4</v>
      </c>
      <c r="L284">
        <v>1</v>
      </c>
      <c r="M284" t="s">
        <v>91</v>
      </c>
      <c r="N284">
        <v>0</v>
      </c>
      <c r="O284">
        <v>0</v>
      </c>
    </row>
    <row r="285" spans="1:15" x14ac:dyDescent="0.3">
      <c r="A285">
        <v>380</v>
      </c>
      <c r="B285" s="34">
        <v>38446</v>
      </c>
      <c r="C285">
        <v>1.2907999999999999</v>
      </c>
      <c r="D285">
        <v>0</v>
      </c>
      <c r="F285">
        <v>0.119099999999997</v>
      </c>
      <c r="G285">
        <v>6.9531250000004103</v>
      </c>
      <c r="H285">
        <v>1</v>
      </c>
      <c r="I285">
        <v>0.55000000000000004</v>
      </c>
      <c r="J285">
        <v>2005</v>
      </c>
      <c r="K285">
        <v>4</v>
      </c>
      <c r="L285">
        <v>4</v>
      </c>
      <c r="M285" t="s">
        <v>92</v>
      </c>
      <c r="N285">
        <v>0</v>
      </c>
      <c r="O285">
        <v>0</v>
      </c>
    </row>
    <row r="286" spans="1:15" x14ac:dyDescent="0.3">
      <c r="A286">
        <v>381</v>
      </c>
      <c r="B286" s="34">
        <v>38447</v>
      </c>
      <c r="C286">
        <v>1.2853000000000001</v>
      </c>
      <c r="D286">
        <v>0</v>
      </c>
      <c r="F286">
        <v>0.119099999999997</v>
      </c>
      <c r="G286">
        <v>6.9531250000004103</v>
      </c>
      <c r="H286">
        <v>0</v>
      </c>
      <c r="I286">
        <v>0.54855640000000006</v>
      </c>
      <c r="J286">
        <v>2005</v>
      </c>
      <c r="K286">
        <v>4</v>
      </c>
      <c r="L286">
        <v>5</v>
      </c>
      <c r="M286" t="s">
        <v>93</v>
      </c>
      <c r="N286">
        <v>0</v>
      </c>
      <c r="O286">
        <v>0</v>
      </c>
    </row>
    <row r="287" spans="1:15" x14ac:dyDescent="0.3">
      <c r="A287">
        <v>382</v>
      </c>
      <c r="B287" s="34">
        <v>38448</v>
      </c>
      <c r="C287">
        <v>1.2853000000000001</v>
      </c>
      <c r="D287">
        <v>36</v>
      </c>
      <c r="E287" t="s">
        <v>152</v>
      </c>
      <c r="F287">
        <v>0.120999999999996</v>
      </c>
      <c r="G287">
        <v>5.46875000000054</v>
      </c>
      <c r="H287">
        <v>0.5</v>
      </c>
      <c r="I287">
        <v>0.54842930000000001</v>
      </c>
      <c r="J287">
        <v>2005</v>
      </c>
      <c r="K287">
        <v>4</v>
      </c>
      <c r="L287">
        <v>6</v>
      </c>
      <c r="M287" t="s">
        <v>89</v>
      </c>
      <c r="N287">
        <v>0</v>
      </c>
      <c r="O287">
        <v>0</v>
      </c>
    </row>
    <row r="288" spans="1:15" x14ac:dyDescent="0.3">
      <c r="A288">
        <v>383</v>
      </c>
      <c r="B288" s="34">
        <v>38449</v>
      </c>
      <c r="C288">
        <v>1.2871999999999999</v>
      </c>
      <c r="D288">
        <v>-27</v>
      </c>
      <c r="F288">
        <v>0.123099999999996</v>
      </c>
      <c r="G288">
        <v>3.82812500000052</v>
      </c>
      <c r="H288">
        <v>1</v>
      </c>
      <c r="I288">
        <v>0.54960830000000005</v>
      </c>
      <c r="J288">
        <v>2005</v>
      </c>
      <c r="K288">
        <v>4</v>
      </c>
      <c r="L288">
        <v>7</v>
      </c>
      <c r="M288" t="s">
        <v>90</v>
      </c>
      <c r="N288">
        <v>0</v>
      </c>
      <c r="O288">
        <v>0</v>
      </c>
    </row>
    <row r="289" spans="1:15" x14ac:dyDescent="0.3">
      <c r="A289">
        <v>384</v>
      </c>
      <c r="B289" s="34">
        <v>38450</v>
      </c>
      <c r="C289">
        <v>1.2850999999999999</v>
      </c>
      <c r="D289">
        <v>8</v>
      </c>
      <c r="E289" t="s">
        <v>153</v>
      </c>
      <c r="F289">
        <v>0.129799999999997</v>
      </c>
      <c r="G289">
        <v>0</v>
      </c>
      <c r="H289">
        <v>0</v>
      </c>
      <c r="I289">
        <v>0.54817709999999997</v>
      </c>
      <c r="J289">
        <v>2005</v>
      </c>
      <c r="K289">
        <v>4</v>
      </c>
      <c r="L289">
        <v>8</v>
      </c>
      <c r="M289" t="s">
        <v>91</v>
      </c>
      <c r="N289">
        <v>0</v>
      </c>
      <c r="O289">
        <v>0</v>
      </c>
    </row>
    <row r="290" spans="1:15" x14ac:dyDescent="0.3">
      <c r="A290">
        <v>385</v>
      </c>
      <c r="B290" s="34">
        <v>38453</v>
      </c>
      <c r="C290">
        <v>1.2918000000000001</v>
      </c>
      <c r="D290">
        <v>-1</v>
      </c>
      <c r="F290">
        <v>0.12419999999999599</v>
      </c>
      <c r="G290">
        <v>4.3143297380586798</v>
      </c>
      <c r="H290">
        <v>1</v>
      </c>
      <c r="I290">
        <v>0.54935069999999997</v>
      </c>
      <c r="J290">
        <v>2005</v>
      </c>
      <c r="K290">
        <v>4</v>
      </c>
      <c r="L290">
        <v>11</v>
      </c>
      <c r="M290" t="s">
        <v>92</v>
      </c>
      <c r="N290">
        <v>0</v>
      </c>
      <c r="O290">
        <v>0</v>
      </c>
    </row>
    <row r="291" spans="1:15" x14ac:dyDescent="0.3">
      <c r="A291">
        <v>386</v>
      </c>
      <c r="B291" s="34">
        <v>38454</v>
      </c>
      <c r="C291">
        <v>1.2974000000000001</v>
      </c>
      <c r="D291">
        <v>0</v>
      </c>
      <c r="F291">
        <v>0.12419999999999599</v>
      </c>
      <c r="G291">
        <v>4.3143297380586798</v>
      </c>
      <c r="H291">
        <v>0</v>
      </c>
      <c r="I291">
        <v>0.54792739999999995</v>
      </c>
      <c r="J291">
        <v>2005</v>
      </c>
      <c r="K291">
        <v>4</v>
      </c>
      <c r="L291">
        <v>12</v>
      </c>
      <c r="M291" t="s">
        <v>93</v>
      </c>
      <c r="N291">
        <v>0</v>
      </c>
      <c r="O291">
        <v>0</v>
      </c>
    </row>
    <row r="292" spans="1:15" x14ac:dyDescent="0.3">
      <c r="A292">
        <v>387</v>
      </c>
      <c r="B292" s="34">
        <v>38455</v>
      </c>
      <c r="C292">
        <v>1.2918000000000001</v>
      </c>
      <c r="D292">
        <v>0</v>
      </c>
      <c r="F292">
        <v>0.12419999999999599</v>
      </c>
      <c r="G292">
        <v>4.3143297380586798</v>
      </c>
      <c r="H292">
        <v>1</v>
      </c>
      <c r="I292">
        <v>0.54909560000000002</v>
      </c>
      <c r="J292">
        <v>2005</v>
      </c>
      <c r="K292">
        <v>4</v>
      </c>
      <c r="L292">
        <v>13</v>
      </c>
      <c r="M292" t="s">
        <v>89</v>
      </c>
      <c r="N292">
        <v>0</v>
      </c>
      <c r="O292">
        <v>0</v>
      </c>
    </row>
    <row r="293" spans="1:15" x14ac:dyDescent="0.3">
      <c r="A293">
        <v>388</v>
      </c>
      <c r="B293" s="34">
        <v>38456</v>
      </c>
      <c r="C293">
        <v>1.2919</v>
      </c>
      <c r="D293">
        <v>-4</v>
      </c>
      <c r="F293">
        <v>0.13619999999999699</v>
      </c>
      <c r="G293">
        <v>0</v>
      </c>
      <c r="H293">
        <v>0</v>
      </c>
      <c r="I293">
        <v>0.54768039999999996</v>
      </c>
      <c r="J293">
        <v>2005</v>
      </c>
      <c r="K293">
        <v>4</v>
      </c>
      <c r="L293">
        <v>14</v>
      </c>
      <c r="M293" t="s">
        <v>90</v>
      </c>
      <c r="N293">
        <v>0</v>
      </c>
      <c r="O293">
        <v>0</v>
      </c>
    </row>
    <row r="294" spans="1:15" x14ac:dyDescent="0.3">
      <c r="A294">
        <v>389</v>
      </c>
      <c r="B294" s="34">
        <v>38457</v>
      </c>
      <c r="C294">
        <v>1.2799</v>
      </c>
      <c r="D294">
        <v>2</v>
      </c>
      <c r="E294" t="s">
        <v>154</v>
      </c>
      <c r="F294">
        <v>0.14629999999999699</v>
      </c>
      <c r="G294">
        <v>0</v>
      </c>
      <c r="H294">
        <v>1</v>
      </c>
      <c r="I294">
        <v>0.54884319999999998</v>
      </c>
      <c r="J294">
        <v>2005</v>
      </c>
      <c r="K294">
        <v>4</v>
      </c>
      <c r="L294">
        <v>15</v>
      </c>
      <c r="M294" t="s">
        <v>91</v>
      </c>
      <c r="N294">
        <v>0</v>
      </c>
      <c r="O294">
        <v>0</v>
      </c>
    </row>
    <row r="295" spans="1:15" x14ac:dyDescent="0.3">
      <c r="A295">
        <v>390</v>
      </c>
      <c r="B295" s="34">
        <v>38460</v>
      </c>
      <c r="C295">
        <v>1.29</v>
      </c>
      <c r="D295">
        <v>0</v>
      </c>
      <c r="F295">
        <v>0.14629999999999699</v>
      </c>
      <c r="G295">
        <v>0</v>
      </c>
      <c r="H295">
        <v>1</v>
      </c>
      <c r="I295">
        <v>0.55000000000000004</v>
      </c>
      <c r="J295">
        <v>2005</v>
      </c>
      <c r="K295">
        <v>4</v>
      </c>
      <c r="L295">
        <v>18</v>
      </c>
      <c r="M295" t="s">
        <v>92</v>
      </c>
      <c r="N295">
        <v>0</v>
      </c>
      <c r="O295">
        <v>0</v>
      </c>
    </row>
    <row r="296" spans="1:15" x14ac:dyDescent="0.3">
      <c r="A296">
        <v>391</v>
      </c>
      <c r="B296" s="34">
        <v>38461</v>
      </c>
      <c r="C296">
        <v>1.3028</v>
      </c>
      <c r="D296">
        <v>-4</v>
      </c>
      <c r="F296">
        <v>0.143399999999996</v>
      </c>
      <c r="G296">
        <v>1.98222829801789</v>
      </c>
      <c r="H296">
        <v>1</v>
      </c>
      <c r="I296">
        <v>0.5511509</v>
      </c>
      <c r="J296">
        <v>2005</v>
      </c>
      <c r="K296">
        <v>4</v>
      </c>
      <c r="L296">
        <v>19</v>
      </c>
      <c r="M296" t="s">
        <v>93</v>
      </c>
      <c r="N296">
        <v>0</v>
      </c>
      <c r="O296">
        <v>0</v>
      </c>
    </row>
    <row r="297" spans="1:15" x14ac:dyDescent="0.3">
      <c r="A297">
        <v>392</v>
      </c>
      <c r="B297" s="34">
        <v>38462</v>
      </c>
      <c r="C297">
        <v>1.3057000000000001</v>
      </c>
      <c r="D297">
        <v>0</v>
      </c>
      <c r="F297">
        <v>0.143399999999996</v>
      </c>
      <c r="G297">
        <v>1.98222829801789</v>
      </c>
      <c r="H297">
        <v>0</v>
      </c>
      <c r="I297">
        <v>0.54974489999999998</v>
      </c>
      <c r="J297">
        <v>2005</v>
      </c>
      <c r="K297">
        <v>4</v>
      </c>
      <c r="L297">
        <v>20</v>
      </c>
      <c r="M297" t="s">
        <v>89</v>
      </c>
      <c r="N297">
        <v>0</v>
      </c>
      <c r="O297">
        <v>0</v>
      </c>
    </row>
    <row r="298" spans="1:15" x14ac:dyDescent="0.3">
      <c r="A298">
        <v>393</v>
      </c>
      <c r="B298" s="34">
        <v>38463</v>
      </c>
      <c r="C298">
        <v>1.3087</v>
      </c>
      <c r="D298">
        <v>0</v>
      </c>
      <c r="F298">
        <v>0.143399999999996</v>
      </c>
      <c r="G298">
        <v>1.98222829801789</v>
      </c>
      <c r="H298">
        <v>0</v>
      </c>
      <c r="I298">
        <v>0.548346</v>
      </c>
      <c r="J298">
        <v>2005</v>
      </c>
      <c r="K298">
        <v>4</v>
      </c>
      <c r="L298">
        <v>21</v>
      </c>
      <c r="M298" t="s">
        <v>90</v>
      </c>
      <c r="N298">
        <v>0</v>
      </c>
      <c r="O298">
        <v>0</v>
      </c>
    </row>
    <row r="299" spans="1:15" x14ac:dyDescent="0.3">
      <c r="A299">
        <v>394</v>
      </c>
      <c r="B299" s="34">
        <v>38464</v>
      </c>
      <c r="C299">
        <v>1.3049999999999999</v>
      </c>
      <c r="D299">
        <v>0</v>
      </c>
      <c r="F299">
        <v>0.143399999999996</v>
      </c>
      <c r="G299">
        <v>1.98222829801789</v>
      </c>
      <c r="H299">
        <v>1</v>
      </c>
      <c r="I299">
        <v>0.54949239999999999</v>
      </c>
      <c r="J299">
        <v>2005</v>
      </c>
      <c r="K299">
        <v>4</v>
      </c>
      <c r="L299">
        <v>22</v>
      </c>
      <c r="M299" t="s">
        <v>91</v>
      </c>
      <c r="N299">
        <v>0</v>
      </c>
      <c r="O299">
        <v>0</v>
      </c>
    </row>
    <row r="300" spans="1:15" x14ac:dyDescent="0.3">
      <c r="A300">
        <v>395</v>
      </c>
      <c r="B300" s="34">
        <v>38467</v>
      </c>
      <c r="C300">
        <v>1.3062</v>
      </c>
      <c r="D300">
        <v>-6</v>
      </c>
      <c r="F300">
        <v>0.150699999999996</v>
      </c>
      <c r="G300">
        <v>0</v>
      </c>
      <c r="H300">
        <v>0</v>
      </c>
      <c r="I300">
        <v>0.54810119999999996</v>
      </c>
      <c r="J300">
        <v>2005</v>
      </c>
      <c r="K300">
        <v>4</v>
      </c>
      <c r="L300">
        <v>25</v>
      </c>
      <c r="M300" t="s">
        <v>92</v>
      </c>
      <c r="N300">
        <v>0</v>
      </c>
      <c r="O300">
        <v>0</v>
      </c>
    </row>
    <row r="301" spans="1:15" x14ac:dyDescent="0.3">
      <c r="A301">
        <v>396</v>
      </c>
      <c r="B301" s="34">
        <v>38468</v>
      </c>
      <c r="C301">
        <v>1.2988999999999999</v>
      </c>
      <c r="D301">
        <v>8</v>
      </c>
      <c r="E301" t="s">
        <v>155</v>
      </c>
      <c r="F301">
        <v>0.150999999999996</v>
      </c>
      <c r="G301">
        <v>0</v>
      </c>
      <c r="H301">
        <v>0</v>
      </c>
      <c r="I301">
        <v>0.54671720000000001</v>
      </c>
      <c r="J301">
        <v>2005</v>
      </c>
      <c r="K301">
        <v>4</v>
      </c>
      <c r="L301">
        <v>26</v>
      </c>
      <c r="M301" t="s">
        <v>93</v>
      </c>
      <c r="N301">
        <v>0</v>
      </c>
      <c r="O301">
        <v>0</v>
      </c>
    </row>
    <row r="302" spans="1:15" x14ac:dyDescent="0.3">
      <c r="A302">
        <v>397</v>
      </c>
      <c r="B302" s="34">
        <v>38469</v>
      </c>
      <c r="C302">
        <v>1.2991999999999999</v>
      </c>
      <c r="D302">
        <v>0</v>
      </c>
      <c r="F302">
        <v>0.150999999999996</v>
      </c>
      <c r="G302">
        <v>0</v>
      </c>
      <c r="H302">
        <v>1</v>
      </c>
      <c r="I302">
        <v>0.54785899999999998</v>
      </c>
      <c r="J302">
        <v>2005</v>
      </c>
      <c r="K302">
        <v>4</v>
      </c>
      <c r="L302">
        <v>27</v>
      </c>
      <c r="M302" t="s">
        <v>89</v>
      </c>
      <c r="N302">
        <v>0</v>
      </c>
      <c r="O302">
        <v>0</v>
      </c>
    </row>
    <row r="303" spans="1:15" x14ac:dyDescent="0.3">
      <c r="A303">
        <v>398</v>
      </c>
      <c r="B303" s="34">
        <v>38470</v>
      </c>
      <c r="C303">
        <v>1.2926</v>
      </c>
      <c r="D303">
        <v>1</v>
      </c>
      <c r="E303" t="s">
        <v>156</v>
      </c>
      <c r="F303">
        <v>0.14859999999999601</v>
      </c>
      <c r="G303">
        <v>1.5894039735099299</v>
      </c>
      <c r="H303">
        <v>0</v>
      </c>
      <c r="I303">
        <v>0.54648240000000003</v>
      </c>
      <c r="J303">
        <v>2005</v>
      </c>
      <c r="K303">
        <v>4</v>
      </c>
      <c r="L303">
        <v>28</v>
      </c>
      <c r="M303" t="s">
        <v>90</v>
      </c>
      <c r="N303">
        <v>0</v>
      </c>
      <c r="O303">
        <v>0</v>
      </c>
    </row>
    <row r="304" spans="1:15" x14ac:dyDescent="0.3">
      <c r="A304">
        <v>399</v>
      </c>
      <c r="B304" s="34">
        <v>38471</v>
      </c>
      <c r="C304">
        <v>1.2902</v>
      </c>
      <c r="D304">
        <v>0</v>
      </c>
      <c r="F304">
        <v>0.14859999999999601</v>
      </c>
      <c r="G304">
        <v>1.5894039735099299</v>
      </c>
      <c r="H304">
        <v>0</v>
      </c>
      <c r="I304">
        <v>0.54511279999999995</v>
      </c>
      <c r="J304">
        <v>2005</v>
      </c>
      <c r="K304">
        <v>4</v>
      </c>
      <c r="L304">
        <v>29</v>
      </c>
      <c r="M304" t="s">
        <v>91</v>
      </c>
      <c r="N304">
        <v>0</v>
      </c>
      <c r="O304">
        <v>0</v>
      </c>
    </row>
    <row r="305" spans="1:15" x14ac:dyDescent="0.3">
      <c r="A305">
        <v>400</v>
      </c>
      <c r="B305" s="34">
        <v>38474</v>
      </c>
      <c r="C305">
        <v>1.2874000000000001</v>
      </c>
      <c r="D305">
        <v>0</v>
      </c>
      <c r="F305">
        <v>0.14859999999999601</v>
      </c>
      <c r="G305">
        <v>1.5894039735099299</v>
      </c>
      <c r="H305">
        <v>0</v>
      </c>
      <c r="I305">
        <v>0.54374999999999996</v>
      </c>
      <c r="J305">
        <v>2005</v>
      </c>
      <c r="K305">
        <v>5</v>
      </c>
      <c r="L305">
        <v>2</v>
      </c>
      <c r="M305" t="s">
        <v>92</v>
      </c>
      <c r="N305">
        <v>0</v>
      </c>
      <c r="O305">
        <v>0</v>
      </c>
    </row>
    <row r="306" spans="1:15" x14ac:dyDescent="0.3">
      <c r="A306">
        <v>401</v>
      </c>
      <c r="B306" s="34">
        <v>38475</v>
      </c>
      <c r="C306">
        <v>1.2851999999999999</v>
      </c>
      <c r="D306">
        <v>-2</v>
      </c>
      <c r="F306">
        <v>0.14639999999999601</v>
      </c>
      <c r="G306">
        <v>3.0463576158942001</v>
      </c>
      <c r="H306">
        <v>0</v>
      </c>
      <c r="I306">
        <v>0.54239400000000004</v>
      </c>
      <c r="J306">
        <v>2005</v>
      </c>
      <c r="K306">
        <v>5</v>
      </c>
      <c r="L306">
        <v>3</v>
      </c>
      <c r="M306" t="s">
        <v>93</v>
      </c>
      <c r="N306">
        <v>0</v>
      </c>
      <c r="O306">
        <v>0</v>
      </c>
    </row>
    <row r="307" spans="1:15" x14ac:dyDescent="0.3">
      <c r="A307">
        <v>402</v>
      </c>
      <c r="B307" s="34">
        <v>38476</v>
      </c>
      <c r="C307">
        <v>1.2874000000000001</v>
      </c>
      <c r="D307">
        <v>-2</v>
      </c>
      <c r="F307">
        <v>0.13829999999999601</v>
      </c>
      <c r="G307">
        <v>8.4105960264903405</v>
      </c>
      <c r="H307">
        <v>1</v>
      </c>
      <c r="I307">
        <v>0.54353229999999997</v>
      </c>
      <c r="J307">
        <v>2005</v>
      </c>
      <c r="K307">
        <v>5</v>
      </c>
      <c r="L307">
        <v>4</v>
      </c>
      <c r="M307" t="s">
        <v>89</v>
      </c>
      <c r="N307">
        <v>0</v>
      </c>
      <c r="O307">
        <v>0</v>
      </c>
    </row>
    <row r="308" spans="1:15" x14ac:dyDescent="0.3">
      <c r="A308">
        <v>403</v>
      </c>
      <c r="B308" s="34">
        <v>38477</v>
      </c>
      <c r="C308">
        <v>1.2955000000000001</v>
      </c>
      <c r="D308">
        <v>-17</v>
      </c>
      <c r="F308">
        <v>0.13799999999999599</v>
      </c>
      <c r="G308">
        <v>8.6092715231790606</v>
      </c>
      <c r="H308">
        <v>0</v>
      </c>
      <c r="I308">
        <v>0.54218359999999999</v>
      </c>
      <c r="J308">
        <v>2005</v>
      </c>
      <c r="K308">
        <v>5</v>
      </c>
      <c r="L308">
        <v>5</v>
      </c>
      <c r="M308" t="s">
        <v>90</v>
      </c>
      <c r="N308">
        <v>0</v>
      </c>
      <c r="O308">
        <v>0</v>
      </c>
    </row>
    <row r="309" spans="1:15" x14ac:dyDescent="0.3">
      <c r="A309">
        <v>404</v>
      </c>
      <c r="B309" s="34">
        <v>38478</v>
      </c>
      <c r="C309">
        <v>1.2958000000000001</v>
      </c>
      <c r="D309">
        <v>0</v>
      </c>
      <c r="F309">
        <v>0.13799999999999599</v>
      </c>
      <c r="G309">
        <v>8.6092715231790606</v>
      </c>
      <c r="H309">
        <v>0</v>
      </c>
      <c r="I309">
        <v>0.54084160000000003</v>
      </c>
      <c r="J309">
        <v>2005</v>
      </c>
      <c r="K309">
        <v>5</v>
      </c>
      <c r="L309">
        <v>6</v>
      </c>
      <c r="M309" t="s">
        <v>91</v>
      </c>
      <c r="N309">
        <v>0</v>
      </c>
      <c r="O309">
        <v>0</v>
      </c>
    </row>
    <row r="310" spans="1:15" x14ac:dyDescent="0.3">
      <c r="A310">
        <v>405</v>
      </c>
      <c r="B310" s="34">
        <v>38481</v>
      </c>
      <c r="C310">
        <v>1.2838000000000001</v>
      </c>
      <c r="D310">
        <v>2</v>
      </c>
      <c r="E310" t="s">
        <v>157</v>
      </c>
      <c r="F310">
        <v>0.14049999999999599</v>
      </c>
      <c r="G310">
        <v>6.9536423841062103</v>
      </c>
      <c r="H310">
        <v>1</v>
      </c>
      <c r="I310">
        <v>0.54197530000000005</v>
      </c>
      <c r="J310">
        <v>2005</v>
      </c>
      <c r="K310">
        <v>5</v>
      </c>
      <c r="L310">
        <v>9</v>
      </c>
      <c r="M310" t="s">
        <v>92</v>
      </c>
      <c r="N310">
        <v>0</v>
      </c>
      <c r="O310">
        <v>0</v>
      </c>
    </row>
    <row r="311" spans="1:15" x14ac:dyDescent="0.3">
      <c r="A311">
        <v>406</v>
      </c>
      <c r="B311" s="34">
        <v>38482</v>
      </c>
      <c r="C311">
        <v>1.2863</v>
      </c>
      <c r="D311">
        <v>0</v>
      </c>
      <c r="F311">
        <v>0.14049999999999599</v>
      </c>
      <c r="G311">
        <v>6.9536423841062103</v>
      </c>
      <c r="H311">
        <v>1</v>
      </c>
      <c r="I311">
        <v>0.54310349999999996</v>
      </c>
      <c r="J311">
        <v>2005</v>
      </c>
      <c r="K311">
        <v>5</v>
      </c>
      <c r="L311">
        <v>10</v>
      </c>
      <c r="M311" t="s">
        <v>93</v>
      </c>
      <c r="N311">
        <v>0</v>
      </c>
      <c r="O311">
        <v>0</v>
      </c>
    </row>
    <row r="312" spans="1:15" x14ac:dyDescent="0.3">
      <c r="A312">
        <v>407</v>
      </c>
      <c r="B312" s="34">
        <v>38483</v>
      </c>
      <c r="C312">
        <v>1.2879</v>
      </c>
      <c r="D312">
        <v>-1</v>
      </c>
      <c r="F312">
        <v>0.14779999999999599</v>
      </c>
      <c r="G312">
        <v>2.1192052980133398</v>
      </c>
      <c r="H312">
        <v>1</v>
      </c>
      <c r="I312">
        <v>0.54422610000000005</v>
      </c>
      <c r="J312">
        <v>2005</v>
      </c>
      <c r="K312">
        <v>5</v>
      </c>
      <c r="L312">
        <v>11</v>
      </c>
      <c r="M312" t="s">
        <v>89</v>
      </c>
      <c r="N312">
        <v>0</v>
      </c>
      <c r="O312">
        <v>0</v>
      </c>
    </row>
    <row r="313" spans="1:15" x14ac:dyDescent="0.3">
      <c r="A313">
        <v>408</v>
      </c>
      <c r="B313" s="34">
        <v>38484</v>
      </c>
      <c r="C313">
        <v>1.2806</v>
      </c>
      <c r="D313">
        <v>0</v>
      </c>
      <c r="F313">
        <v>0.14779999999999599</v>
      </c>
      <c r="G313">
        <v>2.1192052980133398</v>
      </c>
      <c r="H313">
        <v>1</v>
      </c>
      <c r="I313">
        <v>0.54534320000000003</v>
      </c>
      <c r="J313">
        <v>2005</v>
      </c>
      <c r="K313">
        <v>5</v>
      </c>
      <c r="L313">
        <v>12</v>
      </c>
      <c r="M313" t="s">
        <v>90</v>
      </c>
      <c r="N313">
        <v>0</v>
      </c>
      <c r="O313">
        <v>0</v>
      </c>
    </row>
    <row r="314" spans="1:15" x14ac:dyDescent="0.3">
      <c r="A314">
        <v>409</v>
      </c>
      <c r="B314" s="34">
        <v>38485</v>
      </c>
      <c r="C314">
        <v>1.2679</v>
      </c>
      <c r="D314">
        <v>0</v>
      </c>
      <c r="F314">
        <v>0.14779999999999599</v>
      </c>
      <c r="G314">
        <v>2.1192052980133398</v>
      </c>
      <c r="H314">
        <v>0</v>
      </c>
      <c r="I314">
        <v>0.54400979999999999</v>
      </c>
      <c r="J314">
        <v>2005</v>
      </c>
      <c r="K314">
        <v>5</v>
      </c>
      <c r="L314">
        <v>13</v>
      </c>
      <c r="M314" t="s">
        <v>91</v>
      </c>
      <c r="N314">
        <v>0</v>
      </c>
      <c r="O314">
        <v>0</v>
      </c>
    </row>
    <row r="315" spans="1:15" x14ac:dyDescent="0.3">
      <c r="A315">
        <v>410</v>
      </c>
      <c r="B315" s="34">
        <v>38488</v>
      </c>
      <c r="C315">
        <v>1.2614000000000001</v>
      </c>
      <c r="D315">
        <v>0</v>
      </c>
      <c r="F315">
        <v>0.14779999999999599</v>
      </c>
      <c r="G315">
        <v>2.1192052980133398</v>
      </c>
      <c r="H315">
        <v>0</v>
      </c>
      <c r="I315">
        <v>0.54268289999999997</v>
      </c>
      <c r="J315">
        <v>2005</v>
      </c>
      <c r="K315">
        <v>5</v>
      </c>
      <c r="L315">
        <v>16</v>
      </c>
      <c r="M315" t="s">
        <v>92</v>
      </c>
      <c r="N315">
        <v>0</v>
      </c>
      <c r="O315">
        <v>0</v>
      </c>
    </row>
    <row r="316" spans="1:15" x14ac:dyDescent="0.3">
      <c r="A316">
        <v>411</v>
      </c>
      <c r="B316" s="34">
        <v>38489</v>
      </c>
      <c r="C316">
        <v>1.2634000000000001</v>
      </c>
      <c r="D316">
        <v>1</v>
      </c>
      <c r="E316" t="s">
        <v>158</v>
      </c>
      <c r="F316">
        <v>0.14559999999999601</v>
      </c>
      <c r="G316">
        <v>3.5761589403974701</v>
      </c>
      <c r="H316">
        <v>1</v>
      </c>
      <c r="I316">
        <v>0.54379560000000005</v>
      </c>
      <c r="J316">
        <v>2005</v>
      </c>
      <c r="K316">
        <v>5</v>
      </c>
      <c r="L316">
        <v>17</v>
      </c>
      <c r="M316" t="s">
        <v>93</v>
      </c>
      <c r="N316">
        <v>0</v>
      </c>
      <c r="O316">
        <v>0</v>
      </c>
    </row>
    <row r="317" spans="1:15" x14ac:dyDescent="0.3">
      <c r="A317">
        <v>412</v>
      </c>
      <c r="B317" s="34">
        <v>38490</v>
      </c>
      <c r="C317">
        <v>1.2612000000000001</v>
      </c>
      <c r="D317">
        <v>1</v>
      </c>
      <c r="E317" t="s">
        <v>159</v>
      </c>
      <c r="F317">
        <v>0.15229999999999599</v>
      </c>
      <c r="G317">
        <v>0</v>
      </c>
      <c r="H317">
        <v>1</v>
      </c>
      <c r="I317">
        <v>0.54490289999999997</v>
      </c>
      <c r="J317">
        <v>2005</v>
      </c>
      <c r="K317">
        <v>5</v>
      </c>
      <c r="L317">
        <v>18</v>
      </c>
      <c r="M317" t="s">
        <v>89</v>
      </c>
      <c r="N317">
        <v>0</v>
      </c>
      <c r="O317">
        <v>0</v>
      </c>
    </row>
    <row r="318" spans="1:15" x14ac:dyDescent="0.3">
      <c r="A318">
        <v>413</v>
      </c>
      <c r="B318" s="34">
        <v>38491</v>
      </c>
      <c r="C318">
        <v>1.2679</v>
      </c>
      <c r="D318">
        <v>-1</v>
      </c>
      <c r="F318">
        <v>0.15609999999999599</v>
      </c>
      <c r="G318">
        <v>0</v>
      </c>
      <c r="H318">
        <v>1</v>
      </c>
      <c r="I318">
        <v>0.54600479999999996</v>
      </c>
      <c r="J318">
        <v>2005</v>
      </c>
      <c r="K318">
        <v>5</v>
      </c>
      <c r="L318">
        <v>19</v>
      </c>
      <c r="M318" t="s">
        <v>90</v>
      </c>
      <c r="N318">
        <v>0</v>
      </c>
      <c r="O318">
        <v>0</v>
      </c>
    </row>
    <row r="319" spans="1:15" x14ac:dyDescent="0.3">
      <c r="A319">
        <v>414</v>
      </c>
      <c r="B319" s="34">
        <v>38492</v>
      </c>
      <c r="C319">
        <v>1.2641</v>
      </c>
      <c r="D319">
        <v>2</v>
      </c>
      <c r="E319" t="s">
        <v>160</v>
      </c>
      <c r="F319">
        <v>0.14709999999999601</v>
      </c>
      <c r="G319">
        <v>5.76553491351702</v>
      </c>
      <c r="H319">
        <v>1</v>
      </c>
      <c r="I319">
        <v>0.54710139999999996</v>
      </c>
      <c r="J319">
        <v>2005</v>
      </c>
      <c r="K319">
        <v>5</v>
      </c>
      <c r="L319">
        <v>20</v>
      </c>
      <c r="M319" t="s">
        <v>91</v>
      </c>
      <c r="N319">
        <v>0</v>
      </c>
      <c r="O319">
        <v>0</v>
      </c>
    </row>
    <row r="320" spans="1:15" x14ac:dyDescent="0.3">
      <c r="A320">
        <v>415</v>
      </c>
      <c r="B320" s="34">
        <v>38495</v>
      </c>
      <c r="C320">
        <v>1.2551000000000001</v>
      </c>
      <c r="D320">
        <v>9</v>
      </c>
      <c r="E320" t="s">
        <v>161</v>
      </c>
      <c r="F320">
        <v>0.148999999999996</v>
      </c>
      <c r="G320">
        <v>4.5483664317746602</v>
      </c>
      <c r="H320">
        <v>1</v>
      </c>
      <c r="I320">
        <v>0.54819280000000004</v>
      </c>
      <c r="J320">
        <v>2005</v>
      </c>
      <c r="K320">
        <v>5</v>
      </c>
      <c r="L320">
        <v>23</v>
      </c>
      <c r="M320" t="s">
        <v>92</v>
      </c>
      <c r="N320">
        <v>0</v>
      </c>
      <c r="O320">
        <v>0</v>
      </c>
    </row>
    <row r="321" spans="1:15" x14ac:dyDescent="0.3">
      <c r="A321">
        <v>416</v>
      </c>
      <c r="B321" s="34">
        <v>38496</v>
      </c>
      <c r="C321">
        <v>1.2569999999999999</v>
      </c>
      <c r="D321">
        <v>0</v>
      </c>
      <c r="F321">
        <v>0.148999999999996</v>
      </c>
      <c r="G321">
        <v>4.5483664317746602</v>
      </c>
      <c r="H321">
        <v>1</v>
      </c>
      <c r="I321">
        <v>0.54927890000000001</v>
      </c>
      <c r="J321">
        <v>2005</v>
      </c>
      <c r="K321">
        <v>5</v>
      </c>
      <c r="L321">
        <v>24</v>
      </c>
      <c r="M321" t="s">
        <v>93</v>
      </c>
      <c r="N321">
        <v>0</v>
      </c>
      <c r="O321">
        <v>0</v>
      </c>
    </row>
    <row r="322" spans="1:15" x14ac:dyDescent="0.3">
      <c r="A322">
        <v>417</v>
      </c>
      <c r="B322" s="34">
        <v>38497</v>
      </c>
      <c r="C322">
        <v>1.2582</v>
      </c>
      <c r="D322">
        <v>-2</v>
      </c>
      <c r="F322">
        <v>0.14689999999999601</v>
      </c>
      <c r="G322">
        <v>5.8936579115953096</v>
      </c>
      <c r="H322">
        <v>1</v>
      </c>
      <c r="I322">
        <v>0.55035970000000001</v>
      </c>
      <c r="J322">
        <v>2005</v>
      </c>
      <c r="K322">
        <v>5</v>
      </c>
      <c r="L322">
        <v>25</v>
      </c>
      <c r="M322" t="s">
        <v>89</v>
      </c>
      <c r="N322">
        <v>0</v>
      </c>
      <c r="O322">
        <v>0</v>
      </c>
    </row>
    <row r="323" spans="1:15" x14ac:dyDescent="0.3">
      <c r="A323">
        <v>418</v>
      </c>
      <c r="B323" s="34">
        <v>38498</v>
      </c>
      <c r="C323">
        <v>1.2603</v>
      </c>
      <c r="D323">
        <v>-9</v>
      </c>
      <c r="F323">
        <v>0.155999999999996</v>
      </c>
      <c r="G323">
        <v>6.4061499039214001E-2</v>
      </c>
      <c r="H323">
        <v>1</v>
      </c>
      <c r="I323">
        <v>0.55143540000000002</v>
      </c>
      <c r="J323">
        <v>2005</v>
      </c>
      <c r="K323">
        <v>5</v>
      </c>
      <c r="L323">
        <v>26</v>
      </c>
      <c r="M323" t="s">
        <v>90</v>
      </c>
      <c r="N323">
        <v>0</v>
      </c>
      <c r="O323">
        <v>0</v>
      </c>
    </row>
    <row r="324" spans="1:15" x14ac:dyDescent="0.3">
      <c r="A324">
        <v>419</v>
      </c>
      <c r="B324" s="34">
        <v>38499</v>
      </c>
      <c r="C324">
        <v>1.2512000000000001</v>
      </c>
      <c r="D324">
        <v>1</v>
      </c>
      <c r="E324" t="s">
        <v>162</v>
      </c>
      <c r="F324">
        <v>0.162799999999996</v>
      </c>
      <c r="G324">
        <v>0</v>
      </c>
      <c r="H324">
        <v>1</v>
      </c>
      <c r="I324">
        <v>0.55250600000000005</v>
      </c>
      <c r="J324">
        <v>2005</v>
      </c>
      <c r="K324">
        <v>5</v>
      </c>
      <c r="L324">
        <v>27</v>
      </c>
      <c r="M324" t="s">
        <v>91</v>
      </c>
      <c r="N324">
        <v>0</v>
      </c>
      <c r="O324">
        <v>0</v>
      </c>
    </row>
    <row r="325" spans="1:15" x14ac:dyDescent="0.3">
      <c r="A325">
        <v>420</v>
      </c>
      <c r="B325" s="34">
        <v>38502</v>
      </c>
      <c r="C325">
        <v>1.258</v>
      </c>
      <c r="D325">
        <v>0</v>
      </c>
      <c r="F325">
        <v>0.162799999999996</v>
      </c>
      <c r="G325">
        <v>0</v>
      </c>
      <c r="H325">
        <v>1</v>
      </c>
      <c r="I325">
        <v>0.55357140000000005</v>
      </c>
      <c r="J325">
        <v>2005</v>
      </c>
      <c r="K325">
        <v>5</v>
      </c>
      <c r="L325">
        <v>30</v>
      </c>
      <c r="M325" t="s">
        <v>92</v>
      </c>
      <c r="N325">
        <v>0</v>
      </c>
      <c r="O325">
        <v>0</v>
      </c>
    </row>
    <row r="326" spans="1:15" x14ac:dyDescent="0.3">
      <c r="A326">
        <v>421</v>
      </c>
      <c r="B326" s="34">
        <v>38503</v>
      </c>
      <c r="C326">
        <v>1.2474000000000001</v>
      </c>
      <c r="D326">
        <v>1</v>
      </c>
      <c r="E326" t="s">
        <v>163</v>
      </c>
      <c r="F326">
        <v>0.146199999999996</v>
      </c>
      <c r="G326">
        <v>10.196560196560499</v>
      </c>
      <c r="H326">
        <v>1</v>
      </c>
      <c r="I326">
        <v>0.55463180000000001</v>
      </c>
      <c r="J326">
        <v>2005</v>
      </c>
      <c r="K326">
        <v>5</v>
      </c>
      <c r="L326">
        <v>31</v>
      </c>
      <c r="M326" t="s">
        <v>93</v>
      </c>
      <c r="N326">
        <v>0</v>
      </c>
      <c r="O326">
        <v>0</v>
      </c>
    </row>
    <row r="327" spans="1:15" x14ac:dyDescent="0.3">
      <c r="A327">
        <v>422</v>
      </c>
      <c r="B327" s="34">
        <v>38504</v>
      </c>
      <c r="C327">
        <v>1.2307999999999999</v>
      </c>
      <c r="D327">
        <v>0</v>
      </c>
      <c r="F327">
        <v>0.146199999999996</v>
      </c>
      <c r="G327">
        <v>10.196560196560499</v>
      </c>
      <c r="H327">
        <v>0</v>
      </c>
      <c r="I327">
        <v>0.55331750000000002</v>
      </c>
      <c r="J327">
        <v>2005</v>
      </c>
      <c r="K327">
        <v>6</v>
      </c>
      <c r="L327">
        <v>1</v>
      </c>
      <c r="M327" t="s">
        <v>89</v>
      </c>
      <c r="N327">
        <v>0</v>
      </c>
      <c r="O327">
        <v>0</v>
      </c>
    </row>
    <row r="328" spans="1:15" x14ac:dyDescent="0.3">
      <c r="A328">
        <v>423</v>
      </c>
      <c r="B328" s="34">
        <v>38505</v>
      </c>
      <c r="C328">
        <v>1.2206999999999999</v>
      </c>
      <c r="D328">
        <v>0</v>
      </c>
      <c r="F328">
        <v>0.146199999999996</v>
      </c>
      <c r="G328">
        <v>10.196560196560499</v>
      </c>
      <c r="H328">
        <v>0</v>
      </c>
      <c r="I328">
        <v>0.55200950000000004</v>
      </c>
      <c r="J328">
        <v>2005</v>
      </c>
      <c r="K328">
        <v>6</v>
      </c>
      <c r="L328">
        <v>2</v>
      </c>
      <c r="M328" t="s">
        <v>90</v>
      </c>
      <c r="N328">
        <v>0</v>
      </c>
      <c r="O328">
        <v>0</v>
      </c>
    </row>
    <row r="329" spans="1:15" x14ac:dyDescent="0.3">
      <c r="A329">
        <v>424</v>
      </c>
      <c r="B329" s="34">
        <v>38506</v>
      </c>
      <c r="C329">
        <v>1.2277</v>
      </c>
      <c r="D329">
        <v>0</v>
      </c>
      <c r="F329">
        <v>0.146199999999996</v>
      </c>
      <c r="G329">
        <v>10.196560196560499</v>
      </c>
      <c r="H329">
        <v>1</v>
      </c>
      <c r="I329">
        <v>0.55306599999999995</v>
      </c>
      <c r="J329">
        <v>2005</v>
      </c>
      <c r="K329">
        <v>6</v>
      </c>
      <c r="L329">
        <v>3</v>
      </c>
      <c r="M329" t="s">
        <v>91</v>
      </c>
      <c r="N329">
        <v>0</v>
      </c>
      <c r="O329">
        <v>0</v>
      </c>
    </row>
    <row r="330" spans="1:15" x14ac:dyDescent="0.3">
      <c r="A330">
        <v>425</v>
      </c>
      <c r="B330" s="34">
        <v>38509</v>
      </c>
      <c r="C330">
        <v>1.2232000000000001</v>
      </c>
      <c r="D330">
        <v>3</v>
      </c>
      <c r="E330" t="s">
        <v>164</v>
      </c>
      <c r="F330">
        <v>0.148999999999996</v>
      </c>
      <c r="G330">
        <v>8.4766584766588107</v>
      </c>
      <c r="H330">
        <v>0</v>
      </c>
      <c r="I330">
        <v>0.5517647</v>
      </c>
      <c r="J330">
        <v>2005</v>
      </c>
      <c r="K330">
        <v>6</v>
      </c>
      <c r="L330">
        <v>6</v>
      </c>
      <c r="M330" t="s">
        <v>92</v>
      </c>
      <c r="N330">
        <v>0</v>
      </c>
      <c r="O330">
        <v>0</v>
      </c>
    </row>
    <row r="331" spans="1:15" x14ac:dyDescent="0.3">
      <c r="A331">
        <v>426</v>
      </c>
      <c r="B331" s="34">
        <v>38510</v>
      </c>
      <c r="C331">
        <v>1.226</v>
      </c>
      <c r="D331">
        <v>0</v>
      </c>
      <c r="F331">
        <v>0.148999999999996</v>
      </c>
      <c r="G331">
        <v>8.4766584766588107</v>
      </c>
      <c r="H331">
        <v>1</v>
      </c>
      <c r="I331">
        <v>0.55281690000000006</v>
      </c>
      <c r="J331">
        <v>2005</v>
      </c>
      <c r="K331">
        <v>6</v>
      </c>
      <c r="L331">
        <v>7</v>
      </c>
      <c r="M331" t="s">
        <v>93</v>
      </c>
      <c r="N331">
        <v>0</v>
      </c>
      <c r="O331">
        <v>0</v>
      </c>
    </row>
    <row r="332" spans="1:15" x14ac:dyDescent="0.3">
      <c r="A332">
        <v>427</v>
      </c>
      <c r="B332" s="34">
        <v>38511</v>
      </c>
      <c r="C332">
        <v>1.2285999999999999</v>
      </c>
      <c r="D332">
        <v>-10</v>
      </c>
      <c r="F332">
        <v>0.15409999999999599</v>
      </c>
      <c r="G332">
        <v>5.3439803439806797</v>
      </c>
      <c r="H332">
        <v>0</v>
      </c>
      <c r="I332">
        <v>0.55152230000000002</v>
      </c>
      <c r="J332">
        <v>2005</v>
      </c>
      <c r="K332">
        <v>6</v>
      </c>
      <c r="L332">
        <v>8</v>
      </c>
      <c r="M332" t="s">
        <v>89</v>
      </c>
      <c r="N332">
        <v>0</v>
      </c>
      <c r="O332">
        <v>0</v>
      </c>
    </row>
    <row r="333" spans="1:15" x14ac:dyDescent="0.3">
      <c r="A333">
        <v>428</v>
      </c>
      <c r="B333" s="34">
        <v>38512</v>
      </c>
      <c r="C333">
        <v>1.2235</v>
      </c>
      <c r="D333">
        <v>0</v>
      </c>
      <c r="F333">
        <v>0.15409999999999599</v>
      </c>
      <c r="G333">
        <v>5.3439803439806797</v>
      </c>
      <c r="H333">
        <v>1</v>
      </c>
      <c r="I333">
        <v>0.55257009999999995</v>
      </c>
      <c r="J333">
        <v>2005</v>
      </c>
      <c r="K333">
        <v>6</v>
      </c>
      <c r="L333">
        <v>9</v>
      </c>
      <c r="M333" t="s">
        <v>90</v>
      </c>
      <c r="N333">
        <v>0</v>
      </c>
      <c r="O333">
        <v>0</v>
      </c>
    </row>
    <row r="334" spans="1:15" x14ac:dyDescent="0.3">
      <c r="A334">
        <v>429</v>
      </c>
      <c r="B334" s="34">
        <v>38513</v>
      </c>
      <c r="C334">
        <v>1.2229000000000001</v>
      </c>
      <c r="D334">
        <v>0</v>
      </c>
      <c r="F334">
        <v>0.15409999999999599</v>
      </c>
      <c r="G334">
        <v>5.3439803439806797</v>
      </c>
      <c r="H334">
        <v>0</v>
      </c>
      <c r="I334">
        <v>0.55128200000000005</v>
      </c>
      <c r="J334">
        <v>2005</v>
      </c>
      <c r="K334">
        <v>6</v>
      </c>
      <c r="L334">
        <v>10</v>
      </c>
      <c r="M334" t="s">
        <v>91</v>
      </c>
      <c r="N334">
        <v>0</v>
      </c>
      <c r="O334">
        <v>0</v>
      </c>
    </row>
    <row r="335" spans="1:15" x14ac:dyDescent="0.3">
      <c r="A335">
        <v>430</v>
      </c>
      <c r="B335" s="34">
        <v>38516</v>
      </c>
      <c r="C335">
        <v>1.2121999999999999</v>
      </c>
      <c r="D335">
        <v>0</v>
      </c>
      <c r="F335">
        <v>0.15409999999999599</v>
      </c>
      <c r="G335">
        <v>5.3439803439806797</v>
      </c>
      <c r="H335">
        <v>0</v>
      </c>
      <c r="I335">
        <v>0.55000000000000004</v>
      </c>
      <c r="J335">
        <v>2005</v>
      </c>
      <c r="K335">
        <v>6</v>
      </c>
      <c r="L335">
        <v>13</v>
      </c>
      <c r="M335" t="s">
        <v>92</v>
      </c>
      <c r="N335">
        <v>0</v>
      </c>
      <c r="O335">
        <v>0</v>
      </c>
    </row>
    <row r="336" spans="1:15" x14ac:dyDescent="0.3">
      <c r="A336">
        <v>431</v>
      </c>
      <c r="B336" s="34">
        <v>38517</v>
      </c>
      <c r="C336">
        <v>1.2112000000000001</v>
      </c>
      <c r="D336">
        <v>0</v>
      </c>
      <c r="F336">
        <v>0.15409999999999599</v>
      </c>
      <c r="G336">
        <v>5.3439803439806797</v>
      </c>
      <c r="H336">
        <v>0</v>
      </c>
      <c r="I336">
        <v>0.54872390000000004</v>
      </c>
      <c r="J336">
        <v>2005</v>
      </c>
      <c r="K336">
        <v>6</v>
      </c>
      <c r="L336">
        <v>14</v>
      </c>
      <c r="M336" t="s">
        <v>93</v>
      </c>
      <c r="N336">
        <v>0</v>
      </c>
      <c r="O336">
        <v>0</v>
      </c>
    </row>
    <row r="337" spans="1:15" x14ac:dyDescent="0.3">
      <c r="A337">
        <v>432</v>
      </c>
      <c r="B337" s="34">
        <v>38518</v>
      </c>
      <c r="C337">
        <v>1.2033</v>
      </c>
      <c r="D337">
        <v>0</v>
      </c>
      <c r="F337">
        <v>0.15409999999999599</v>
      </c>
      <c r="G337">
        <v>5.3439803439806797</v>
      </c>
      <c r="H337">
        <v>0</v>
      </c>
      <c r="I337">
        <v>0.54745370000000004</v>
      </c>
      <c r="J337">
        <v>2005</v>
      </c>
      <c r="K337">
        <v>6</v>
      </c>
      <c r="L337">
        <v>15</v>
      </c>
      <c r="M337" t="s">
        <v>89</v>
      </c>
      <c r="N337">
        <v>0</v>
      </c>
      <c r="O337">
        <v>0</v>
      </c>
    </row>
    <row r="338" spans="1:15" x14ac:dyDescent="0.3">
      <c r="A338">
        <v>433</v>
      </c>
      <c r="B338" s="34">
        <v>38519</v>
      </c>
      <c r="C338">
        <v>1.2123999999999999</v>
      </c>
      <c r="D338">
        <v>0</v>
      </c>
      <c r="F338">
        <v>0.15409999999999599</v>
      </c>
      <c r="G338">
        <v>5.3439803439806797</v>
      </c>
      <c r="H338">
        <v>1</v>
      </c>
      <c r="I338">
        <v>0.54849890000000001</v>
      </c>
      <c r="J338">
        <v>2005</v>
      </c>
      <c r="K338">
        <v>6</v>
      </c>
      <c r="L338">
        <v>16</v>
      </c>
      <c r="M338" t="s">
        <v>90</v>
      </c>
      <c r="N338">
        <v>0</v>
      </c>
      <c r="O338">
        <v>0</v>
      </c>
    </row>
    <row r="339" spans="1:15" x14ac:dyDescent="0.3">
      <c r="A339">
        <v>434</v>
      </c>
      <c r="B339" s="34">
        <v>38520</v>
      </c>
      <c r="C339">
        <v>1.2104999999999999</v>
      </c>
      <c r="D339">
        <v>1</v>
      </c>
      <c r="E339" t="s">
        <v>165</v>
      </c>
      <c r="F339">
        <v>0.171899999999996</v>
      </c>
      <c r="G339">
        <v>0</v>
      </c>
      <c r="H339">
        <v>1</v>
      </c>
      <c r="I339">
        <v>0.54953909999999995</v>
      </c>
      <c r="J339">
        <v>2005</v>
      </c>
      <c r="K339">
        <v>6</v>
      </c>
      <c r="L339">
        <v>17</v>
      </c>
      <c r="M339" t="s">
        <v>91</v>
      </c>
      <c r="N339">
        <v>0</v>
      </c>
      <c r="O339">
        <v>0</v>
      </c>
    </row>
    <row r="340" spans="1:15" x14ac:dyDescent="0.3">
      <c r="A340">
        <v>435</v>
      </c>
      <c r="B340" s="34">
        <v>38523</v>
      </c>
      <c r="C340">
        <v>1.2282999999999999</v>
      </c>
      <c r="D340">
        <v>-4</v>
      </c>
      <c r="F340">
        <v>0.18469999999999601</v>
      </c>
      <c r="G340">
        <v>0</v>
      </c>
      <c r="H340">
        <v>0</v>
      </c>
      <c r="I340">
        <v>0.54827590000000004</v>
      </c>
      <c r="J340">
        <v>2005</v>
      </c>
      <c r="K340">
        <v>6</v>
      </c>
      <c r="L340">
        <v>20</v>
      </c>
      <c r="M340" t="s">
        <v>92</v>
      </c>
      <c r="N340">
        <v>0</v>
      </c>
      <c r="O340">
        <v>0</v>
      </c>
    </row>
    <row r="341" spans="1:15" x14ac:dyDescent="0.3">
      <c r="A341">
        <v>436</v>
      </c>
      <c r="B341" s="34">
        <v>38524</v>
      </c>
      <c r="C341">
        <v>1.2155</v>
      </c>
      <c r="D341">
        <v>0</v>
      </c>
      <c r="F341">
        <v>0.18469999999999601</v>
      </c>
      <c r="G341">
        <v>0</v>
      </c>
      <c r="H341">
        <v>1</v>
      </c>
      <c r="I341">
        <v>0.54931189999999996</v>
      </c>
      <c r="J341">
        <v>2005</v>
      </c>
      <c r="K341">
        <v>6</v>
      </c>
      <c r="L341">
        <v>21</v>
      </c>
      <c r="M341" t="s">
        <v>93</v>
      </c>
      <c r="N341">
        <v>0</v>
      </c>
      <c r="O341">
        <v>0</v>
      </c>
    </row>
    <row r="342" spans="1:15" x14ac:dyDescent="0.3">
      <c r="A342">
        <v>437</v>
      </c>
      <c r="B342" s="34">
        <v>38525</v>
      </c>
      <c r="C342">
        <v>1.2173</v>
      </c>
      <c r="D342">
        <v>-1</v>
      </c>
      <c r="F342">
        <v>0.18869999999999601</v>
      </c>
      <c r="G342">
        <v>0</v>
      </c>
      <c r="H342">
        <v>1</v>
      </c>
      <c r="I342">
        <v>0.55034329999999998</v>
      </c>
      <c r="J342">
        <v>2005</v>
      </c>
      <c r="K342">
        <v>6</v>
      </c>
      <c r="L342">
        <v>22</v>
      </c>
      <c r="M342" t="s">
        <v>89</v>
      </c>
      <c r="N342">
        <v>0</v>
      </c>
      <c r="O342">
        <v>0</v>
      </c>
    </row>
    <row r="343" spans="1:15" x14ac:dyDescent="0.3">
      <c r="A343">
        <v>438</v>
      </c>
      <c r="B343" s="34">
        <v>38526</v>
      </c>
      <c r="C343">
        <v>1.2133</v>
      </c>
      <c r="D343">
        <v>1</v>
      </c>
      <c r="E343" t="s">
        <v>166</v>
      </c>
      <c r="F343">
        <v>0.17879999999999599</v>
      </c>
      <c r="G343">
        <v>5.2464228934818298</v>
      </c>
      <c r="H343">
        <v>0</v>
      </c>
      <c r="I343">
        <v>0.54908670000000004</v>
      </c>
      <c r="J343">
        <v>2005</v>
      </c>
      <c r="K343">
        <v>6</v>
      </c>
      <c r="L343">
        <v>23</v>
      </c>
      <c r="M343" t="s">
        <v>90</v>
      </c>
      <c r="N343">
        <v>0</v>
      </c>
      <c r="O343">
        <v>0</v>
      </c>
    </row>
    <row r="344" spans="1:15" x14ac:dyDescent="0.3">
      <c r="A344">
        <v>439</v>
      </c>
      <c r="B344" s="34">
        <v>38527</v>
      </c>
      <c r="C344">
        <v>1.2034</v>
      </c>
      <c r="D344">
        <v>1</v>
      </c>
      <c r="E344" t="s">
        <v>167</v>
      </c>
      <c r="F344">
        <v>0.18489999999999601</v>
      </c>
      <c r="G344">
        <v>2.0137784843667701</v>
      </c>
      <c r="H344">
        <v>0</v>
      </c>
      <c r="I344">
        <v>0.54783599999999999</v>
      </c>
      <c r="J344">
        <v>2005</v>
      </c>
      <c r="K344">
        <v>6</v>
      </c>
      <c r="L344">
        <v>24</v>
      </c>
      <c r="M344" t="s">
        <v>91</v>
      </c>
      <c r="N344">
        <v>0</v>
      </c>
      <c r="O344">
        <v>0</v>
      </c>
    </row>
    <row r="345" spans="1:15" x14ac:dyDescent="0.3">
      <c r="A345">
        <v>440</v>
      </c>
      <c r="B345" s="34">
        <v>38530</v>
      </c>
      <c r="C345">
        <v>1.2095</v>
      </c>
      <c r="D345">
        <v>0</v>
      </c>
      <c r="F345">
        <v>0.18489999999999601</v>
      </c>
      <c r="G345">
        <v>2.0137784843667701</v>
      </c>
      <c r="H345">
        <v>1</v>
      </c>
      <c r="I345">
        <v>0.54886360000000001</v>
      </c>
      <c r="J345">
        <v>2005</v>
      </c>
      <c r="K345">
        <v>6</v>
      </c>
      <c r="L345">
        <v>27</v>
      </c>
      <c r="M345" t="s">
        <v>92</v>
      </c>
      <c r="N345">
        <v>0</v>
      </c>
      <c r="O345">
        <v>0</v>
      </c>
    </row>
    <row r="346" spans="1:15" x14ac:dyDescent="0.3">
      <c r="A346">
        <v>441</v>
      </c>
      <c r="B346" s="34">
        <v>38531</v>
      </c>
      <c r="C346">
        <v>1.2171000000000001</v>
      </c>
      <c r="D346">
        <v>-2</v>
      </c>
      <c r="F346">
        <v>0.195299999999996</v>
      </c>
      <c r="G346">
        <v>0</v>
      </c>
      <c r="H346">
        <v>1</v>
      </c>
      <c r="I346">
        <v>0.5498866</v>
      </c>
      <c r="J346">
        <v>2005</v>
      </c>
      <c r="K346">
        <v>6</v>
      </c>
      <c r="L346">
        <v>28</v>
      </c>
      <c r="M346" t="s">
        <v>93</v>
      </c>
      <c r="N346">
        <v>0</v>
      </c>
      <c r="O346">
        <v>0</v>
      </c>
    </row>
    <row r="347" spans="1:15" x14ac:dyDescent="0.3">
      <c r="A347">
        <v>442</v>
      </c>
      <c r="B347" s="34">
        <v>38532</v>
      </c>
      <c r="C347">
        <v>1.2067000000000001</v>
      </c>
      <c r="D347">
        <v>1</v>
      </c>
      <c r="E347" t="s">
        <v>168</v>
      </c>
      <c r="F347">
        <v>0.195599999999996</v>
      </c>
      <c r="G347">
        <v>0</v>
      </c>
      <c r="H347">
        <v>1</v>
      </c>
      <c r="I347">
        <v>0.55090499999999998</v>
      </c>
      <c r="J347">
        <v>2005</v>
      </c>
      <c r="K347">
        <v>6</v>
      </c>
      <c r="L347">
        <v>29</v>
      </c>
      <c r="M347" t="s">
        <v>89</v>
      </c>
      <c r="N347">
        <v>0</v>
      </c>
      <c r="O347">
        <v>0</v>
      </c>
    </row>
    <row r="348" spans="1:15" x14ac:dyDescent="0.3">
      <c r="A348">
        <v>443</v>
      </c>
      <c r="B348" s="34">
        <v>38533</v>
      </c>
      <c r="C348">
        <v>1.2070000000000001</v>
      </c>
      <c r="D348">
        <v>0</v>
      </c>
      <c r="F348">
        <v>0.195599999999996</v>
      </c>
      <c r="G348">
        <v>0</v>
      </c>
      <c r="H348">
        <v>1</v>
      </c>
      <c r="I348">
        <v>0.55191869999999998</v>
      </c>
      <c r="J348">
        <v>2005</v>
      </c>
      <c r="K348">
        <v>6</v>
      </c>
      <c r="L348">
        <v>30</v>
      </c>
      <c r="M348" t="s">
        <v>90</v>
      </c>
      <c r="N348">
        <v>0</v>
      </c>
      <c r="O348">
        <v>0</v>
      </c>
    </row>
    <row r="349" spans="1:15" x14ac:dyDescent="0.3">
      <c r="A349">
        <v>444</v>
      </c>
      <c r="B349" s="34">
        <v>38534</v>
      </c>
      <c r="C349">
        <v>1.2094</v>
      </c>
      <c r="D349">
        <v>0</v>
      </c>
      <c r="F349">
        <v>0.195599999999996</v>
      </c>
      <c r="G349">
        <v>0</v>
      </c>
      <c r="H349">
        <v>1</v>
      </c>
      <c r="I349">
        <v>0.55292790000000003</v>
      </c>
      <c r="J349">
        <v>2005</v>
      </c>
      <c r="K349">
        <v>7</v>
      </c>
      <c r="L349">
        <v>1</v>
      </c>
      <c r="M349" t="s">
        <v>91</v>
      </c>
      <c r="N349">
        <v>0</v>
      </c>
      <c r="O349">
        <v>0</v>
      </c>
    </row>
    <row r="350" spans="1:15" x14ac:dyDescent="0.3">
      <c r="A350">
        <v>445</v>
      </c>
      <c r="B350" s="34">
        <v>38537</v>
      </c>
      <c r="C350">
        <v>1.1937</v>
      </c>
      <c r="D350">
        <v>12</v>
      </c>
      <c r="E350" t="s">
        <v>169</v>
      </c>
      <c r="F350">
        <v>0.19189999999999499</v>
      </c>
      <c r="G350">
        <v>1.8916155419223399</v>
      </c>
      <c r="H350">
        <v>0</v>
      </c>
      <c r="I350">
        <v>0.55168539999999999</v>
      </c>
      <c r="J350">
        <v>2005</v>
      </c>
      <c r="K350">
        <v>7</v>
      </c>
      <c r="L350">
        <v>4</v>
      </c>
      <c r="M350" t="s">
        <v>92</v>
      </c>
      <c r="N350">
        <v>0</v>
      </c>
      <c r="O350">
        <v>0</v>
      </c>
    </row>
    <row r="351" spans="1:15" x14ac:dyDescent="0.3">
      <c r="A351">
        <v>446</v>
      </c>
      <c r="B351" s="34">
        <v>38538</v>
      </c>
      <c r="C351">
        <v>1.19</v>
      </c>
      <c r="D351">
        <v>0</v>
      </c>
      <c r="F351">
        <v>0.19189999999999499</v>
      </c>
      <c r="G351">
        <v>1.8916155419223399</v>
      </c>
      <c r="H351">
        <v>0</v>
      </c>
      <c r="I351">
        <v>0.55044839999999995</v>
      </c>
      <c r="J351">
        <v>2005</v>
      </c>
      <c r="K351">
        <v>7</v>
      </c>
      <c r="L351">
        <v>5</v>
      </c>
      <c r="M351" t="s">
        <v>93</v>
      </c>
      <c r="N351">
        <v>0</v>
      </c>
      <c r="O351">
        <v>0</v>
      </c>
    </row>
    <row r="352" spans="1:15" x14ac:dyDescent="0.3">
      <c r="A352">
        <v>447</v>
      </c>
      <c r="B352" s="34">
        <v>38539</v>
      </c>
      <c r="C352">
        <v>1.1918</v>
      </c>
      <c r="D352">
        <v>0</v>
      </c>
      <c r="F352">
        <v>0.19189999999999499</v>
      </c>
      <c r="G352">
        <v>1.8916155419223399</v>
      </c>
      <c r="H352">
        <v>1</v>
      </c>
      <c r="I352">
        <v>0.55145409999999995</v>
      </c>
      <c r="J352">
        <v>2005</v>
      </c>
      <c r="K352">
        <v>7</v>
      </c>
      <c r="L352">
        <v>6</v>
      </c>
      <c r="M352" t="s">
        <v>89</v>
      </c>
      <c r="N352">
        <v>0</v>
      </c>
      <c r="O352">
        <v>0</v>
      </c>
    </row>
    <row r="353" spans="1:15" x14ac:dyDescent="0.3">
      <c r="A353">
        <v>448</v>
      </c>
      <c r="B353" s="34">
        <v>38540</v>
      </c>
      <c r="C353">
        <v>1.1936</v>
      </c>
      <c r="D353">
        <v>-23</v>
      </c>
      <c r="F353">
        <v>0.190299999999995</v>
      </c>
      <c r="G353">
        <v>2.70961145194283</v>
      </c>
      <c r="H353">
        <v>0.5</v>
      </c>
      <c r="I353">
        <v>0.55133929999999998</v>
      </c>
      <c r="J353">
        <v>2005</v>
      </c>
      <c r="K353">
        <v>7</v>
      </c>
      <c r="L353">
        <v>7</v>
      </c>
      <c r="M353" t="s">
        <v>90</v>
      </c>
      <c r="N353">
        <v>0</v>
      </c>
      <c r="O353">
        <v>0</v>
      </c>
    </row>
    <row r="354" spans="1:15" x14ac:dyDescent="0.3">
      <c r="A354">
        <v>449</v>
      </c>
      <c r="B354" s="34">
        <v>38541</v>
      </c>
      <c r="C354">
        <v>1.1952</v>
      </c>
      <c r="D354">
        <v>-16</v>
      </c>
      <c r="F354">
        <v>0.187999999999995</v>
      </c>
      <c r="G354">
        <v>3.8854805725972401</v>
      </c>
      <c r="H354">
        <v>0</v>
      </c>
      <c r="I354">
        <v>0.55011140000000003</v>
      </c>
      <c r="J354">
        <v>2005</v>
      </c>
      <c r="K354">
        <v>7</v>
      </c>
      <c r="L354">
        <v>8</v>
      </c>
      <c r="M354" t="s">
        <v>91</v>
      </c>
      <c r="N354">
        <v>0</v>
      </c>
      <c r="O354">
        <v>0</v>
      </c>
    </row>
    <row r="355" spans="1:15" x14ac:dyDescent="0.3">
      <c r="A355">
        <v>450</v>
      </c>
      <c r="B355" s="34">
        <v>38544</v>
      </c>
      <c r="C355">
        <v>1.1975</v>
      </c>
      <c r="D355">
        <v>-2</v>
      </c>
      <c r="F355">
        <v>0.177999999999995</v>
      </c>
      <c r="G355">
        <v>8.9979550102251604</v>
      </c>
      <c r="H355">
        <v>0</v>
      </c>
      <c r="I355">
        <v>0.54888890000000001</v>
      </c>
      <c r="J355">
        <v>2005</v>
      </c>
      <c r="K355">
        <v>7</v>
      </c>
      <c r="L355">
        <v>11</v>
      </c>
      <c r="M355" t="s">
        <v>92</v>
      </c>
      <c r="N355">
        <v>0</v>
      </c>
      <c r="O355">
        <v>0</v>
      </c>
    </row>
    <row r="356" spans="1:15" x14ac:dyDescent="0.3">
      <c r="A356">
        <v>451</v>
      </c>
      <c r="B356" s="34">
        <v>38545</v>
      </c>
      <c r="C356">
        <v>1.2075</v>
      </c>
      <c r="D356">
        <v>-1</v>
      </c>
      <c r="F356">
        <v>0.16139999999999599</v>
      </c>
      <c r="G356">
        <v>17.484662576687398</v>
      </c>
      <c r="H356">
        <v>0</v>
      </c>
      <c r="I356">
        <v>0.54767189999999999</v>
      </c>
      <c r="J356">
        <v>2005</v>
      </c>
      <c r="K356">
        <v>7</v>
      </c>
      <c r="L356">
        <v>12</v>
      </c>
      <c r="M356" t="s">
        <v>93</v>
      </c>
      <c r="N356">
        <v>0</v>
      </c>
      <c r="O356">
        <v>0</v>
      </c>
    </row>
    <row r="357" spans="1:15" x14ac:dyDescent="0.3">
      <c r="A357">
        <v>452</v>
      </c>
      <c r="B357" s="34">
        <v>38546</v>
      </c>
      <c r="C357">
        <v>1.2241</v>
      </c>
      <c r="D357">
        <v>0</v>
      </c>
      <c r="F357">
        <v>0.16139999999999599</v>
      </c>
      <c r="G357">
        <v>17.484662576687398</v>
      </c>
      <c r="H357">
        <v>0</v>
      </c>
      <c r="I357">
        <v>0.54646019999999995</v>
      </c>
      <c r="J357">
        <v>2005</v>
      </c>
      <c r="K357">
        <v>7</v>
      </c>
      <c r="L357">
        <v>13</v>
      </c>
      <c r="M357" t="s">
        <v>89</v>
      </c>
      <c r="N357">
        <v>0</v>
      </c>
      <c r="O357">
        <v>0</v>
      </c>
    </row>
    <row r="358" spans="1:15" x14ac:dyDescent="0.3">
      <c r="A358">
        <v>453</v>
      </c>
      <c r="B358" s="34">
        <v>38547</v>
      </c>
      <c r="C358">
        <v>1.2082999999999999</v>
      </c>
      <c r="D358">
        <v>0</v>
      </c>
      <c r="F358">
        <v>0.16139999999999599</v>
      </c>
      <c r="G358">
        <v>17.484662576687398</v>
      </c>
      <c r="H358">
        <v>1</v>
      </c>
      <c r="I358">
        <v>0.54746139999999999</v>
      </c>
      <c r="J358">
        <v>2005</v>
      </c>
      <c r="K358">
        <v>7</v>
      </c>
      <c r="L358">
        <v>14</v>
      </c>
      <c r="M358" t="s">
        <v>90</v>
      </c>
      <c r="N358">
        <v>0</v>
      </c>
      <c r="O358">
        <v>0</v>
      </c>
    </row>
    <row r="359" spans="1:15" x14ac:dyDescent="0.3">
      <c r="A359">
        <v>454</v>
      </c>
      <c r="B359" s="34">
        <v>38548</v>
      </c>
      <c r="C359">
        <v>1.2082999999999999</v>
      </c>
      <c r="D359">
        <v>0</v>
      </c>
      <c r="F359">
        <v>0.16139999999999599</v>
      </c>
      <c r="G359">
        <v>17.484662576687398</v>
      </c>
      <c r="H359">
        <v>0.5</v>
      </c>
      <c r="I359">
        <v>0.54735679999999998</v>
      </c>
      <c r="J359">
        <v>2005</v>
      </c>
      <c r="K359">
        <v>7</v>
      </c>
      <c r="L359">
        <v>15</v>
      </c>
      <c r="M359" t="s">
        <v>91</v>
      </c>
      <c r="N359">
        <v>0</v>
      </c>
      <c r="O359">
        <v>0</v>
      </c>
    </row>
    <row r="360" spans="1:15" x14ac:dyDescent="0.3">
      <c r="A360">
        <v>455</v>
      </c>
      <c r="B360" s="34">
        <v>38551</v>
      </c>
      <c r="C360">
        <v>1.2042999999999999</v>
      </c>
      <c r="D360">
        <v>41</v>
      </c>
      <c r="E360" t="s">
        <v>170</v>
      </c>
      <c r="F360">
        <v>0.16219999999999599</v>
      </c>
      <c r="G360">
        <v>17.075664621677099</v>
      </c>
      <c r="H360">
        <v>0.5</v>
      </c>
      <c r="I360">
        <v>0.54725279999999998</v>
      </c>
      <c r="J360">
        <v>2005</v>
      </c>
      <c r="K360">
        <v>7</v>
      </c>
      <c r="L360">
        <v>18</v>
      </c>
      <c r="M360" t="s">
        <v>92</v>
      </c>
      <c r="N360">
        <v>0</v>
      </c>
      <c r="O360">
        <v>0</v>
      </c>
    </row>
    <row r="361" spans="1:15" x14ac:dyDescent="0.3">
      <c r="A361">
        <v>456</v>
      </c>
      <c r="B361" s="34">
        <v>38552</v>
      </c>
      <c r="C361">
        <v>1.2051000000000001</v>
      </c>
      <c r="D361">
        <v>-2</v>
      </c>
      <c r="F361">
        <v>0.164099999999996</v>
      </c>
      <c r="G361">
        <v>16.104294478527802</v>
      </c>
      <c r="H361">
        <v>1</v>
      </c>
      <c r="I361">
        <v>0.5482456</v>
      </c>
      <c r="J361">
        <v>2005</v>
      </c>
      <c r="K361">
        <v>7</v>
      </c>
      <c r="L361">
        <v>19</v>
      </c>
      <c r="M361" t="s">
        <v>93</v>
      </c>
      <c r="N361">
        <v>0</v>
      </c>
      <c r="O361">
        <v>0</v>
      </c>
    </row>
    <row r="362" spans="1:15" x14ac:dyDescent="0.3">
      <c r="A362">
        <v>457</v>
      </c>
      <c r="B362" s="34">
        <v>38553</v>
      </c>
      <c r="C362">
        <v>1.2032</v>
      </c>
      <c r="D362">
        <v>2</v>
      </c>
      <c r="E362" t="s">
        <v>171</v>
      </c>
      <c r="F362">
        <v>0.175899999999996</v>
      </c>
      <c r="G362">
        <v>10.071574642126899</v>
      </c>
      <c r="H362">
        <v>0</v>
      </c>
      <c r="I362">
        <v>0.54704589999999997</v>
      </c>
      <c r="J362">
        <v>2005</v>
      </c>
      <c r="K362">
        <v>7</v>
      </c>
      <c r="L362">
        <v>20</v>
      </c>
      <c r="M362" t="s">
        <v>89</v>
      </c>
      <c r="N362">
        <v>0</v>
      </c>
      <c r="O362">
        <v>0</v>
      </c>
    </row>
    <row r="363" spans="1:15" x14ac:dyDescent="0.3">
      <c r="A363">
        <v>458</v>
      </c>
      <c r="B363" s="34">
        <v>38554</v>
      </c>
      <c r="C363">
        <v>1.2150000000000001</v>
      </c>
      <c r="D363">
        <v>0</v>
      </c>
      <c r="F363">
        <v>0.175899999999996</v>
      </c>
      <c r="G363">
        <v>10.071574642126899</v>
      </c>
      <c r="H363">
        <v>1</v>
      </c>
      <c r="I363">
        <v>0.54803489999999999</v>
      </c>
      <c r="J363">
        <v>2005</v>
      </c>
      <c r="K363">
        <v>7</v>
      </c>
      <c r="L363">
        <v>21</v>
      </c>
      <c r="M363" t="s">
        <v>90</v>
      </c>
      <c r="N363">
        <v>0</v>
      </c>
      <c r="O363">
        <v>0</v>
      </c>
    </row>
    <row r="364" spans="1:15" x14ac:dyDescent="0.3">
      <c r="A364">
        <v>459</v>
      </c>
      <c r="B364" s="34">
        <v>38555</v>
      </c>
      <c r="C364">
        <v>1.2162999999999999</v>
      </c>
      <c r="D364">
        <v>0</v>
      </c>
      <c r="F364">
        <v>0.175899999999996</v>
      </c>
      <c r="G364">
        <v>10.071574642126899</v>
      </c>
      <c r="H364">
        <v>0</v>
      </c>
      <c r="I364">
        <v>0.54684100000000002</v>
      </c>
      <c r="J364">
        <v>2005</v>
      </c>
      <c r="K364">
        <v>7</v>
      </c>
      <c r="L364">
        <v>22</v>
      </c>
      <c r="M364" t="s">
        <v>91</v>
      </c>
      <c r="N364">
        <v>0</v>
      </c>
      <c r="O364">
        <v>0</v>
      </c>
    </row>
    <row r="365" spans="1:15" x14ac:dyDescent="0.3">
      <c r="A365">
        <v>460</v>
      </c>
      <c r="B365" s="34">
        <v>38558</v>
      </c>
      <c r="C365">
        <v>1.2058</v>
      </c>
      <c r="D365">
        <v>0</v>
      </c>
      <c r="F365">
        <v>0.175899999999996</v>
      </c>
      <c r="G365">
        <v>10.071574642126899</v>
      </c>
      <c r="H365">
        <v>1</v>
      </c>
      <c r="I365">
        <v>0.54782609999999998</v>
      </c>
      <c r="J365">
        <v>2005</v>
      </c>
      <c r="K365">
        <v>7</v>
      </c>
      <c r="L365">
        <v>25</v>
      </c>
      <c r="M365" t="s">
        <v>92</v>
      </c>
      <c r="N365">
        <v>0</v>
      </c>
      <c r="O365">
        <v>0</v>
      </c>
    </row>
    <row r="366" spans="1:15" x14ac:dyDescent="0.3">
      <c r="A366">
        <v>461</v>
      </c>
      <c r="B366" s="34">
        <v>38559</v>
      </c>
      <c r="C366">
        <v>1.2069000000000001</v>
      </c>
      <c r="D366">
        <v>-3</v>
      </c>
      <c r="F366">
        <v>0.18039999999999601</v>
      </c>
      <c r="G366">
        <v>7.7709611451942502</v>
      </c>
      <c r="H366">
        <v>1</v>
      </c>
      <c r="I366">
        <v>0.54880700000000004</v>
      </c>
      <c r="J366">
        <v>2005</v>
      </c>
      <c r="K366">
        <v>7</v>
      </c>
      <c r="L366">
        <v>26</v>
      </c>
      <c r="M366" t="s">
        <v>93</v>
      </c>
      <c r="N366">
        <v>0</v>
      </c>
      <c r="O366">
        <v>0</v>
      </c>
    </row>
    <row r="367" spans="1:15" x14ac:dyDescent="0.3">
      <c r="A367">
        <v>462</v>
      </c>
      <c r="B367" s="34">
        <v>38560</v>
      </c>
      <c r="C367">
        <v>1.2023999999999999</v>
      </c>
      <c r="D367">
        <v>5</v>
      </c>
      <c r="E367" t="s">
        <v>172</v>
      </c>
      <c r="F367">
        <v>0.18419999999999601</v>
      </c>
      <c r="G367">
        <v>5.8282208588956301</v>
      </c>
      <c r="H367">
        <v>0</v>
      </c>
      <c r="I367">
        <v>0.54761899999999997</v>
      </c>
      <c r="J367">
        <v>2005</v>
      </c>
      <c r="K367">
        <v>7</v>
      </c>
      <c r="L367">
        <v>27</v>
      </c>
      <c r="M367" t="s">
        <v>89</v>
      </c>
      <c r="N367">
        <v>0</v>
      </c>
      <c r="O367">
        <v>0</v>
      </c>
    </row>
    <row r="368" spans="1:15" x14ac:dyDescent="0.3">
      <c r="A368">
        <v>463</v>
      </c>
      <c r="B368" s="34">
        <v>38561</v>
      </c>
      <c r="C368">
        <v>1.2061999999999999</v>
      </c>
      <c r="D368">
        <v>0</v>
      </c>
      <c r="F368">
        <v>0.18419999999999601</v>
      </c>
      <c r="G368">
        <v>5.8282208588956301</v>
      </c>
      <c r="H368">
        <v>1</v>
      </c>
      <c r="I368">
        <v>0.54859610000000003</v>
      </c>
      <c r="J368">
        <v>2005</v>
      </c>
      <c r="K368">
        <v>7</v>
      </c>
      <c r="L368">
        <v>28</v>
      </c>
      <c r="M368" t="s">
        <v>90</v>
      </c>
      <c r="N368">
        <v>0</v>
      </c>
      <c r="O368">
        <v>0</v>
      </c>
    </row>
    <row r="369" spans="1:15" x14ac:dyDescent="0.3">
      <c r="A369">
        <v>464</v>
      </c>
      <c r="B369" s="34">
        <v>38562</v>
      </c>
      <c r="C369">
        <v>1.2126999999999999</v>
      </c>
      <c r="D369">
        <v>-7</v>
      </c>
      <c r="F369">
        <v>0.18459999999999599</v>
      </c>
      <c r="G369">
        <v>5.6237218813905399</v>
      </c>
      <c r="H369">
        <v>0</v>
      </c>
      <c r="I369">
        <v>0.54741379999999995</v>
      </c>
      <c r="J369">
        <v>2005</v>
      </c>
      <c r="K369">
        <v>7</v>
      </c>
      <c r="L369">
        <v>29</v>
      </c>
      <c r="M369" t="s">
        <v>91</v>
      </c>
      <c r="N369">
        <v>0</v>
      </c>
      <c r="O369">
        <v>0</v>
      </c>
    </row>
    <row r="370" spans="1:15" x14ac:dyDescent="0.3">
      <c r="A370">
        <v>465</v>
      </c>
      <c r="B370" s="34">
        <v>38565</v>
      </c>
      <c r="C370">
        <v>1.2122999999999999</v>
      </c>
      <c r="D370">
        <v>0</v>
      </c>
      <c r="F370">
        <v>0.18459999999999599</v>
      </c>
      <c r="G370">
        <v>5.6237218813905399</v>
      </c>
      <c r="H370">
        <v>1</v>
      </c>
      <c r="I370">
        <v>0.54838710000000002</v>
      </c>
      <c r="J370">
        <v>2005</v>
      </c>
      <c r="K370">
        <v>8</v>
      </c>
      <c r="L370">
        <v>1</v>
      </c>
      <c r="M370" t="s">
        <v>92</v>
      </c>
      <c r="N370">
        <v>0</v>
      </c>
      <c r="O370">
        <v>0</v>
      </c>
    </row>
    <row r="371" spans="1:15" x14ac:dyDescent="0.3">
      <c r="A371">
        <v>466</v>
      </c>
      <c r="B371" s="34">
        <v>38566</v>
      </c>
      <c r="C371">
        <v>1.2176</v>
      </c>
      <c r="D371">
        <v>-1</v>
      </c>
      <c r="F371">
        <v>0.18259999999999599</v>
      </c>
      <c r="G371">
        <v>6.64621676891612</v>
      </c>
      <c r="H371">
        <v>0</v>
      </c>
      <c r="I371">
        <v>0.54721030000000004</v>
      </c>
      <c r="J371">
        <v>2005</v>
      </c>
      <c r="K371">
        <v>8</v>
      </c>
      <c r="L371">
        <v>2</v>
      </c>
      <c r="M371" t="s">
        <v>93</v>
      </c>
      <c r="N371">
        <v>0</v>
      </c>
      <c r="O371">
        <v>0</v>
      </c>
    </row>
    <row r="372" spans="1:15" x14ac:dyDescent="0.3">
      <c r="A372">
        <v>467</v>
      </c>
      <c r="B372" s="34">
        <v>38567</v>
      </c>
      <c r="C372">
        <v>1.2196</v>
      </c>
      <c r="D372">
        <v>0</v>
      </c>
      <c r="F372">
        <v>0.18259999999999599</v>
      </c>
      <c r="G372">
        <v>6.64621676891612</v>
      </c>
      <c r="H372">
        <v>0</v>
      </c>
      <c r="I372">
        <v>0.54603860000000004</v>
      </c>
      <c r="J372">
        <v>2005</v>
      </c>
      <c r="K372">
        <v>8</v>
      </c>
      <c r="L372">
        <v>3</v>
      </c>
      <c r="M372" t="s">
        <v>89</v>
      </c>
      <c r="N372">
        <v>0</v>
      </c>
      <c r="O372">
        <v>0</v>
      </c>
    </row>
    <row r="373" spans="1:15" x14ac:dyDescent="0.3">
      <c r="A373">
        <v>468</v>
      </c>
      <c r="B373" s="34">
        <v>38568</v>
      </c>
      <c r="C373">
        <v>1.2332000000000001</v>
      </c>
      <c r="D373">
        <v>-1</v>
      </c>
      <c r="F373">
        <v>0.177199999999996</v>
      </c>
      <c r="G373">
        <v>9.4069529652351207</v>
      </c>
      <c r="H373">
        <v>0</v>
      </c>
      <c r="I373">
        <v>0.54487180000000002</v>
      </c>
      <c r="J373">
        <v>2005</v>
      </c>
      <c r="K373">
        <v>8</v>
      </c>
      <c r="L373">
        <v>4</v>
      </c>
      <c r="M373" t="s">
        <v>90</v>
      </c>
      <c r="N373">
        <v>0</v>
      </c>
      <c r="O373">
        <v>0</v>
      </c>
    </row>
    <row r="374" spans="1:15" x14ac:dyDescent="0.3">
      <c r="A374">
        <v>469</v>
      </c>
      <c r="B374" s="34">
        <v>38569</v>
      </c>
      <c r="C374">
        <v>1.2385999999999999</v>
      </c>
      <c r="D374">
        <v>0</v>
      </c>
      <c r="F374">
        <v>0.177199999999996</v>
      </c>
      <c r="G374">
        <v>9.4069529652351207</v>
      </c>
      <c r="H374">
        <v>0</v>
      </c>
      <c r="I374">
        <v>0.54371000000000003</v>
      </c>
      <c r="J374">
        <v>2005</v>
      </c>
      <c r="K374">
        <v>8</v>
      </c>
      <c r="L374">
        <v>5</v>
      </c>
      <c r="M374" t="s">
        <v>91</v>
      </c>
      <c r="N374">
        <v>0</v>
      </c>
      <c r="O374">
        <v>0</v>
      </c>
    </row>
    <row r="375" spans="1:15" x14ac:dyDescent="0.3">
      <c r="A375">
        <v>470</v>
      </c>
      <c r="B375" s="34">
        <v>38572</v>
      </c>
      <c r="C375">
        <v>1.2376</v>
      </c>
      <c r="D375">
        <v>0</v>
      </c>
      <c r="F375">
        <v>0.177199999999996</v>
      </c>
      <c r="G375">
        <v>9.4069529652351207</v>
      </c>
      <c r="H375">
        <v>1</v>
      </c>
      <c r="I375">
        <v>0.54468079999999996</v>
      </c>
      <c r="J375">
        <v>2005</v>
      </c>
      <c r="K375">
        <v>8</v>
      </c>
      <c r="L375">
        <v>8</v>
      </c>
      <c r="M375" t="s">
        <v>92</v>
      </c>
      <c r="N375">
        <v>0</v>
      </c>
      <c r="O375">
        <v>0</v>
      </c>
    </row>
    <row r="376" spans="1:15" x14ac:dyDescent="0.3">
      <c r="A376">
        <v>471</v>
      </c>
      <c r="B376" s="34">
        <v>38573</v>
      </c>
      <c r="C376">
        <v>1.2346999999999999</v>
      </c>
      <c r="D376">
        <v>7</v>
      </c>
      <c r="E376" t="s">
        <v>173</v>
      </c>
      <c r="F376">
        <v>0.18039999999999601</v>
      </c>
      <c r="G376">
        <v>7.7709611451941401</v>
      </c>
      <c r="H376">
        <v>0.5</v>
      </c>
      <c r="I376">
        <v>0.54458600000000001</v>
      </c>
      <c r="J376">
        <v>2005</v>
      </c>
      <c r="K376">
        <v>8</v>
      </c>
      <c r="L376">
        <v>9</v>
      </c>
      <c r="M376" t="s">
        <v>93</v>
      </c>
      <c r="N376">
        <v>0</v>
      </c>
      <c r="O376">
        <v>0</v>
      </c>
    </row>
    <row r="377" spans="1:15" x14ac:dyDescent="0.3">
      <c r="A377">
        <v>472</v>
      </c>
      <c r="B377" s="34">
        <v>38574</v>
      </c>
      <c r="C377">
        <v>1.2379</v>
      </c>
      <c r="D377">
        <v>-2</v>
      </c>
      <c r="F377">
        <v>0.179499999999996</v>
      </c>
      <c r="G377">
        <v>8.2310838445805992</v>
      </c>
      <c r="H377">
        <v>1</v>
      </c>
      <c r="I377">
        <v>0.5455508</v>
      </c>
      <c r="J377">
        <v>2005</v>
      </c>
      <c r="K377">
        <v>8</v>
      </c>
      <c r="L377">
        <v>10</v>
      </c>
      <c r="M377" t="s">
        <v>89</v>
      </c>
      <c r="N377">
        <v>0</v>
      </c>
      <c r="O377">
        <v>0</v>
      </c>
    </row>
    <row r="378" spans="1:15" x14ac:dyDescent="0.3">
      <c r="A378">
        <v>473</v>
      </c>
      <c r="B378" s="34">
        <v>38575</v>
      </c>
      <c r="C378">
        <v>1.2387999999999999</v>
      </c>
      <c r="D378">
        <v>0</v>
      </c>
      <c r="F378">
        <v>0.179499999999996</v>
      </c>
      <c r="G378">
        <v>8.2310838445805992</v>
      </c>
      <c r="H378">
        <v>0</v>
      </c>
      <c r="I378">
        <v>0.54439749999999998</v>
      </c>
      <c r="J378">
        <v>2005</v>
      </c>
      <c r="K378">
        <v>8</v>
      </c>
      <c r="L378">
        <v>11</v>
      </c>
      <c r="M378" t="s">
        <v>90</v>
      </c>
      <c r="N378">
        <v>0</v>
      </c>
      <c r="O378">
        <v>0</v>
      </c>
    </row>
    <row r="379" spans="1:15" x14ac:dyDescent="0.3">
      <c r="A379">
        <v>474</v>
      </c>
      <c r="B379" s="34">
        <v>38576</v>
      </c>
      <c r="C379">
        <v>1.2467999999999999</v>
      </c>
      <c r="D379">
        <v>-1</v>
      </c>
      <c r="F379">
        <v>0.182499999999996</v>
      </c>
      <c r="G379">
        <v>6.6973415132922796</v>
      </c>
      <c r="H379">
        <v>0</v>
      </c>
      <c r="I379">
        <v>0.54324899999999998</v>
      </c>
      <c r="J379">
        <v>2005</v>
      </c>
      <c r="K379">
        <v>8</v>
      </c>
      <c r="L379">
        <v>12</v>
      </c>
      <c r="M379" t="s">
        <v>91</v>
      </c>
      <c r="N379">
        <v>0</v>
      </c>
      <c r="O379">
        <v>0</v>
      </c>
    </row>
    <row r="380" spans="1:15" x14ac:dyDescent="0.3">
      <c r="A380">
        <v>475</v>
      </c>
      <c r="B380" s="34">
        <v>38579</v>
      </c>
      <c r="C380">
        <v>1.2438</v>
      </c>
      <c r="D380">
        <v>0</v>
      </c>
      <c r="F380">
        <v>0.182499999999996</v>
      </c>
      <c r="G380">
        <v>6.6973415132922796</v>
      </c>
      <c r="H380">
        <v>1</v>
      </c>
      <c r="I380">
        <v>0.54421059999999999</v>
      </c>
      <c r="J380">
        <v>2005</v>
      </c>
      <c r="K380">
        <v>8</v>
      </c>
      <c r="L380">
        <v>15</v>
      </c>
      <c r="M380" t="s">
        <v>92</v>
      </c>
      <c r="N380">
        <v>0</v>
      </c>
      <c r="O380">
        <v>0</v>
      </c>
    </row>
    <row r="381" spans="1:15" x14ac:dyDescent="0.3">
      <c r="A381">
        <v>476</v>
      </c>
      <c r="B381" s="34">
        <v>38580</v>
      </c>
      <c r="C381">
        <v>1.2367999999999999</v>
      </c>
      <c r="D381">
        <v>5</v>
      </c>
      <c r="E381" t="s">
        <v>174</v>
      </c>
      <c r="F381">
        <v>0.18159999999999599</v>
      </c>
      <c r="G381">
        <v>7.1574642126787396</v>
      </c>
      <c r="H381">
        <v>1</v>
      </c>
      <c r="I381">
        <v>0.54516799999999999</v>
      </c>
      <c r="J381">
        <v>2005</v>
      </c>
      <c r="K381">
        <v>8</v>
      </c>
      <c r="L381">
        <v>16</v>
      </c>
      <c r="M381" t="s">
        <v>93</v>
      </c>
      <c r="N381">
        <v>0</v>
      </c>
      <c r="O381">
        <v>0</v>
      </c>
    </row>
    <row r="382" spans="1:15" x14ac:dyDescent="0.3">
      <c r="A382">
        <v>477</v>
      </c>
      <c r="B382" s="34">
        <v>38581</v>
      </c>
      <c r="C382">
        <v>1.2359</v>
      </c>
      <c r="D382">
        <v>0</v>
      </c>
      <c r="F382">
        <v>0.18159999999999599</v>
      </c>
      <c r="G382">
        <v>7.1574642126787396</v>
      </c>
      <c r="H382">
        <v>0</v>
      </c>
      <c r="I382">
        <v>0.54402519999999999</v>
      </c>
      <c r="J382">
        <v>2005</v>
      </c>
      <c r="K382">
        <v>8</v>
      </c>
      <c r="L382">
        <v>17</v>
      </c>
      <c r="M382" t="s">
        <v>89</v>
      </c>
      <c r="N382">
        <v>0</v>
      </c>
      <c r="O382">
        <v>0</v>
      </c>
    </row>
    <row r="383" spans="1:15" x14ac:dyDescent="0.3">
      <c r="A383">
        <v>478</v>
      </c>
      <c r="B383" s="34">
        <v>38582</v>
      </c>
      <c r="C383">
        <v>1.2277</v>
      </c>
      <c r="D383">
        <v>0</v>
      </c>
      <c r="F383">
        <v>0.18159999999999599</v>
      </c>
      <c r="G383">
        <v>7.1574642126787396</v>
      </c>
      <c r="H383">
        <v>0</v>
      </c>
      <c r="I383">
        <v>0.54288700000000001</v>
      </c>
      <c r="J383">
        <v>2005</v>
      </c>
      <c r="K383">
        <v>8</v>
      </c>
      <c r="L383">
        <v>18</v>
      </c>
      <c r="M383" t="s">
        <v>90</v>
      </c>
      <c r="N383">
        <v>0</v>
      </c>
      <c r="O383">
        <v>0</v>
      </c>
    </row>
    <row r="384" spans="1:15" x14ac:dyDescent="0.3">
      <c r="A384">
        <v>479</v>
      </c>
      <c r="B384" s="34">
        <v>38583</v>
      </c>
      <c r="C384">
        <v>1.2175</v>
      </c>
      <c r="D384">
        <v>0</v>
      </c>
      <c r="F384">
        <v>0.18159999999999599</v>
      </c>
      <c r="G384">
        <v>7.1574642126787396</v>
      </c>
      <c r="H384">
        <v>0</v>
      </c>
      <c r="I384">
        <v>0.54175359999999995</v>
      </c>
      <c r="J384">
        <v>2005</v>
      </c>
      <c r="K384">
        <v>8</v>
      </c>
      <c r="L384">
        <v>19</v>
      </c>
      <c r="M384" t="s">
        <v>91</v>
      </c>
      <c r="N384">
        <v>0</v>
      </c>
      <c r="O384">
        <v>0</v>
      </c>
    </row>
    <row r="385" spans="1:15" x14ac:dyDescent="0.3">
      <c r="A385">
        <v>480</v>
      </c>
      <c r="B385" s="34">
        <v>38586</v>
      </c>
      <c r="C385">
        <v>1.2153</v>
      </c>
      <c r="D385">
        <v>0</v>
      </c>
      <c r="F385">
        <v>0.18159999999999599</v>
      </c>
      <c r="G385">
        <v>7.1574642126787396</v>
      </c>
      <c r="H385">
        <v>0</v>
      </c>
      <c r="I385">
        <v>0.54062500000000002</v>
      </c>
      <c r="J385">
        <v>2005</v>
      </c>
      <c r="K385">
        <v>8</v>
      </c>
      <c r="L385">
        <v>22</v>
      </c>
      <c r="M385" t="s">
        <v>92</v>
      </c>
      <c r="N385">
        <v>0</v>
      </c>
      <c r="O385">
        <v>0</v>
      </c>
    </row>
    <row r="386" spans="1:15" x14ac:dyDescent="0.3">
      <c r="A386">
        <v>481</v>
      </c>
      <c r="B386" s="34">
        <v>38587</v>
      </c>
      <c r="C386">
        <v>1.2224999999999999</v>
      </c>
      <c r="D386">
        <v>-1</v>
      </c>
      <c r="F386">
        <v>0.181199999999996</v>
      </c>
      <c r="G386">
        <v>7.3619631901839497</v>
      </c>
      <c r="H386">
        <v>1</v>
      </c>
      <c r="I386">
        <v>0.54157999999999995</v>
      </c>
      <c r="J386">
        <v>2005</v>
      </c>
      <c r="K386">
        <v>8</v>
      </c>
      <c r="L386">
        <v>23</v>
      </c>
      <c r="M386" t="s">
        <v>93</v>
      </c>
      <c r="N386">
        <v>0</v>
      </c>
      <c r="O386">
        <v>0</v>
      </c>
    </row>
    <row r="387" spans="1:15" x14ac:dyDescent="0.3">
      <c r="A387">
        <v>482</v>
      </c>
      <c r="B387" s="34">
        <v>38588</v>
      </c>
      <c r="C387">
        <v>1.2229000000000001</v>
      </c>
      <c r="D387">
        <v>-4</v>
      </c>
      <c r="F387">
        <v>0.17699999999999599</v>
      </c>
      <c r="G387">
        <v>9.5092024539876707</v>
      </c>
      <c r="H387">
        <v>0</v>
      </c>
      <c r="I387">
        <v>0.54045639999999995</v>
      </c>
      <c r="J387">
        <v>2005</v>
      </c>
      <c r="K387">
        <v>8</v>
      </c>
      <c r="L387">
        <v>24</v>
      </c>
      <c r="M387" t="s">
        <v>89</v>
      </c>
      <c r="N387">
        <v>0</v>
      </c>
      <c r="O387">
        <v>0</v>
      </c>
    </row>
    <row r="388" spans="1:15" x14ac:dyDescent="0.3">
      <c r="A388">
        <v>483</v>
      </c>
      <c r="B388" s="34">
        <v>38589</v>
      </c>
      <c r="C388">
        <v>1.2271000000000001</v>
      </c>
      <c r="D388">
        <v>-4</v>
      </c>
      <c r="F388">
        <v>0.17409999999999601</v>
      </c>
      <c r="G388">
        <v>10.9918200408997</v>
      </c>
      <c r="H388">
        <v>0</v>
      </c>
      <c r="I388">
        <v>0.53933750000000003</v>
      </c>
      <c r="J388">
        <v>2005</v>
      </c>
      <c r="K388">
        <v>8</v>
      </c>
      <c r="L388">
        <v>25</v>
      </c>
      <c r="M388" t="s">
        <v>90</v>
      </c>
      <c r="N388">
        <v>0</v>
      </c>
      <c r="O388">
        <v>0</v>
      </c>
    </row>
    <row r="389" spans="1:15" x14ac:dyDescent="0.3">
      <c r="A389">
        <v>484</v>
      </c>
      <c r="B389" s="34">
        <v>38590</v>
      </c>
      <c r="C389">
        <v>1.23</v>
      </c>
      <c r="D389">
        <v>0</v>
      </c>
      <c r="F389">
        <v>0.17409999999999601</v>
      </c>
      <c r="G389">
        <v>10.9918200408997</v>
      </c>
      <c r="H389">
        <v>0</v>
      </c>
      <c r="I389">
        <v>0.53822309999999995</v>
      </c>
      <c r="J389">
        <v>2005</v>
      </c>
      <c r="K389">
        <v>8</v>
      </c>
      <c r="L389">
        <v>26</v>
      </c>
      <c r="M389" t="s">
        <v>91</v>
      </c>
      <c r="N389">
        <v>0</v>
      </c>
      <c r="O389">
        <v>0</v>
      </c>
    </row>
    <row r="390" spans="1:15" x14ac:dyDescent="0.3">
      <c r="A390">
        <v>485</v>
      </c>
      <c r="B390" s="34">
        <v>38593</v>
      </c>
      <c r="C390">
        <v>1.2281</v>
      </c>
      <c r="D390">
        <v>0</v>
      </c>
      <c r="F390">
        <v>0.17409999999999601</v>
      </c>
      <c r="G390">
        <v>10.9918200408997</v>
      </c>
      <c r="H390">
        <v>1</v>
      </c>
      <c r="I390">
        <v>0.53917530000000002</v>
      </c>
      <c r="J390">
        <v>2005</v>
      </c>
      <c r="K390">
        <v>8</v>
      </c>
      <c r="L390">
        <v>29</v>
      </c>
      <c r="M390" t="s">
        <v>92</v>
      </c>
      <c r="N390">
        <v>0</v>
      </c>
      <c r="O390">
        <v>0</v>
      </c>
    </row>
    <row r="391" spans="1:15" x14ac:dyDescent="0.3">
      <c r="A391">
        <v>486</v>
      </c>
      <c r="B391" s="34">
        <v>38594</v>
      </c>
      <c r="C391">
        <v>1.2223999999999999</v>
      </c>
      <c r="D391">
        <v>4</v>
      </c>
      <c r="E391" t="s">
        <v>175</v>
      </c>
      <c r="F391">
        <v>0.17349999999999599</v>
      </c>
      <c r="G391">
        <v>11.298568507157301</v>
      </c>
      <c r="H391">
        <v>0</v>
      </c>
      <c r="I391">
        <v>0.53806589999999999</v>
      </c>
      <c r="J391">
        <v>2005</v>
      </c>
      <c r="K391">
        <v>8</v>
      </c>
      <c r="L391">
        <v>30</v>
      </c>
      <c r="M391" t="s">
        <v>93</v>
      </c>
      <c r="N391">
        <v>0</v>
      </c>
      <c r="O391">
        <v>0</v>
      </c>
    </row>
    <row r="392" spans="1:15" x14ac:dyDescent="0.3">
      <c r="A392">
        <v>487</v>
      </c>
      <c r="B392" s="34">
        <v>38595</v>
      </c>
      <c r="C392">
        <v>1.2218</v>
      </c>
      <c r="D392">
        <v>0</v>
      </c>
      <c r="F392">
        <v>0.17349999999999599</v>
      </c>
      <c r="G392">
        <v>11.298568507157301</v>
      </c>
      <c r="H392">
        <v>0</v>
      </c>
      <c r="I392">
        <v>0.53696100000000002</v>
      </c>
      <c r="J392">
        <v>2005</v>
      </c>
      <c r="K392">
        <v>8</v>
      </c>
      <c r="L392">
        <v>31</v>
      </c>
      <c r="M392" t="s">
        <v>89</v>
      </c>
      <c r="N392">
        <v>0</v>
      </c>
      <c r="O392">
        <v>0</v>
      </c>
    </row>
    <row r="393" spans="1:15" x14ac:dyDescent="0.3">
      <c r="A393">
        <v>488</v>
      </c>
      <c r="B393" s="34">
        <v>38596</v>
      </c>
      <c r="C393">
        <v>1.2342</v>
      </c>
      <c r="D393">
        <v>0</v>
      </c>
      <c r="F393">
        <v>0.17349999999999599</v>
      </c>
      <c r="G393">
        <v>11.298568507157301</v>
      </c>
      <c r="H393">
        <v>1</v>
      </c>
      <c r="I393">
        <v>0.53790990000000005</v>
      </c>
      <c r="J393">
        <v>2005</v>
      </c>
      <c r="K393">
        <v>9</v>
      </c>
      <c r="L393">
        <v>1</v>
      </c>
      <c r="M393" t="s">
        <v>90</v>
      </c>
      <c r="N393">
        <v>0</v>
      </c>
      <c r="O393">
        <v>0</v>
      </c>
    </row>
    <row r="394" spans="1:15" x14ac:dyDescent="0.3">
      <c r="A394">
        <v>489</v>
      </c>
      <c r="B394" s="34">
        <v>38597</v>
      </c>
      <c r="C394">
        <v>1.2493000000000001</v>
      </c>
      <c r="D394">
        <v>0</v>
      </c>
      <c r="F394">
        <v>0.17349999999999599</v>
      </c>
      <c r="G394">
        <v>11.298568507157301</v>
      </c>
      <c r="H394">
        <v>0</v>
      </c>
      <c r="I394">
        <v>0.5368098</v>
      </c>
      <c r="J394">
        <v>2005</v>
      </c>
      <c r="K394">
        <v>9</v>
      </c>
      <c r="L394">
        <v>2</v>
      </c>
      <c r="M394" t="s">
        <v>91</v>
      </c>
      <c r="N394">
        <v>0</v>
      </c>
      <c r="O394">
        <v>0</v>
      </c>
    </row>
    <row r="395" spans="1:15" x14ac:dyDescent="0.3">
      <c r="A395">
        <v>490</v>
      </c>
      <c r="B395" s="34">
        <v>38600</v>
      </c>
      <c r="C395">
        <v>1.2515000000000001</v>
      </c>
      <c r="D395">
        <v>0</v>
      </c>
      <c r="F395">
        <v>0.17349999999999599</v>
      </c>
      <c r="G395">
        <v>11.298568507157301</v>
      </c>
      <c r="H395">
        <v>0</v>
      </c>
      <c r="I395">
        <v>0.53571429999999998</v>
      </c>
      <c r="J395">
        <v>2005</v>
      </c>
      <c r="K395">
        <v>9</v>
      </c>
      <c r="L395">
        <v>5</v>
      </c>
      <c r="M395" t="s">
        <v>92</v>
      </c>
      <c r="N395">
        <v>0</v>
      </c>
      <c r="O395">
        <v>0</v>
      </c>
    </row>
    <row r="396" spans="1:15" x14ac:dyDescent="0.3">
      <c r="A396">
        <v>491</v>
      </c>
      <c r="B396" s="34">
        <v>38601</v>
      </c>
      <c r="C396">
        <v>1.2543</v>
      </c>
      <c r="D396">
        <v>1</v>
      </c>
      <c r="E396" t="s">
        <v>176</v>
      </c>
      <c r="F396">
        <v>0.16579999999999601</v>
      </c>
      <c r="G396">
        <v>15.235173824130801</v>
      </c>
      <c r="H396">
        <v>0</v>
      </c>
      <c r="I396">
        <v>0.53462319999999997</v>
      </c>
      <c r="J396">
        <v>2005</v>
      </c>
      <c r="K396">
        <v>9</v>
      </c>
      <c r="L396">
        <v>6</v>
      </c>
      <c r="M396" t="s">
        <v>93</v>
      </c>
      <c r="N396">
        <v>0</v>
      </c>
      <c r="O396">
        <v>0</v>
      </c>
    </row>
    <row r="397" spans="1:15" x14ac:dyDescent="0.3">
      <c r="A397">
        <v>492</v>
      </c>
      <c r="B397" s="34">
        <v>38602</v>
      </c>
      <c r="C397">
        <v>1.2465999999999999</v>
      </c>
      <c r="D397">
        <v>2</v>
      </c>
      <c r="E397" t="s">
        <v>177</v>
      </c>
      <c r="F397">
        <v>0.16039999999999599</v>
      </c>
      <c r="G397">
        <v>17.995910020449799</v>
      </c>
      <c r="H397">
        <v>0</v>
      </c>
      <c r="I397">
        <v>0.53353660000000003</v>
      </c>
      <c r="J397">
        <v>2005</v>
      </c>
      <c r="K397">
        <v>9</v>
      </c>
      <c r="L397">
        <v>7</v>
      </c>
      <c r="M397" t="s">
        <v>89</v>
      </c>
      <c r="N397">
        <v>0</v>
      </c>
      <c r="O397">
        <v>0</v>
      </c>
    </row>
    <row r="398" spans="1:15" x14ac:dyDescent="0.3">
      <c r="A398">
        <v>493</v>
      </c>
      <c r="B398" s="34">
        <v>38603</v>
      </c>
      <c r="C398">
        <v>1.2412000000000001</v>
      </c>
      <c r="D398">
        <v>3</v>
      </c>
      <c r="E398" t="s">
        <v>178</v>
      </c>
      <c r="F398">
        <v>0.15889999999999599</v>
      </c>
      <c r="G398">
        <v>18.762781186093999</v>
      </c>
      <c r="H398">
        <v>0</v>
      </c>
      <c r="I398">
        <v>0.53245439999999999</v>
      </c>
      <c r="J398">
        <v>2005</v>
      </c>
      <c r="K398">
        <v>9</v>
      </c>
      <c r="L398">
        <v>8</v>
      </c>
      <c r="M398" t="s">
        <v>90</v>
      </c>
      <c r="N398">
        <v>0</v>
      </c>
      <c r="O398">
        <v>0</v>
      </c>
    </row>
    <row r="399" spans="1:15" x14ac:dyDescent="0.3">
      <c r="A399">
        <v>494</v>
      </c>
      <c r="B399" s="34">
        <v>38604</v>
      </c>
      <c r="C399">
        <v>1.2397</v>
      </c>
      <c r="D399">
        <v>0</v>
      </c>
      <c r="F399">
        <v>0.15889999999999599</v>
      </c>
      <c r="G399">
        <v>18.762781186093999</v>
      </c>
      <c r="H399">
        <v>0</v>
      </c>
      <c r="I399">
        <v>0.53137650000000003</v>
      </c>
      <c r="J399">
        <v>2005</v>
      </c>
      <c r="K399">
        <v>9</v>
      </c>
      <c r="L399">
        <v>9</v>
      </c>
      <c r="M399" t="s">
        <v>91</v>
      </c>
      <c r="N399">
        <v>0</v>
      </c>
      <c r="O399">
        <v>0</v>
      </c>
    </row>
    <row r="400" spans="1:15" x14ac:dyDescent="0.3">
      <c r="A400">
        <v>495</v>
      </c>
      <c r="B400" s="34">
        <v>38607</v>
      </c>
      <c r="C400">
        <v>1.2418</v>
      </c>
      <c r="D400">
        <v>0</v>
      </c>
      <c r="F400">
        <v>0.15889999999999599</v>
      </c>
      <c r="G400">
        <v>18.762781186093999</v>
      </c>
      <c r="H400">
        <v>1</v>
      </c>
      <c r="I400">
        <v>0.5323232</v>
      </c>
      <c r="J400">
        <v>2005</v>
      </c>
      <c r="K400">
        <v>9</v>
      </c>
      <c r="L400">
        <v>12</v>
      </c>
      <c r="M400" t="s">
        <v>92</v>
      </c>
      <c r="N400">
        <v>0</v>
      </c>
      <c r="O400">
        <v>0</v>
      </c>
    </row>
    <row r="401" spans="1:15" x14ac:dyDescent="0.3">
      <c r="A401">
        <v>496</v>
      </c>
      <c r="B401" s="34">
        <v>38608</v>
      </c>
      <c r="C401">
        <v>1.2277</v>
      </c>
      <c r="D401">
        <v>4</v>
      </c>
      <c r="E401" t="s">
        <v>179</v>
      </c>
      <c r="F401">
        <v>0.157999999999996</v>
      </c>
      <c r="G401">
        <v>19.222903885480601</v>
      </c>
      <c r="H401">
        <v>0</v>
      </c>
      <c r="I401">
        <v>0.53125</v>
      </c>
      <c r="J401">
        <v>2005</v>
      </c>
      <c r="K401">
        <v>9</v>
      </c>
      <c r="L401">
        <v>13</v>
      </c>
      <c r="M401" t="s">
        <v>93</v>
      </c>
      <c r="N401">
        <v>0</v>
      </c>
      <c r="O401">
        <v>0</v>
      </c>
    </row>
    <row r="402" spans="1:15" x14ac:dyDescent="0.3">
      <c r="A402">
        <v>497</v>
      </c>
      <c r="B402" s="34">
        <v>38609</v>
      </c>
      <c r="C402">
        <v>1.2267999999999999</v>
      </c>
      <c r="D402">
        <v>0</v>
      </c>
      <c r="F402">
        <v>0.157999999999996</v>
      </c>
      <c r="G402">
        <v>19.222903885480601</v>
      </c>
      <c r="H402">
        <v>0</v>
      </c>
      <c r="I402">
        <v>0.53018109999999996</v>
      </c>
      <c r="J402">
        <v>2005</v>
      </c>
      <c r="K402">
        <v>9</v>
      </c>
      <c r="L402">
        <v>14</v>
      </c>
      <c r="M402" t="s">
        <v>89</v>
      </c>
      <c r="N402">
        <v>0</v>
      </c>
      <c r="O402">
        <v>0</v>
      </c>
    </row>
    <row r="403" spans="1:15" x14ac:dyDescent="0.3">
      <c r="A403">
        <v>498</v>
      </c>
      <c r="B403" s="34">
        <v>38610</v>
      </c>
      <c r="C403">
        <v>1.2283999999999999</v>
      </c>
      <c r="D403">
        <v>0</v>
      </c>
      <c r="F403">
        <v>0.157999999999996</v>
      </c>
      <c r="G403">
        <v>19.222903885480601</v>
      </c>
      <c r="H403">
        <v>1</v>
      </c>
      <c r="I403">
        <v>0.5311245</v>
      </c>
      <c r="J403">
        <v>2005</v>
      </c>
      <c r="K403">
        <v>9</v>
      </c>
      <c r="L403">
        <v>15</v>
      </c>
      <c r="M403" t="s">
        <v>90</v>
      </c>
      <c r="N403">
        <v>0</v>
      </c>
      <c r="O403">
        <v>0</v>
      </c>
    </row>
    <row r="404" spans="1:15" x14ac:dyDescent="0.3">
      <c r="A404">
        <v>499</v>
      </c>
      <c r="B404" s="34">
        <v>38611</v>
      </c>
      <c r="C404">
        <v>1.2223999999999999</v>
      </c>
      <c r="D404">
        <v>9</v>
      </c>
      <c r="E404" t="s">
        <v>180</v>
      </c>
      <c r="F404">
        <v>0.15949999999999601</v>
      </c>
      <c r="G404">
        <v>18.456032719836401</v>
      </c>
      <c r="H404">
        <v>0</v>
      </c>
      <c r="I404">
        <v>0.53006010000000003</v>
      </c>
      <c r="J404">
        <v>2005</v>
      </c>
      <c r="K404">
        <v>9</v>
      </c>
      <c r="L404">
        <v>16</v>
      </c>
      <c r="M404" t="s">
        <v>91</v>
      </c>
      <c r="N404">
        <v>0</v>
      </c>
      <c r="O404">
        <v>0</v>
      </c>
    </row>
    <row r="405" spans="1:15" x14ac:dyDescent="0.3">
      <c r="A405">
        <v>500</v>
      </c>
      <c r="B405" s="34">
        <v>38614</v>
      </c>
      <c r="C405">
        <v>1.2239</v>
      </c>
      <c r="D405">
        <v>0</v>
      </c>
      <c r="F405">
        <v>0.15949999999999601</v>
      </c>
      <c r="G405">
        <v>18.456032719836401</v>
      </c>
      <c r="H405">
        <v>1</v>
      </c>
      <c r="I405">
        <v>0.53100000000000003</v>
      </c>
      <c r="J405">
        <v>2005</v>
      </c>
      <c r="K405">
        <v>9</v>
      </c>
      <c r="L405">
        <v>19</v>
      </c>
      <c r="M405" t="s">
        <v>92</v>
      </c>
      <c r="N405">
        <v>0</v>
      </c>
      <c r="O405">
        <v>0</v>
      </c>
    </row>
    <row r="406" spans="1:15" x14ac:dyDescent="0.3">
      <c r="A406">
        <v>501</v>
      </c>
      <c r="B406" s="34">
        <v>38615</v>
      </c>
      <c r="C406">
        <v>1.2136</v>
      </c>
      <c r="D406">
        <v>2</v>
      </c>
      <c r="E406" t="s">
        <v>181</v>
      </c>
      <c r="F406">
        <v>0.157799999999996</v>
      </c>
      <c r="G406">
        <v>19.325153374233199</v>
      </c>
      <c r="H406">
        <v>0</v>
      </c>
      <c r="I406">
        <v>0.52994010000000003</v>
      </c>
      <c r="J406">
        <v>2005</v>
      </c>
      <c r="K406">
        <v>9</v>
      </c>
      <c r="L406">
        <v>20</v>
      </c>
      <c r="M406" t="s">
        <v>93</v>
      </c>
      <c r="N406">
        <v>0</v>
      </c>
      <c r="O406">
        <v>0</v>
      </c>
    </row>
    <row r="407" spans="1:15" x14ac:dyDescent="0.3">
      <c r="A407">
        <v>502</v>
      </c>
      <c r="B407" s="34">
        <v>38616</v>
      </c>
      <c r="C407">
        <v>1.2119</v>
      </c>
      <c r="D407">
        <v>0</v>
      </c>
      <c r="F407">
        <v>0.157799999999996</v>
      </c>
      <c r="G407">
        <v>19.325153374233199</v>
      </c>
      <c r="H407">
        <v>0</v>
      </c>
      <c r="I407">
        <v>0.52888449999999998</v>
      </c>
      <c r="J407">
        <v>2005</v>
      </c>
      <c r="K407">
        <v>9</v>
      </c>
      <c r="L407">
        <v>21</v>
      </c>
      <c r="M407" t="s">
        <v>89</v>
      </c>
      <c r="N407">
        <v>0</v>
      </c>
      <c r="O407">
        <v>0</v>
      </c>
    </row>
    <row r="408" spans="1:15" x14ac:dyDescent="0.3">
      <c r="A408">
        <v>503</v>
      </c>
      <c r="B408" s="34">
        <v>38617</v>
      </c>
      <c r="C408">
        <v>1.2225999999999999</v>
      </c>
      <c r="D408">
        <v>0</v>
      </c>
      <c r="F408">
        <v>0.157799999999996</v>
      </c>
      <c r="G408">
        <v>19.325153374233199</v>
      </c>
      <c r="H408">
        <v>1</v>
      </c>
      <c r="I408">
        <v>0.52982110000000004</v>
      </c>
      <c r="J408">
        <v>2005</v>
      </c>
      <c r="K408">
        <v>9</v>
      </c>
      <c r="L408">
        <v>22</v>
      </c>
      <c r="M408" t="s">
        <v>90</v>
      </c>
      <c r="N408">
        <v>0</v>
      </c>
      <c r="O408">
        <v>0</v>
      </c>
    </row>
    <row r="409" spans="1:15" x14ac:dyDescent="0.3">
      <c r="A409">
        <v>504</v>
      </c>
      <c r="B409" s="34">
        <v>38618</v>
      </c>
      <c r="C409">
        <v>1.2148000000000001</v>
      </c>
      <c r="D409">
        <v>1</v>
      </c>
      <c r="E409" t="s">
        <v>182</v>
      </c>
      <c r="F409">
        <v>0.14639999999999601</v>
      </c>
      <c r="G409">
        <v>25.153374233129</v>
      </c>
      <c r="H409">
        <v>0</v>
      </c>
      <c r="I409">
        <v>0.52876990000000001</v>
      </c>
      <c r="J409">
        <v>2005</v>
      </c>
      <c r="K409">
        <v>9</v>
      </c>
      <c r="L409">
        <v>23</v>
      </c>
      <c r="M409" t="s">
        <v>91</v>
      </c>
      <c r="N409">
        <v>0</v>
      </c>
      <c r="O409">
        <v>0</v>
      </c>
    </row>
    <row r="410" spans="1:15" x14ac:dyDescent="0.3">
      <c r="A410">
        <v>505</v>
      </c>
      <c r="B410" s="34">
        <v>38621</v>
      </c>
      <c r="C410">
        <v>1.2034</v>
      </c>
      <c r="D410">
        <v>1</v>
      </c>
      <c r="E410" t="s">
        <v>183</v>
      </c>
      <c r="F410">
        <v>0.14979999999999599</v>
      </c>
      <c r="G410">
        <v>23.415132924335499</v>
      </c>
      <c r="H410">
        <v>0</v>
      </c>
      <c r="I410">
        <v>0.52772280000000005</v>
      </c>
      <c r="J410">
        <v>2005</v>
      </c>
      <c r="K410">
        <v>9</v>
      </c>
      <c r="L410">
        <v>26</v>
      </c>
      <c r="M410" t="s">
        <v>92</v>
      </c>
      <c r="N410">
        <v>0</v>
      </c>
      <c r="O410">
        <v>0</v>
      </c>
    </row>
    <row r="411" spans="1:15" x14ac:dyDescent="0.3">
      <c r="A411">
        <v>506</v>
      </c>
      <c r="B411" s="34">
        <v>38622</v>
      </c>
      <c r="C411">
        <v>1.2068000000000001</v>
      </c>
      <c r="D411">
        <v>0</v>
      </c>
      <c r="F411">
        <v>0.14979999999999599</v>
      </c>
      <c r="G411">
        <v>23.415132924335499</v>
      </c>
      <c r="H411">
        <v>1</v>
      </c>
      <c r="I411">
        <v>0.52865609999999996</v>
      </c>
      <c r="J411">
        <v>2005</v>
      </c>
      <c r="K411">
        <v>9</v>
      </c>
      <c r="L411">
        <v>27</v>
      </c>
      <c r="M411" t="s">
        <v>93</v>
      </c>
      <c r="N411">
        <v>0</v>
      </c>
      <c r="O411">
        <v>0</v>
      </c>
    </row>
    <row r="412" spans="1:15" x14ac:dyDescent="0.3">
      <c r="A412">
        <v>507</v>
      </c>
      <c r="B412" s="34">
        <v>38623</v>
      </c>
      <c r="C412">
        <v>1.2017</v>
      </c>
      <c r="D412">
        <v>1</v>
      </c>
      <c r="E412" t="s">
        <v>184</v>
      </c>
      <c r="F412">
        <v>0.152499999999996</v>
      </c>
      <c r="G412">
        <v>22.034764826176001</v>
      </c>
      <c r="H412">
        <v>0</v>
      </c>
      <c r="I412">
        <v>0.52761340000000001</v>
      </c>
      <c r="J412">
        <v>2005</v>
      </c>
      <c r="K412">
        <v>9</v>
      </c>
      <c r="L412">
        <v>28</v>
      </c>
      <c r="M412" t="s">
        <v>89</v>
      </c>
      <c r="N412">
        <v>0</v>
      </c>
      <c r="O412">
        <v>0</v>
      </c>
    </row>
    <row r="413" spans="1:15" x14ac:dyDescent="0.3">
      <c r="A413">
        <v>508</v>
      </c>
      <c r="B413" s="34">
        <v>38624</v>
      </c>
      <c r="C413">
        <v>1.2043999999999999</v>
      </c>
      <c r="D413">
        <v>0</v>
      </c>
      <c r="F413">
        <v>0.152499999999996</v>
      </c>
      <c r="G413">
        <v>22.034764826176001</v>
      </c>
      <c r="H413">
        <v>1</v>
      </c>
      <c r="I413">
        <v>0.52854330000000005</v>
      </c>
      <c r="J413">
        <v>2005</v>
      </c>
      <c r="K413">
        <v>9</v>
      </c>
      <c r="L413">
        <v>29</v>
      </c>
      <c r="M413" t="s">
        <v>90</v>
      </c>
      <c r="N413">
        <v>0</v>
      </c>
      <c r="O413">
        <v>0</v>
      </c>
    </row>
    <row r="414" spans="1:15" x14ac:dyDescent="0.3">
      <c r="A414">
        <v>509</v>
      </c>
      <c r="B414" s="34">
        <v>38625</v>
      </c>
      <c r="C414">
        <v>1.2035</v>
      </c>
      <c r="D414">
        <v>7</v>
      </c>
      <c r="E414" t="s">
        <v>185</v>
      </c>
      <c r="F414">
        <v>0.15539999999999601</v>
      </c>
      <c r="G414">
        <v>20.552147239263999</v>
      </c>
      <c r="H414">
        <v>0.5</v>
      </c>
      <c r="I414">
        <v>0.52848720000000005</v>
      </c>
      <c r="J414">
        <v>2005</v>
      </c>
      <c r="K414">
        <v>9</v>
      </c>
      <c r="L414">
        <v>30</v>
      </c>
      <c r="M414" t="s">
        <v>91</v>
      </c>
      <c r="N414">
        <v>0</v>
      </c>
      <c r="O414">
        <v>0</v>
      </c>
    </row>
    <row r="415" spans="1:15" x14ac:dyDescent="0.3">
      <c r="A415">
        <v>510</v>
      </c>
      <c r="B415" s="34">
        <v>38628</v>
      </c>
      <c r="C415">
        <v>1.2063999999999999</v>
      </c>
      <c r="D415">
        <v>-1</v>
      </c>
      <c r="F415">
        <v>0.16999999999999599</v>
      </c>
      <c r="G415">
        <v>13.0879345603272</v>
      </c>
      <c r="H415">
        <v>1</v>
      </c>
      <c r="I415">
        <v>0.52941179999999999</v>
      </c>
      <c r="J415">
        <v>2005</v>
      </c>
      <c r="K415">
        <v>10</v>
      </c>
      <c r="L415">
        <v>3</v>
      </c>
      <c r="M415" t="s">
        <v>92</v>
      </c>
      <c r="N415">
        <v>0</v>
      </c>
      <c r="O415">
        <v>0</v>
      </c>
    </row>
    <row r="416" spans="1:15" x14ac:dyDescent="0.3">
      <c r="A416">
        <v>511</v>
      </c>
      <c r="B416" s="34">
        <v>38629</v>
      </c>
      <c r="C416">
        <v>1.1918</v>
      </c>
      <c r="D416">
        <v>4</v>
      </c>
      <c r="E416" t="s">
        <v>186</v>
      </c>
      <c r="F416">
        <v>0.170099999999996</v>
      </c>
      <c r="G416">
        <v>13.036809815951001</v>
      </c>
      <c r="H416">
        <v>1</v>
      </c>
      <c r="I416">
        <v>0.53033269999999999</v>
      </c>
      <c r="J416">
        <v>2005</v>
      </c>
      <c r="K416">
        <v>10</v>
      </c>
      <c r="L416">
        <v>4</v>
      </c>
      <c r="M416" t="s">
        <v>93</v>
      </c>
      <c r="N416">
        <v>0</v>
      </c>
      <c r="O416">
        <v>0</v>
      </c>
    </row>
    <row r="417" spans="1:15" x14ac:dyDescent="0.3">
      <c r="A417">
        <v>512</v>
      </c>
      <c r="B417" s="34">
        <v>38630</v>
      </c>
      <c r="C417">
        <v>1.1919</v>
      </c>
      <c r="D417">
        <v>0</v>
      </c>
      <c r="F417">
        <v>0.170099999999996</v>
      </c>
      <c r="G417">
        <v>13.036809815951001</v>
      </c>
      <c r="H417">
        <v>1</v>
      </c>
      <c r="I417">
        <v>0.53125</v>
      </c>
      <c r="J417">
        <v>2005</v>
      </c>
      <c r="K417">
        <v>10</v>
      </c>
      <c r="L417">
        <v>5</v>
      </c>
      <c r="M417" t="s">
        <v>89</v>
      </c>
      <c r="N417">
        <v>0</v>
      </c>
      <c r="O417">
        <v>0</v>
      </c>
    </row>
    <row r="418" spans="1:15" x14ac:dyDescent="0.3">
      <c r="A418">
        <v>513</v>
      </c>
      <c r="B418" s="34">
        <v>38631</v>
      </c>
      <c r="C418">
        <v>1.2010000000000001</v>
      </c>
      <c r="D418">
        <v>0</v>
      </c>
      <c r="F418">
        <v>0.170099999999996</v>
      </c>
      <c r="G418">
        <v>13.036809815951001</v>
      </c>
      <c r="H418">
        <v>1</v>
      </c>
      <c r="I418">
        <v>0.53216370000000002</v>
      </c>
      <c r="J418">
        <v>2005</v>
      </c>
      <c r="K418">
        <v>10</v>
      </c>
      <c r="L418">
        <v>6</v>
      </c>
      <c r="M418" t="s">
        <v>90</v>
      </c>
      <c r="N418">
        <v>0</v>
      </c>
      <c r="O418">
        <v>0</v>
      </c>
    </row>
    <row r="419" spans="1:15" x14ac:dyDescent="0.3">
      <c r="A419">
        <v>514</v>
      </c>
      <c r="B419" s="34">
        <v>38632</v>
      </c>
      <c r="C419">
        <v>1.2182999999999999</v>
      </c>
      <c r="D419">
        <v>-2</v>
      </c>
      <c r="F419">
        <v>0.17559999999999601</v>
      </c>
      <c r="G419">
        <v>10.2249488752557</v>
      </c>
      <c r="H419">
        <v>1</v>
      </c>
      <c r="I419">
        <v>0.53307389999999999</v>
      </c>
      <c r="J419">
        <v>2005</v>
      </c>
      <c r="K419">
        <v>10</v>
      </c>
      <c r="L419">
        <v>7</v>
      </c>
      <c r="M419" t="s">
        <v>91</v>
      </c>
      <c r="N419">
        <v>0</v>
      </c>
      <c r="O419">
        <v>0</v>
      </c>
    </row>
    <row r="420" spans="1:15" x14ac:dyDescent="0.3">
      <c r="A420">
        <v>515</v>
      </c>
      <c r="B420" s="34">
        <v>38635</v>
      </c>
      <c r="C420">
        <v>1.2128000000000001</v>
      </c>
      <c r="D420">
        <v>0</v>
      </c>
      <c r="F420">
        <v>0.17559999999999601</v>
      </c>
      <c r="G420">
        <v>10.2249488752557</v>
      </c>
      <c r="H420">
        <v>1</v>
      </c>
      <c r="I420">
        <v>0.53398060000000003</v>
      </c>
      <c r="J420">
        <v>2005</v>
      </c>
      <c r="K420">
        <v>10</v>
      </c>
      <c r="L420">
        <v>10</v>
      </c>
      <c r="M420" t="s">
        <v>92</v>
      </c>
      <c r="N420">
        <v>0</v>
      </c>
      <c r="O420">
        <v>0</v>
      </c>
    </row>
    <row r="421" spans="1:15" x14ac:dyDescent="0.3">
      <c r="A421">
        <v>516</v>
      </c>
      <c r="B421" s="34">
        <v>38636</v>
      </c>
      <c r="C421">
        <v>1.2068000000000001</v>
      </c>
      <c r="D421">
        <v>4</v>
      </c>
      <c r="E421" t="s">
        <v>187</v>
      </c>
      <c r="F421">
        <v>0.167599999999996</v>
      </c>
      <c r="G421">
        <v>14.314928425358</v>
      </c>
      <c r="H421">
        <v>1</v>
      </c>
      <c r="I421">
        <v>0.53488369999999996</v>
      </c>
      <c r="J421">
        <v>2005</v>
      </c>
      <c r="K421">
        <v>10</v>
      </c>
      <c r="L421">
        <v>11</v>
      </c>
      <c r="M421" t="s">
        <v>93</v>
      </c>
      <c r="N421">
        <v>0</v>
      </c>
      <c r="O421">
        <v>0</v>
      </c>
    </row>
    <row r="422" spans="1:15" x14ac:dyDescent="0.3">
      <c r="A422">
        <v>517</v>
      </c>
      <c r="B422" s="34">
        <v>38637</v>
      </c>
      <c r="C422">
        <v>1.1988000000000001</v>
      </c>
      <c r="D422">
        <v>5</v>
      </c>
      <c r="E422" t="s">
        <v>188</v>
      </c>
      <c r="F422">
        <v>0.17149999999999599</v>
      </c>
      <c r="G422">
        <v>12.321063394683099</v>
      </c>
      <c r="H422">
        <v>0</v>
      </c>
      <c r="I422">
        <v>0.53384909999999997</v>
      </c>
      <c r="J422">
        <v>2005</v>
      </c>
      <c r="K422">
        <v>10</v>
      </c>
      <c r="L422">
        <v>12</v>
      </c>
      <c r="M422" t="s">
        <v>89</v>
      </c>
      <c r="N422">
        <v>0</v>
      </c>
      <c r="O422">
        <v>0</v>
      </c>
    </row>
    <row r="423" spans="1:15" x14ac:dyDescent="0.3">
      <c r="A423">
        <v>518</v>
      </c>
      <c r="B423" s="34">
        <v>38638</v>
      </c>
      <c r="C423">
        <v>1.2027000000000001</v>
      </c>
      <c r="D423">
        <v>0</v>
      </c>
      <c r="F423">
        <v>0.17149999999999599</v>
      </c>
      <c r="G423">
        <v>12.321063394683099</v>
      </c>
      <c r="H423">
        <v>1</v>
      </c>
      <c r="I423">
        <v>0.53474900000000003</v>
      </c>
      <c r="J423">
        <v>2005</v>
      </c>
      <c r="K423">
        <v>10</v>
      </c>
      <c r="L423">
        <v>13</v>
      </c>
      <c r="M423" t="s">
        <v>90</v>
      </c>
      <c r="N423">
        <v>0</v>
      </c>
      <c r="O423">
        <v>0</v>
      </c>
    </row>
    <row r="424" spans="1:15" x14ac:dyDescent="0.3">
      <c r="A424">
        <v>519</v>
      </c>
      <c r="B424" s="34">
        <v>38639</v>
      </c>
      <c r="C424">
        <v>1.2027000000000001</v>
      </c>
      <c r="D424">
        <v>33</v>
      </c>
      <c r="E424" t="s">
        <v>189</v>
      </c>
      <c r="F424">
        <v>0.176199999999996</v>
      </c>
      <c r="G424">
        <v>9.9182004089980804</v>
      </c>
      <c r="H424">
        <v>0.5</v>
      </c>
      <c r="I424">
        <v>0.53468210000000005</v>
      </c>
      <c r="J424">
        <v>2005</v>
      </c>
      <c r="K424">
        <v>10</v>
      </c>
      <c r="L424">
        <v>14</v>
      </c>
      <c r="M424" t="s">
        <v>91</v>
      </c>
      <c r="N424">
        <v>0</v>
      </c>
      <c r="O424">
        <v>0</v>
      </c>
    </row>
    <row r="425" spans="1:15" x14ac:dyDescent="0.3">
      <c r="A425">
        <v>520</v>
      </c>
      <c r="B425" s="34">
        <v>38642</v>
      </c>
      <c r="C425">
        <v>1.2074</v>
      </c>
      <c r="D425">
        <v>-22</v>
      </c>
      <c r="F425">
        <v>0.18179999999999599</v>
      </c>
      <c r="G425">
        <v>7.0552147239264196</v>
      </c>
      <c r="H425">
        <v>1</v>
      </c>
      <c r="I425">
        <v>0.53557690000000002</v>
      </c>
      <c r="J425">
        <v>2005</v>
      </c>
      <c r="K425">
        <v>10</v>
      </c>
      <c r="L425">
        <v>17</v>
      </c>
      <c r="M425" t="s">
        <v>92</v>
      </c>
      <c r="N425">
        <v>0</v>
      </c>
      <c r="O425">
        <v>0</v>
      </c>
    </row>
    <row r="426" spans="1:15" x14ac:dyDescent="0.3">
      <c r="A426">
        <v>521</v>
      </c>
      <c r="B426" s="34">
        <v>38643</v>
      </c>
      <c r="C426">
        <v>1.2018</v>
      </c>
      <c r="D426">
        <v>0</v>
      </c>
      <c r="F426">
        <v>0.18179999999999599</v>
      </c>
      <c r="G426">
        <v>7.0552147239264196</v>
      </c>
      <c r="H426">
        <v>1</v>
      </c>
      <c r="I426">
        <v>0.53646830000000001</v>
      </c>
      <c r="J426">
        <v>2005</v>
      </c>
      <c r="K426">
        <v>10</v>
      </c>
      <c r="L426">
        <v>18</v>
      </c>
      <c r="M426" t="s">
        <v>93</v>
      </c>
      <c r="N426">
        <v>0</v>
      </c>
      <c r="O426">
        <v>0</v>
      </c>
    </row>
    <row r="427" spans="1:15" x14ac:dyDescent="0.3">
      <c r="A427">
        <v>522</v>
      </c>
      <c r="B427" s="34">
        <v>38644</v>
      </c>
      <c r="C427">
        <v>1.1964999999999999</v>
      </c>
      <c r="D427">
        <v>2</v>
      </c>
      <c r="E427" t="s">
        <v>190</v>
      </c>
      <c r="F427">
        <v>0.18469999999999601</v>
      </c>
      <c r="G427">
        <v>5.5725971370142604</v>
      </c>
      <c r="H427">
        <v>0</v>
      </c>
      <c r="I427">
        <v>0.53544060000000004</v>
      </c>
      <c r="J427">
        <v>2005</v>
      </c>
      <c r="K427">
        <v>10</v>
      </c>
      <c r="L427">
        <v>19</v>
      </c>
      <c r="M427" t="s">
        <v>89</v>
      </c>
      <c r="N427">
        <v>0</v>
      </c>
      <c r="O427">
        <v>0</v>
      </c>
    </row>
    <row r="428" spans="1:15" x14ac:dyDescent="0.3">
      <c r="A428">
        <v>523</v>
      </c>
      <c r="B428" s="34">
        <v>38645</v>
      </c>
      <c r="C428">
        <v>1.1994</v>
      </c>
      <c r="D428">
        <v>0</v>
      </c>
      <c r="F428">
        <v>0.18469999999999601</v>
      </c>
      <c r="G428">
        <v>5.5725971370142604</v>
      </c>
      <c r="H428">
        <v>1</v>
      </c>
      <c r="I428">
        <v>0.5363289</v>
      </c>
      <c r="J428">
        <v>2005</v>
      </c>
      <c r="K428">
        <v>10</v>
      </c>
      <c r="L428">
        <v>20</v>
      </c>
      <c r="M428" t="s">
        <v>90</v>
      </c>
      <c r="N428">
        <v>0</v>
      </c>
      <c r="O428">
        <v>0</v>
      </c>
    </row>
    <row r="429" spans="1:15" x14ac:dyDescent="0.3">
      <c r="A429">
        <v>524</v>
      </c>
      <c r="B429" s="34">
        <v>38646</v>
      </c>
      <c r="C429">
        <v>1.2019</v>
      </c>
      <c r="D429">
        <v>-5</v>
      </c>
      <c r="F429">
        <v>0.19099999999999601</v>
      </c>
      <c r="G429">
        <v>2.35173824130869</v>
      </c>
      <c r="H429">
        <v>0.5</v>
      </c>
      <c r="I429">
        <v>0.5362595</v>
      </c>
      <c r="J429">
        <v>2005</v>
      </c>
      <c r="K429">
        <v>10</v>
      </c>
      <c r="L429">
        <v>21</v>
      </c>
      <c r="M429" t="s">
        <v>91</v>
      </c>
      <c r="N429">
        <v>0</v>
      </c>
      <c r="O429">
        <v>0</v>
      </c>
    </row>
    <row r="430" spans="1:15" x14ac:dyDescent="0.3">
      <c r="A430">
        <v>525</v>
      </c>
      <c r="B430" s="34">
        <v>38649</v>
      </c>
      <c r="C430">
        <v>1.1956</v>
      </c>
      <c r="D430">
        <v>8</v>
      </c>
      <c r="E430" t="s">
        <v>191</v>
      </c>
      <c r="F430">
        <v>0.19339999999999599</v>
      </c>
      <c r="G430">
        <v>1.12474437627801</v>
      </c>
      <c r="H430">
        <v>1</v>
      </c>
      <c r="I430">
        <v>0.53714289999999998</v>
      </c>
      <c r="J430">
        <v>2005</v>
      </c>
      <c r="K430">
        <v>10</v>
      </c>
      <c r="L430">
        <v>24</v>
      </c>
      <c r="M430" t="s">
        <v>92</v>
      </c>
      <c r="N430">
        <v>0</v>
      </c>
      <c r="O430">
        <v>0</v>
      </c>
    </row>
    <row r="431" spans="1:15" x14ac:dyDescent="0.3">
      <c r="A431">
        <v>526</v>
      </c>
      <c r="B431" s="34">
        <v>38650</v>
      </c>
      <c r="C431">
        <v>1.198</v>
      </c>
      <c r="D431">
        <v>0</v>
      </c>
      <c r="F431">
        <v>0.19339999999999599</v>
      </c>
      <c r="G431">
        <v>1.12474437627801</v>
      </c>
      <c r="H431">
        <v>1</v>
      </c>
      <c r="I431">
        <v>0.53802280000000002</v>
      </c>
      <c r="J431">
        <v>2005</v>
      </c>
      <c r="K431">
        <v>10</v>
      </c>
      <c r="L431">
        <v>25</v>
      </c>
      <c r="M431" t="s">
        <v>93</v>
      </c>
      <c r="N431">
        <v>0</v>
      </c>
      <c r="O431">
        <v>0</v>
      </c>
    </row>
    <row r="432" spans="1:15" x14ac:dyDescent="0.3">
      <c r="A432">
        <v>527</v>
      </c>
      <c r="B432" s="34">
        <v>38651</v>
      </c>
      <c r="C432">
        <v>1.2111000000000001</v>
      </c>
      <c r="D432">
        <v>-3</v>
      </c>
      <c r="F432">
        <v>0.198599999999996</v>
      </c>
      <c r="G432">
        <v>0</v>
      </c>
      <c r="H432">
        <v>1</v>
      </c>
      <c r="I432">
        <v>0.53889940000000003</v>
      </c>
      <c r="J432">
        <v>2005</v>
      </c>
      <c r="K432">
        <v>10</v>
      </c>
      <c r="L432">
        <v>26</v>
      </c>
      <c r="M432" t="s">
        <v>89</v>
      </c>
      <c r="N432">
        <v>0</v>
      </c>
      <c r="O432">
        <v>0</v>
      </c>
    </row>
    <row r="433" spans="1:15" x14ac:dyDescent="0.3">
      <c r="A433">
        <v>528</v>
      </c>
      <c r="B433" s="34">
        <v>38652</v>
      </c>
      <c r="C433">
        <v>1.2059</v>
      </c>
      <c r="D433">
        <v>0</v>
      </c>
      <c r="F433">
        <v>0.198599999999996</v>
      </c>
      <c r="G433">
        <v>0</v>
      </c>
      <c r="H433">
        <v>1</v>
      </c>
      <c r="I433">
        <v>0.53977269999999999</v>
      </c>
      <c r="J433">
        <v>2005</v>
      </c>
      <c r="K433">
        <v>10</v>
      </c>
      <c r="L433">
        <v>27</v>
      </c>
      <c r="M433" t="s">
        <v>90</v>
      </c>
      <c r="N433">
        <v>0</v>
      </c>
      <c r="O433">
        <v>0</v>
      </c>
    </row>
    <row r="434" spans="1:15" x14ac:dyDescent="0.3">
      <c r="A434">
        <v>529</v>
      </c>
      <c r="B434" s="34">
        <v>38653</v>
      </c>
      <c r="C434">
        <v>1.2138</v>
      </c>
      <c r="D434">
        <v>-3</v>
      </c>
      <c r="F434">
        <v>0.20579999999999599</v>
      </c>
      <c r="G434">
        <v>0</v>
      </c>
      <c r="H434">
        <v>0</v>
      </c>
      <c r="I434">
        <v>0.53875240000000002</v>
      </c>
      <c r="J434">
        <v>2005</v>
      </c>
      <c r="K434">
        <v>10</v>
      </c>
      <c r="L434">
        <v>28</v>
      </c>
      <c r="M434" t="s">
        <v>91</v>
      </c>
      <c r="N434">
        <v>0</v>
      </c>
      <c r="O434">
        <v>0</v>
      </c>
    </row>
    <row r="435" spans="1:15" x14ac:dyDescent="0.3">
      <c r="A435">
        <v>530</v>
      </c>
      <c r="B435" s="34">
        <v>38656</v>
      </c>
      <c r="C435">
        <v>1.2065999999999999</v>
      </c>
      <c r="D435">
        <v>0</v>
      </c>
      <c r="F435">
        <v>0.20579999999999599</v>
      </c>
      <c r="G435">
        <v>0</v>
      </c>
      <c r="H435">
        <v>1</v>
      </c>
      <c r="I435">
        <v>0.53962270000000001</v>
      </c>
      <c r="J435">
        <v>2005</v>
      </c>
      <c r="K435">
        <v>10</v>
      </c>
      <c r="L435">
        <v>31</v>
      </c>
      <c r="M435" t="s">
        <v>92</v>
      </c>
      <c r="N435">
        <v>0</v>
      </c>
      <c r="O435">
        <v>0</v>
      </c>
    </row>
    <row r="436" spans="1:15" x14ac:dyDescent="0.3">
      <c r="A436">
        <v>531</v>
      </c>
      <c r="B436" s="34">
        <v>38657</v>
      </c>
      <c r="C436">
        <v>1.1983999999999999</v>
      </c>
      <c r="D436">
        <v>6</v>
      </c>
      <c r="E436" t="s">
        <v>192</v>
      </c>
      <c r="F436">
        <v>0.21109999999999601</v>
      </c>
      <c r="G436">
        <v>0</v>
      </c>
      <c r="H436">
        <v>1</v>
      </c>
      <c r="I436">
        <v>0.54048960000000001</v>
      </c>
      <c r="J436">
        <v>2005</v>
      </c>
      <c r="K436">
        <v>11</v>
      </c>
      <c r="L436">
        <v>1</v>
      </c>
      <c r="M436" t="s">
        <v>93</v>
      </c>
      <c r="N436">
        <v>0</v>
      </c>
      <c r="O436">
        <v>0</v>
      </c>
    </row>
    <row r="437" spans="1:15" x14ac:dyDescent="0.3">
      <c r="A437">
        <v>532</v>
      </c>
      <c r="B437" s="34">
        <v>38658</v>
      </c>
      <c r="C437">
        <v>1.2037</v>
      </c>
      <c r="D437">
        <v>0</v>
      </c>
      <c r="F437">
        <v>0.21109999999999601</v>
      </c>
      <c r="G437">
        <v>0</v>
      </c>
      <c r="H437">
        <v>1</v>
      </c>
      <c r="I437">
        <v>0.54135339999999998</v>
      </c>
      <c r="J437">
        <v>2005</v>
      </c>
      <c r="K437">
        <v>11</v>
      </c>
      <c r="L437">
        <v>2</v>
      </c>
      <c r="M437" t="s">
        <v>89</v>
      </c>
      <c r="N437">
        <v>0</v>
      </c>
      <c r="O437">
        <v>0</v>
      </c>
    </row>
    <row r="438" spans="1:15" x14ac:dyDescent="0.3">
      <c r="A438">
        <v>533</v>
      </c>
      <c r="B438" s="34">
        <v>38659</v>
      </c>
      <c r="C438">
        <v>1.2073</v>
      </c>
      <c r="D438">
        <v>-2</v>
      </c>
      <c r="F438">
        <v>0.22419999999999601</v>
      </c>
      <c r="G438">
        <v>0</v>
      </c>
      <c r="H438">
        <v>1</v>
      </c>
      <c r="I438">
        <v>0.54221390000000003</v>
      </c>
      <c r="J438">
        <v>2005</v>
      </c>
      <c r="K438">
        <v>11</v>
      </c>
      <c r="L438">
        <v>3</v>
      </c>
      <c r="M438" t="s">
        <v>90</v>
      </c>
      <c r="N438">
        <v>0</v>
      </c>
      <c r="O438">
        <v>0</v>
      </c>
    </row>
    <row r="439" spans="1:15" x14ac:dyDescent="0.3">
      <c r="A439">
        <v>534</v>
      </c>
      <c r="B439" s="34">
        <v>38660</v>
      </c>
      <c r="C439">
        <v>1.1941999999999999</v>
      </c>
      <c r="D439">
        <v>1</v>
      </c>
      <c r="E439" t="s">
        <v>193</v>
      </c>
      <c r="F439">
        <v>0.210999999999996</v>
      </c>
      <c r="G439">
        <v>5.8876003568242901</v>
      </c>
      <c r="H439">
        <v>1</v>
      </c>
      <c r="I439">
        <v>0.54307119999999998</v>
      </c>
      <c r="J439">
        <v>2005</v>
      </c>
      <c r="K439">
        <v>11</v>
      </c>
      <c r="L439">
        <v>4</v>
      </c>
      <c r="M439" t="s">
        <v>91</v>
      </c>
      <c r="N439">
        <v>0</v>
      </c>
      <c r="O439">
        <v>0</v>
      </c>
    </row>
    <row r="440" spans="1:15" x14ac:dyDescent="0.3">
      <c r="A440">
        <v>535</v>
      </c>
      <c r="B440" s="34">
        <v>38663</v>
      </c>
      <c r="C440">
        <v>1.181</v>
      </c>
      <c r="D440">
        <v>0</v>
      </c>
      <c r="F440">
        <v>0.210999999999996</v>
      </c>
      <c r="G440">
        <v>5.8876003568242901</v>
      </c>
      <c r="H440">
        <v>0</v>
      </c>
      <c r="I440">
        <v>0.54205610000000004</v>
      </c>
      <c r="J440">
        <v>2005</v>
      </c>
      <c r="K440">
        <v>11</v>
      </c>
      <c r="L440">
        <v>7</v>
      </c>
      <c r="M440" t="s">
        <v>92</v>
      </c>
      <c r="N440">
        <v>0</v>
      </c>
      <c r="O440">
        <v>0</v>
      </c>
    </row>
    <row r="441" spans="1:15" x14ac:dyDescent="0.3">
      <c r="A441">
        <v>536</v>
      </c>
      <c r="B441" s="34">
        <v>38664</v>
      </c>
      <c r="C441">
        <v>1.1788000000000001</v>
      </c>
      <c r="D441">
        <v>0</v>
      </c>
      <c r="F441">
        <v>0.210999999999996</v>
      </c>
      <c r="G441">
        <v>5.8876003568242901</v>
      </c>
      <c r="H441">
        <v>0</v>
      </c>
      <c r="I441">
        <v>0.54104479999999999</v>
      </c>
      <c r="J441">
        <v>2005</v>
      </c>
      <c r="K441">
        <v>11</v>
      </c>
      <c r="L441">
        <v>8</v>
      </c>
      <c r="M441" t="s">
        <v>93</v>
      </c>
      <c r="N441">
        <v>0</v>
      </c>
      <c r="O441">
        <v>0</v>
      </c>
    </row>
    <row r="442" spans="1:15" x14ac:dyDescent="0.3">
      <c r="A442">
        <v>537</v>
      </c>
      <c r="B442" s="34">
        <v>38665</v>
      </c>
      <c r="C442">
        <v>1.1778999999999999</v>
      </c>
      <c r="D442">
        <v>-1</v>
      </c>
      <c r="F442">
        <v>0.21209999999999599</v>
      </c>
      <c r="G442">
        <v>5.3969669937556501</v>
      </c>
      <c r="H442">
        <v>0</v>
      </c>
      <c r="I442">
        <v>0.5400372</v>
      </c>
      <c r="J442">
        <v>2005</v>
      </c>
      <c r="K442">
        <v>11</v>
      </c>
      <c r="L442">
        <v>9</v>
      </c>
      <c r="M442" t="s">
        <v>89</v>
      </c>
      <c r="N442">
        <v>0</v>
      </c>
      <c r="O442">
        <v>0</v>
      </c>
    </row>
    <row r="443" spans="1:15" x14ac:dyDescent="0.3">
      <c r="A443">
        <v>538</v>
      </c>
      <c r="B443" s="34">
        <v>38666</v>
      </c>
      <c r="C443">
        <v>1.1768000000000001</v>
      </c>
      <c r="D443">
        <v>2</v>
      </c>
      <c r="E443" t="s">
        <v>194</v>
      </c>
      <c r="F443">
        <v>0.204399999999996</v>
      </c>
      <c r="G443">
        <v>8.8314005352365399</v>
      </c>
      <c r="H443">
        <v>1</v>
      </c>
      <c r="I443">
        <v>0.54089220000000005</v>
      </c>
      <c r="J443">
        <v>2005</v>
      </c>
      <c r="K443">
        <v>11</v>
      </c>
      <c r="L443">
        <v>10</v>
      </c>
      <c r="M443" t="s">
        <v>90</v>
      </c>
      <c r="N443">
        <v>0</v>
      </c>
      <c r="O443">
        <v>0</v>
      </c>
    </row>
    <row r="444" spans="1:15" x14ac:dyDescent="0.3">
      <c r="A444">
        <v>539</v>
      </c>
      <c r="B444" s="34">
        <v>38667</v>
      </c>
      <c r="C444">
        <v>1.1691</v>
      </c>
      <c r="D444">
        <v>7</v>
      </c>
      <c r="E444" t="s">
        <v>195</v>
      </c>
      <c r="F444">
        <v>0.20909999999999601</v>
      </c>
      <c r="G444">
        <v>6.7350579839430598</v>
      </c>
      <c r="H444">
        <v>0</v>
      </c>
      <c r="I444">
        <v>0.5398887</v>
      </c>
      <c r="J444">
        <v>2005</v>
      </c>
      <c r="K444">
        <v>11</v>
      </c>
      <c r="L444">
        <v>11</v>
      </c>
      <c r="M444" t="s">
        <v>91</v>
      </c>
      <c r="N444">
        <v>0</v>
      </c>
      <c r="O444">
        <v>0</v>
      </c>
    </row>
    <row r="445" spans="1:15" x14ac:dyDescent="0.3">
      <c r="A445">
        <v>540</v>
      </c>
      <c r="B445" s="34">
        <v>38670</v>
      </c>
      <c r="C445">
        <v>1.1738</v>
      </c>
      <c r="D445">
        <v>0</v>
      </c>
      <c r="F445">
        <v>0.20909999999999601</v>
      </c>
      <c r="G445">
        <v>6.7350579839430598</v>
      </c>
      <c r="H445">
        <v>1</v>
      </c>
      <c r="I445">
        <v>0.54074069999999996</v>
      </c>
      <c r="J445">
        <v>2005</v>
      </c>
      <c r="K445">
        <v>11</v>
      </c>
      <c r="L445">
        <v>14</v>
      </c>
      <c r="M445" t="s">
        <v>92</v>
      </c>
      <c r="N445">
        <v>0</v>
      </c>
      <c r="O445">
        <v>0</v>
      </c>
    </row>
    <row r="446" spans="1:15" x14ac:dyDescent="0.3">
      <c r="A446">
        <v>541</v>
      </c>
      <c r="B446" s="34">
        <v>38671</v>
      </c>
      <c r="C446">
        <v>1.1695</v>
      </c>
      <c r="D446">
        <v>2</v>
      </c>
      <c r="E446" t="s">
        <v>196</v>
      </c>
      <c r="F446">
        <v>0.211499999999996</v>
      </c>
      <c r="G446">
        <v>5.66458519179319</v>
      </c>
      <c r="H446">
        <v>1</v>
      </c>
      <c r="I446">
        <v>0.54158969999999995</v>
      </c>
      <c r="J446">
        <v>2005</v>
      </c>
      <c r="K446">
        <v>11</v>
      </c>
      <c r="L446">
        <v>15</v>
      </c>
      <c r="M446" t="s">
        <v>93</v>
      </c>
      <c r="N446">
        <v>0</v>
      </c>
      <c r="O446">
        <v>0</v>
      </c>
    </row>
    <row r="447" spans="1:15" x14ac:dyDescent="0.3">
      <c r="A447">
        <v>542</v>
      </c>
      <c r="B447" s="34">
        <v>38672</v>
      </c>
      <c r="C447">
        <v>1.1718999999999999</v>
      </c>
      <c r="D447">
        <v>0</v>
      </c>
      <c r="F447">
        <v>0.211499999999996</v>
      </c>
      <c r="G447">
        <v>5.66458519179319</v>
      </c>
      <c r="H447">
        <v>1</v>
      </c>
      <c r="I447">
        <v>0.54243540000000001</v>
      </c>
      <c r="J447">
        <v>2005</v>
      </c>
      <c r="K447">
        <v>11</v>
      </c>
      <c r="L447">
        <v>16</v>
      </c>
      <c r="M447" t="s">
        <v>89</v>
      </c>
      <c r="N447">
        <v>0</v>
      </c>
      <c r="O447">
        <v>0</v>
      </c>
    </row>
    <row r="448" spans="1:15" x14ac:dyDescent="0.3">
      <c r="A448">
        <v>543</v>
      </c>
      <c r="B448" s="34">
        <v>38673</v>
      </c>
      <c r="C448">
        <v>1.1672</v>
      </c>
      <c r="D448">
        <v>6</v>
      </c>
      <c r="E448" t="s">
        <v>197</v>
      </c>
      <c r="F448">
        <v>0.21869999999999601</v>
      </c>
      <c r="G448">
        <v>2.4531668153434998</v>
      </c>
      <c r="H448">
        <v>0</v>
      </c>
      <c r="I448">
        <v>0.54143649999999999</v>
      </c>
      <c r="J448">
        <v>2005</v>
      </c>
      <c r="K448">
        <v>11</v>
      </c>
      <c r="L448">
        <v>17</v>
      </c>
      <c r="M448" t="s">
        <v>90</v>
      </c>
      <c r="N448">
        <v>0</v>
      </c>
      <c r="O448">
        <v>0</v>
      </c>
    </row>
    <row r="449" spans="1:15" x14ac:dyDescent="0.3">
      <c r="A449">
        <v>544</v>
      </c>
      <c r="B449" s="34">
        <v>38674</v>
      </c>
      <c r="C449">
        <v>1.1744000000000001</v>
      </c>
      <c r="D449">
        <v>0</v>
      </c>
      <c r="F449">
        <v>0.21869999999999601</v>
      </c>
      <c r="G449">
        <v>2.4531668153434998</v>
      </c>
      <c r="H449">
        <v>1</v>
      </c>
      <c r="I449">
        <v>0.54227939999999997</v>
      </c>
      <c r="J449">
        <v>2005</v>
      </c>
      <c r="K449">
        <v>11</v>
      </c>
      <c r="L449">
        <v>18</v>
      </c>
      <c r="M449" t="s">
        <v>91</v>
      </c>
      <c r="N449">
        <v>0</v>
      </c>
      <c r="O449">
        <v>0</v>
      </c>
    </row>
    <row r="450" spans="1:15" x14ac:dyDescent="0.3">
      <c r="A450">
        <v>545</v>
      </c>
      <c r="B450" s="34">
        <v>38677</v>
      </c>
      <c r="C450">
        <v>1.1771</v>
      </c>
      <c r="D450">
        <v>0</v>
      </c>
      <c r="F450">
        <v>0.21869999999999601</v>
      </c>
      <c r="G450">
        <v>2.4531668153434998</v>
      </c>
      <c r="H450">
        <v>0</v>
      </c>
      <c r="I450">
        <v>0.5412844</v>
      </c>
      <c r="J450">
        <v>2005</v>
      </c>
      <c r="K450">
        <v>11</v>
      </c>
      <c r="L450">
        <v>21</v>
      </c>
      <c r="M450" t="s">
        <v>92</v>
      </c>
      <c r="N450">
        <v>0</v>
      </c>
      <c r="O450">
        <v>0</v>
      </c>
    </row>
    <row r="451" spans="1:15" x14ac:dyDescent="0.3">
      <c r="A451">
        <v>546</v>
      </c>
      <c r="B451" s="34">
        <v>38678</v>
      </c>
      <c r="C451">
        <v>1.1728000000000001</v>
      </c>
      <c r="D451">
        <v>0</v>
      </c>
      <c r="F451">
        <v>0.21869999999999601</v>
      </c>
      <c r="G451">
        <v>2.4531668153434998</v>
      </c>
      <c r="H451">
        <v>1</v>
      </c>
      <c r="I451">
        <v>0.54212459999999996</v>
      </c>
      <c r="J451">
        <v>2005</v>
      </c>
      <c r="K451">
        <v>11</v>
      </c>
      <c r="L451">
        <v>22</v>
      </c>
      <c r="M451" t="s">
        <v>93</v>
      </c>
      <c r="N451">
        <v>0</v>
      </c>
      <c r="O451">
        <v>0</v>
      </c>
    </row>
    <row r="452" spans="1:15" x14ac:dyDescent="0.3">
      <c r="A452">
        <v>547</v>
      </c>
      <c r="B452" s="34">
        <v>38679</v>
      </c>
      <c r="C452">
        <v>1.1819999999999999</v>
      </c>
      <c r="D452">
        <v>-12</v>
      </c>
      <c r="F452">
        <v>0.21959999999999599</v>
      </c>
      <c r="G452">
        <v>2.0517395182873401</v>
      </c>
      <c r="H452">
        <v>1</v>
      </c>
      <c r="I452">
        <v>0.54296160000000004</v>
      </c>
      <c r="J452">
        <v>2005</v>
      </c>
      <c r="K452">
        <v>11</v>
      </c>
      <c r="L452">
        <v>23</v>
      </c>
      <c r="M452" t="s">
        <v>89</v>
      </c>
      <c r="N452">
        <v>0</v>
      </c>
      <c r="O452">
        <v>0</v>
      </c>
    </row>
    <row r="453" spans="1:15" x14ac:dyDescent="0.3">
      <c r="A453">
        <v>548</v>
      </c>
      <c r="B453" s="34">
        <v>38680</v>
      </c>
      <c r="C453">
        <v>1.1811</v>
      </c>
      <c r="D453">
        <v>0</v>
      </c>
      <c r="F453">
        <v>0.21959999999999599</v>
      </c>
      <c r="G453">
        <v>2.0517395182873401</v>
      </c>
      <c r="H453">
        <v>1</v>
      </c>
      <c r="I453">
        <v>0.54379560000000005</v>
      </c>
      <c r="J453">
        <v>2005</v>
      </c>
      <c r="K453">
        <v>11</v>
      </c>
      <c r="L453">
        <v>24</v>
      </c>
      <c r="M453" t="s">
        <v>90</v>
      </c>
      <c r="N453">
        <v>0</v>
      </c>
      <c r="O453">
        <v>0</v>
      </c>
    </row>
    <row r="454" spans="1:15" x14ac:dyDescent="0.3">
      <c r="A454">
        <v>549</v>
      </c>
      <c r="B454" s="34">
        <v>38681</v>
      </c>
      <c r="C454">
        <v>1.1778999999999999</v>
      </c>
      <c r="D454">
        <v>0</v>
      </c>
      <c r="F454">
        <v>0.21959999999999599</v>
      </c>
      <c r="G454">
        <v>2.0517395182873401</v>
      </c>
      <c r="H454">
        <v>1</v>
      </c>
      <c r="I454">
        <v>0.54462659999999996</v>
      </c>
      <c r="J454">
        <v>2005</v>
      </c>
      <c r="K454">
        <v>11</v>
      </c>
      <c r="L454">
        <v>25</v>
      </c>
      <c r="M454" t="s">
        <v>91</v>
      </c>
      <c r="N454">
        <v>0</v>
      </c>
      <c r="O454">
        <v>0</v>
      </c>
    </row>
    <row r="455" spans="1:15" x14ac:dyDescent="0.3">
      <c r="A455">
        <v>550</v>
      </c>
      <c r="B455" s="34">
        <v>38684</v>
      </c>
      <c r="C455">
        <v>1.1718999999999999</v>
      </c>
      <c r="D455">
        <v>4</v>
      </c>
      <c r="E455" t="s">
        <v>198</v>
      </c>
      <c r="F455">
        <v>0.23249999999999599</v>
      </c>
      <c r="G455">
        <v>0</v>
      </c>
      <c r="H455">
        <v>0</v>
      </c>
      <c r="I455">
        <v>0.54363640000000002</v>
      </c>
      <c r="J455">
        <v>2005</v>
      </c>
      <c r="K455">
        <v>11</v>
      </c>
      <c r="L455">
        <v>28</v>
      </c>
      <c r="M455" t="s">
        <v>92</v>
      </c>
      <c r="N455">
        <v>0</v>
      </c>
      <c r="O455">
        <v>0</v>
      </c>
    </row>
    <row r="456" spans="1:15" x14ac:dyDescent="0.3">
      <c r="A456">
        <v>551</v>
      </c>
      <c r="B456" s="34">
        <v>38685</v>
      </c>
      <c r="C456">
        <v>1.1848000000000001</v>
      </c>
      <c r="D456">
        <v>0</v>
      </c>
      <c r="F456">
        <v>0.23249999999999599</v>
      </c>
      <c r="G456">
        <v>0</v>
      </c>
      <c r="H456">
        <v>1</v>
      </c>
      <c r="I456">
        <v>0.54446459999999997</v>
      </c>
      <c r="J456">
        <v>2005</v>
      </c>
      <c r="K456">
        <v>11</v>
      </c>
      <c r="L456">
        <v>29</v>
      </c>
      <c r="M456" t="s">
        <v>93</v>
      </c>
      <c r="N456">
        <v>0</v>
      </c>
      <c r="O456">
        <v>0</v>
      </c>
    </row>
    <row r="457" spans="1:15" x14ac:dyDescent="0.3">
      <c r="A457">
        <v>552</v>
      </c>
      <c r="B457" s="34">
        <v>38686</v>
      </c>
      <c r="C457">
        <v>1.1765000000000001</v>
      </c>
      <c r="D457">
        <v>0</v>
      </c>
      <c r="F457">
        <v>0.23249999999999599</v>
      </c>
      <c r="G457">
        <v>0</v>
      </c>
      <c r="H457">
        <v>1</v>
      </c>
      <c r="I457">
        <v>0.54528989999999999</v>
      </c>
      <c r="J457">
        <v>2005</v>
      </c>
      <c r="K457">
        <v>11</v>
      </c>
      <c r="L457">
        <v>30</v>
      </c>
      <c r="M457" t="s">
        <v>89</v>
      </c>
      <c r="N457">
        <v>0</v>
      </c>
      <c r="O457">
        <v>0</v>
      </c>
    </row>
    <row r="458" spans="1:15" x14ac:dyDescent="0.3">
      <c r="A458">
        <v>553</v>
      </c>
      <c r="B458" s="34">
        <v>38687</v>
      </c>
      <c r="C458">
        <v>1.179</v>
      </c>
      <c r="D458">
        <v>-2</v>
      </c>
      <c r="F458">
        <v>0.23759999999999601</v>
      </c>
      <c r="G458">
        <v>0</v>
      </c>
      <c r="H458">
        <v>1</v>
      </c>
      <c r="I458">
        <v>0.54611209999999999</v>
      </c>
      <c r="J458">
        <v>2005</v>
      </c>
      <c r="K458">
        <v>12</v>
      </c>
      <c r="L458">
        <v>1</v>
      </c>
      <c r="M458" t="s">
        <v>90</v>
      </c>
      <c r="N458">
        <v>0</v>
      </c>
      <c r="O458">
        <v>0</v>
      </c>
    </row>
    <row r="459" spans="1:15" x14ac:dyDescent="0.3">
      <c r="A459">
        <v>554</v>
      </c>
      <c r="B459" s="34">
        <v>38688</v>
      </c>
      <c r="C459">
        <v>1.1738999999999999</v>
      </c>
      <c r="D459">
        <v>5</v>
      </c>
      <c r="E459" t="s">
        <v>199</v>
      </c>
      <c r="F459">
        <v>0.234699999999996</v>
      </c>
      <c r="G459">
        <v>1.2205387205386899</v>
      </c>
      <c r="H459">
        <v>1</v>
      </c>
      <c r="I459">
        <v>0.54693139999999996</v>
      </c>
      <c r="J459">
        <v>2005</v>
      </c>
      <c r="K459">
        <v>12</v>
      </c>
      <c r="L459">
        <v>2</v>
      </c>
      <c r="M459" t="s">
        <v>91</v>
      </c>
      <c r="N459">
        <v>0</v>
      </c>
      <c r="O459">
        <v>0</v>
      </c>
    </row>
    <row r="460" spans="1:15" x14ac:dyDescent="0.3">
      <c r="A460">
        <v>555</v>
      </c>
      <c r="B460" s="34">
        <v>38691</v>
      </c>
      <c r="C460">
        <v>1.171</v>
      </c>
      <c r="D460">
        <v>0</v>
      </c>
      <c r="F460">
        <v>0.234699999999996</v>
      </c>
      <c r="G460">
        <v>1.2205387205386899</v>
      </c>
      <c r="H460">
        <v>0</v>
      </c>
      <c r="I460">
        <v>0.54594589999999998</v>
      </c>
      <c r="J460">
        <v>2005</v>
      </c>
      <c r="K460">
        <v>12</v>
      </c>
      <c r="L460">
        <v>5</v>
      </c>
      <c r="M460" t="s">
        <v>92</v>
      </c>
      <c r="N460">
        <v>0</v>
      </c>
      <c r="O460">
        <v>0</v>
      </c>
    </row>
    <row r="461" spans="1:15" x14ac:dyDescent="0.3">
      <c r="A461">
        <v>556</v>
      </c>
      <c r="B461" s="34">
        <v>38692</v>
      </c>
      <c r="C461">
        <v>1.1792</v>
      </c>
      <c r="D461">
        <v>0</v>
      </c>
      <c r="F461">
        <v>0.234699999999996</v>
      </c>
      <c r="G461">
        <v>1.2205387205386899</v>
      </c>
      <c r="H461">
        <v>1</v>
      </c>
      <c r="I461">
        <v>0.54676259999999999</v>
      </c>
      <c r="J461">
        <v>2005</v>
      </c>
      <c r="K461">
        <v>12</v>
      </c>
      <c r="L461">
        <v>6</v>
      </c>
      <c r="M461" t="s">
        <v>93</v>
      </c>
      <c r="N461">
        <v>0</v>
      </c>
      <c r="O461">
        <v>0</v>
      </c>
    </row>
    <row r="462" spans="1:15" x14ac:dyDescent="0.3">
      <c r="A462">
        <v>557</v>
      </c>
      <c r="B462" s="34">
        <v>38693</v>
      </c>
      <c r="C462">
        <v>1.1779999999999999</v>
      </c>
      <c r="D462">
        <v>0</v>
      </c>
      <c r="F462">
        <v>0.234699999999996</v>
      </c>
      <c r="G462">
        <v>1.2205387205386899</v>
      </c>
      <c r="H462">
        <v>1</v>
      </c>
      <c r="I462">
        <v>0.54757630000000002</v>
      </c>
      <c r="J462">
        <v>2005</v>
      </c>
      <c r="K462">
        <v>12</v>
      </c>
      <c r="L462">
        <v>7</v>
      </c>
      <c r="M462" t="s">
        <v>89</v>
      </c>
      <c r="N462">
        <v>0</v>
      </c>
      <c r="O462">
        <v>0</v>
      </c>
    </row>
    <row r="463" spans="1:15" x14ac:dyDescent="0.3">
      <c r="A463">
        <v>558</v>
      </c>
      <c r="B463" s="34">
        <v>38694</v>
      </c>
      <c r="C463">
        <v>1.1713</v>
      </c>
      <c r="D463">
        <v>1</v>
      </c>
      <c r="E463" t="s">
        <v>200</v>
      </c>
      <c r="F463">
        <v>0.245199999999996</v>
      </c>
      <c r="G463">
        <v>0</v>
      </c>
      <c r="H463">
        <v>1</v>
      </c>
      <c r="I463">
        <v>0.54838710000000002</v>
      </c>
      <c r="J463">
        <v>2005</v>
      </c>
      <c r="K463">
        <v>12</v>
      </c>
      <c r="L463">
        <v>8</v>
      </c>
      <c r="M463" t="s">
        <v>90</v>
      </c>
      <c r="N463">
        <v>0</v>
      </c>
      <c r="O463">
        <v>0</v>
      </c>
    </row>
    <row r="464" spans="1:15" x14ac:dyDescent="0.3">
      <c r="A464">
        <v>559</v>
      </c>
      <c r="B464" s="34">
        <v>38695</v>
      </c>
      <c r="C464">
        <v>1.1818</v>
      </c>
      <c r="D464">
        <v>0</v>
      </c>
      <c r="F464">
        <v>0.245199999999996</v>
      </c>
      <c r="G464">
        <v>0</v>
      </c>
      <c r="H464">
        <v>1</v>
      </c>
      <c r="I464">
        <v>0.54919499999999999</v>
      </c>
      <c r="J464">
        <v>2005</v>
      </c>
      <c r="K464">
        <v>12</v>
      </c>
      <c r="L464">
        <v>9</v>
      </c>
      <c r="M464" t="s">
        <v>91</v>
      </c>
      <c r="N464">
        <v>0</v>
      </c>
      <c r="O464">
        <v>0</v>
      </c>
    </row>
    <row r="465" spans="1:15" x14ac:dyDescent="0.3">
      <c r="A465">
        <v>560</v>
      </c>
      <c r="B465" s="34">
        <v>38698</v>
      </c>
      <c r="C465">
        <v>1.1815</v>
      </c>
      <c r="D465">
        <v>0</v>
      </c>
      <c r="F465">
        <v>0.245199999999996</v>
      </c>
      <c r="G465">
        <v>0</v>
      </c>
      <c r="H465">
        <v>1</v>
      </c>
      <c r="I465">
        <v>0.55000000000000004</v>
      </c>
      <c r="J465">
        <v>2005</v>
      </c>
      <c r="K465">
        <v>12</v>
      </c>
      <c r="L465">
        <v>12</v>
      </c>
      <c r="M465" t="s">
        <v>92</v>
      </c>
      <c r="N465">
        <v>0</v>
      </c>
      <c r="O465">
        <v>0</v>
      </c>
    </row>
    <row r="466" spans="1:15" x14ac:dyDescent="0.3">
      <c r="A466">
        <v>561</v>
      </c>
      <c r="B466" s="34">
        <v>38699</v>
      </c>
      <c r="C466">
        <v>1.1954</v>
      </c>
      <c r="D466">
        <v>0</v>
      </c>
      <c r="F466">
        <v>0.245199999999996</v>
      </c>
      <c r="G466">
        <v>0</v>
      </c>
      <c r="H466">
        <v>0</v>
      </c>
      <c r="I466">
        <v>0.54901960000000005</v>
      </c>
      <c r="J466">
        <v>2005</v>
      </c>
      <c r="K466">
        <v>12</v>
      </c>
      <c r="L466">
        <v>13</v>
      </c>
      <c r="M466" t="s">
        <v>93</v>
      </c>
      <c r="N466">
        <v>0</v>
      </c>
      <c r="O466">
        <v>0</v>
      </c>
    </row>
    <row r="467" spans="1:15" x14ac:dyDescent="0.3">
      <c r="A467">
        <v>562</v>
      </c>
      <c r="B467" s="34">
        <v>38700</v>
      </c>
      <c r="C467">
        <v>1.1934</v>
      </c>
      <c r="D467">
        <v>0</v>
      </c>
      <c r="F467">
        <v>0.245199999999996</v>
      </c>
      <c r="G467">
        <v>0</v>
      </c>
      <c r="H467">
        <v>1</v>
      </c>
      <c r="I467">
        <v>0.54982209999999998</v>
      </c>
      <c r="J467">
        <v>2005</v>
      </c>
      <c r="K467">
        <v>12</v>
      </c>
      <c r="L467">
        <v>14</v>
      </c>
      <c r="M467" t="s">
        <v>89</v>
      </c>
      <c r="N467">
        <v>0</v>
      </c>
      <c r="O467">
        <v>0</v>
      </c>
    </row>
    <row r="468" spans="1:15" x14ac:dyDescent="0.3">
      <c r="A468">
        <v>563</v>
      </c>
      <c r="B468" s="34">
        <v>38701</v>
      </c>
      <c r="C468">
        <v>1.1994</v>
      </c>
      <c r="D468">
        <v>-2</v>
      </c>
      <c r="F468">
        <v>0.24759999999999599</v>
      </c>
      <c r="G468">
        <v>0</v>
      </c>
      <c r="H468">
        <v>0</v>
      </c>
      <c r="I468">
        <v>0.54884549999999999</v>
      </c>
      <c r="J468">
        <v>2005</v>
      </c>
      <c r="K468">
        <v>12</v>
      </c>
      <c r="L468">
        <v>15</v>
      </c>
      <c r="M468" t="s">
        <v>90</v>
      </c>
      <c r="N468">
        <v>0</v>
      </c>
      <c r="O468">
        <v>0</v>
      </c>
    </row>
    <row r="469" spans="1:15" x14ac:dyDescent="0.3">
      <c r="A469">
        <v>564</v>
      </c>
      <c r="B469" s="34">
        <v>38702</v>
      </c>
      <c r="C469">
        <v>1.1970000000000001</v>
      </c>
      <c r="D469">
        <v>0</v>
      </c>
      <c r="F469">
        <v>0.24759999999999599</v>
      </c>
      <c r="G469">
        <v>0</v>
      </c>
      <c r="H469">
        <v>1</v>
      </c>
      <c r="I469">
        <v>0.54964539999999995</v>
      </c>
      <c r="J469">
        <v>2005</v>
      </c>
      <c r="K469">
        <v>12</v>
      </c>
      <c r="L469">
        <v>16</v>
      </c>
      <c r="M469" t="s">
        <v>91</v>
      </c>
      <c r="N469">
        <v>0</v>
      </c>
      <c r="O469">
        <v>0</v>
      </c>
    </row>
    <row r="470" spans="1:15" x14ac:dyDescent="0.3">
      <c r="A470">
        <v>565</v>
      </c>
      <c r="B470" s="34">
        <v>38705</v>
      </c>
      <c r="C470">
        <v>1.2015</v>
      </c>
      <c r="D470">
        <v>-9</v>
      </c>
      <c r="F470">
        <v>0.24889999999999601</v>
      </c>
      <c r="G470">
        <v>0</v>
      </c>
      <c r="H470">
        <v>0.5</v>
      </c>
      <c r="I470">
        <v>0.54955750000000003</v>
      </c>
      <c r="J470">
        <v>2005</v>
      </c>
      <c r="K470">
        <v>12</v>
      </c>
      <c r="L470">
        <v>19</v>
      </c>
      <c r="M470" t="s">
        <v>92</v>
      </c>
      <c r="N470">
        <v>0</v>
      </c>
      <c r="O470">
        <v>0</v>
      </c>
    </row>
    <row r="471" spans="1:15" x14ac:dyDescent="0.3">
      <c r="A471">
        <v>566</v>
      </c>
      <c r="B471" s="34">
        <v>38706</v>
      </c>
      <c r="C471">
        <v>1.2001999999999999</v>
      </c>
      <c r="D471">
        <v>0</v>
      </c>
      <c r="F471">
        <v>0.24889999999999601</v>
      </c>
      <c r="G471">
        <v>0</v>
      </c>
      <c r="H471">
        <v>1</v>
      </c>
      <c r="I471">
        <v>0.55035330000000005</v>
      </c>
      <c r="J471">
        <v>2005</v>
      </c>
      <c r="K471">
        <v>12</v>
      </c>
      <c r="L471">
        <v>20</v>
      </c>
      <c r="M471" t="s">
        <v>93</v>
      </c>
      <c r="N471">
        <v>0</v>
      </c>
      <c r="O471">
        <v>0</v>
      </c>
    </row>
    <row r="472" spans="1:15" x14ac:dyDescent="0.3">
      <c r="A472">
        <v>567</v>
      </c>
      <c r="B472" s="34">
        <v>38707</v>
      </c>
      <c r="C472">
        <v>1.1861999999999999</v>
      </c>
      <c r="D472">
        <v>12</v>
      </c>
      <c r="E472" t="s">
        <v>201</v>
      </c>
      <c r="F472">
        <v>0.24609999999999599</v>
      </c>
      <c r="G472">
        <v>1.1249497790277001</v>
      </c>
      <c r="H472">
        <v>1</v>
      </c>
      <c r="I472">
        <v>0.55114640000000004</v>
      </c>
      <c r="J472">
        <v>2005</v>
      </c>
      <c r="K472">
        <v>12</v>
      </c>
      <c r="L472">
        <v>21</v>
      </c>
      <c r="M472" t="s">
        <v>89</v>
      </c>
      <c r="N472">
        <v>0</v>
      </c>
      <c r="O472">
        <v>0</v>
      </c>
    </row>
    <row r="473" spans="1:15" x14ac:dyDescent="0.3">
      <c r="A473">
        <v>568</v>
      </c>
      <c r="B473" s="34">
        <v>38708</v>
      </c>
      <c r="C473">
        <v>1.1834</v>
      </c>
      <c r="D473">
        <v>0</v>
      </c>
      <c r="F473">
        <v>0.24609999999999599</v>
      </c>
      <c r="G473">
        <v>1.1249497790277001</v>
      </c>
      <c r="H473">
        <v>0</v>
      </c>
      <c r="I473">
        <v>0.55017609999999995</v>
      </c>
      <c r="J473">
        <v>2005</v>
      </c>
      <c r="K473">
        <v>12</v>
      </c>
      <c r="L473">
        <v>22</v>
      </c>
      <c r="M473" t="s">
        <v>90</v>
      </c>
      <c r="N473">
        <v>0</v>
      </c>
      <c r="O473">
        <v>0</v>
      </c>
    </row>
    <row r="474" spans="1:15" x14ac:dyDescent="0.3">
      <c r="A474">
        <v>569</v>
      </c>
      <c r="B474" s="34">
        <v>38709</v>
      </c>
      <c r="C474">
        <v>1.1873</v>
      </c>
      <c r="D474">
        <v>0</v>
      </c>
      <c r="F474">
        <v>0.24609999999999599</v>
      </c>
      <c r="G474">
        <v>1.1249497790277001</v>
      </c>
      <c r="H474">
        <v>1</v>
      </c>
      <c r="I474">
        <v>0.55096659999999997</v>
      </c>
      <c r="J474">
        <v>2005</v>
      </c>
      <c r="K474">
        <v>12</v>
      </c>
      <c r="L474">
        <v>23</v>
      </c>
      <c r="M474" t="s">
        <v>91</v>
      </c>
      <c r="N474">
        <v>0</v>
      </c>
      <c r="O474">
        <v>0</v>
      </c>
    </row>
    <row r="475" spans="1:15" x14ac:dyDescent="0.3">
      <c r="A475">
        <v>570</v>
      </c>
      <c r="B475" s="34">
        <v>38712</v>
      </c>
      <c r="C475">
        <v>1.1861999999999999</v>
      </c>
      <c r="D475">
        <v>2</v>
      </c>
      <c r="E475" t="s">
        <v>202</v>
      </c>
      <c r="F475">
        <v>0.244699999999997</v>
      </c>
      <c r="G475">
        <v>1.6874246685415</v>
      </c>
      <c r="H475">
        <v>0</v>
      </c>
      <c r="I475">
        <v>0.55000000000000004</v>
      </c>
      <c r="J475">
        <v>2005</v>
      </c>
      <c r="K475">
        <v>12</v>
      </c>
      <c r="L475">
        <v>26</v>
      </c>
      <c r="M475" t="s">
        <v>92</v>
      </c>
      <c r="N475">
        <v>0</v>
      </c>
      <c r="O475">
        <v>0</v>
      </c>
    </row>
    <row r="476" spans="1:15" x14ac:dyDescent="0.3">
      <c r="A476">
        <v>571</v>
      </c>
      <c r="B476" s="34">
        <v>38713</v>
      </c>
      <c r="C476">
        <v>1.1848000000000001</v>
      </c>
      <c r="D476">
        <v>10</v>
      </c>
      <c r="E476" t="s">
        <v>203</v>
      </c>
      <c r="F476">
        <v>0.243199999999996</v>
      </c>
      <c r="G476">
        <v>2.29007633587781</v>
      </c>
      <c r="H476">
        <v>0.5</v>
      </c>
      <c r="I476">
        <v>0.54991250000000003</v>
      </c>
      <c r="J476">
        <v>2005</v>
      </c>
      <c r="K476">
        <v>12</v>
      </c>
      <c r="L476">
        <v>27</v>
      </c>
      <c r="M476" t="s">
        <v>93</v>
      </c>
      <c r="N476">
        <v>0</v>
      </c>
      <c r="O476">
        <v>0</v>
      </c>
    </row>
    <row r="477" spans="1:15" x14ac:dyDescent="0.3">
      <c r="A477">
        <v>572</v>
      </c>
      <c r="B477" s="34">
        <v>38714</v>
      </c>
      <c r="C477">
        <v>1.1833</v>
      </c>
      <c r="D477">
        <v>2</v>
      </c>
      <c r="E477" t="s">
        <v>204</v>
      </c>
      <c r="F477">
        <v>0.243699999999996</v>
      </c>
      <c r="G477">
        <v>2.0891924467657401</v>
      </c>
      <c r="H477">
        <v>0</v>
      </c>
      <c r="I477">
        <v>0.54895099999999997</v>
      </c>
      <c r="J477">
        <v>2005</v>
      </c>
      <c r="K477">
        <v>12</v>
      </c>
      <c r="L477">
        <v>28</v>
      </c>
      <c r="M477" t="s">
        <v>89</v>
      </c>
      <c r="N477">
        <v>0</v>
      </c>
      <c r="O477">
        <v>0</v>
      </c>
    </row>
    <row r="478" spans="1:15" x14ac:dyDescent="0.3">
      <c r="A478">
        <v>573</v>
      </c>
      <c r="B478" s="34">
        <v>38715</v>
      </c>
      <c r="C478">
        <v>1.1838</v>
      </c>
      <c r="D478">
        <v>0</v>
      </c>
      <c r="F478">
        <v>0.243699999999996</v>
      </c>
      <c r="G478">
        <v>2.0891924467657401</v>
      </c>
      <c r="H478">
        <v>1</v>
      </c>
      <c r="I478">
        <v>0.54973819999999995</v>
      </c>
      <c r="J478">
        <v>2005</v>
      </c>
      <c r="K478">
        <v>12</v>
      </c>
      <c r="L478">
        <v>29</v>
      </c>
      <c r="M478" t="s">
        <v>90</v>
      </c>
      <c r="N478">
        <v>0</v>
      </c>
      <c r="O478">
        <v>0</v>
      </c>
    </row>
    <row r="479" spans="1:15" x14ac:dyDescent="0.3">
      <c r="A479">
        <v>574</v>
      </c>
      <c r="B479" s="34">
        <v>38716</v>
      </c>
      <c r="C479">
        <v>1.1840999999999999</v>
      </c>
      <c r="D479">
        <v>-3</v>
      </c>
      <c r="F479">
        <v>0.243999999999996</v>
      </c>
      <c r="G479">
        <v>1.9686621132985</v>
      </c>
      <c r="H479">
        <v>0.5</v>
      </c>
      <c r="I479">
        <v>0.54965160000000002</v>
      </c>
      <c r="J479">
        <v>2005</v>
      </c>
      <c r="K479">
        <v>12</v>
      </c>
      <c r="L479">
        <v>30</v>
      </c>
      <c r="M479" t="s">
        <v>91</v>
      </c>
      <c r="N479">
        <v>0</v>
      </c>
      <c r="O479">
        <v>0</v>
      </c>
    </row>
    <row r="480" spans="1:15" x14ac:dyDescent="0.3">
      <c r="A480">
        <v>575</v>
      </c>
      <c r="B480" s="34">
        <v>38719</v>
      </c>
      <c r="C480">
        <v>1.1838</v>
      </c>
      <c r="D480">
        <v>4</v>
      </c>
      <c r="E480" t="s">
        <v>205</v>
      </c>
      <c r="F480">
        <v>0.24229999999999599</v>
      </c>
      <c r="G480">
        <v>2.6516673362796399</v>
      </c>
      <c r="H480">
        <v>1</v>
      </c>
      <c r="I480">
        <v>0.5504348</v>
      </c>
      <c r="J480">
        <v>2006</v>
      </c>
      <c r="K480">
        <v>1</v>
      </c>
      <c r="L480">
        <v>2</v>
      </c>
      <c r="M480" t="s">
        <v>92</v>
      </c>
      <c r="N480">
        <v>0</v>
      </c>
      <c r="O480">
        <v>0</v>
      </c>
    </row>
    <row r="481" spans="1:15" x14ac:dyDescent="0.3">
      <c r="A481">
        <v>576</v>
      </c>
      <c r="B481" s="34">
        <v>38720</v>
      </c>
      <c r="C481">
        <v>1.1820999999999999</v>
      </c>
      <c r="D481">
        <v>6</v>
      </c>
      <c r="E481" t="s">
        <v>206</v>
      </c>
      <c r="F481">
        <v>0.26169999999999599</v>
      </c>
      <c r="G481">
        <v>0</v>
      </c>
      <c r="H481">
        <v>0.5</v>
      </c>
      <c r="I481">
        <v>0.55034720000000004</v>
      </c>
      <c r="J481">
        <v>2006</v>
      </c>
      <c r="K481">
        <v>1</v>
      </c>
      <c r="L481">
        <v>3</v>
      </c>
      <c r="M481" t="s">
        <v>93</v>
      </c>
      <c r="N481">
        <v>0</v>
      </c>
      <c r="O481">
        <v>0</v>
      </c>
    </row>
    <row r="482" spans="1:15" x14ac:dyDescent="0.3">
      <c r="A482">
        <v>577</v>
      </c>
      <c r="B482" s="34">
        <v>38721</v>
      </c>
      <c r="C482">
        <v>1.2015</v>
      </c>
      <c r="D482">
        <v>0</v>
      </c>
      <c r="F482">
        <v>0.26169999999999599</v>
      </c>
      <c r="G482">
        <v>0</v>
      </c>
      <c r="H482">
        <v>1</v>
      </c>
      <c r="I482">
        <v>0.55112649999999996</v>
      </c>
      <c r="J482">
        <v>2006</v>
      </c>
      <c r="K482">
        <v>1</v>
      </c>
      <c r="L482">
        <v>4</v>
      </c>
      <c r="M482" t="s">
        <v>89</v>
      </c>
      <c r="N482">
        <v>0</v>
      </c>
      <c r="O482">
        <v>0</v>
      </c>
    </row>
    <row r="483" spans="1:15" x14ac:dyDescent="0.3">
      <c r="A483">
        <v>578</v>
      </c>
      <c r="B483" s="34">
        <v>38722</v>
      </c>
      <c r="C483">
        <v>1.2108000000000001</v>
      </c>
      <c r="D483">
        <v>0</v>
      </c>
      <c r="F483">
        <v>0.26169999999999599</v>
      </c>
      <c r="G483">
        <v>0</v>
      </c>
      <c r="H483">
        <v>0</v>
      </c>
      <c r="I483">
        <v>0.55017300000000002</v>
      </c>
      <c r="J483">
        <v>2006</v>
      </c>
      <c r="K483">
        <v>1</v>
      </c>
      <c r="L483">
        <v>5</v>
      </c>
      <c r="M483" t="s">
        <v>90</v>
      </c>
      <c r="N483">
        <v>0</v>
      </c>
      <c r="O483">
        <v>0</v>
      </c>
    </row>
    <row r="484" spans="1:15" x14ac:dyDescent="0.3">
      <c r="A484">
        <v>579</v>
      </c>
      <c r="B484" s="34">
        <v>38723</v>
      </c>
      <c r="C484">
        <v>1.2097</v>
      </c>
      <c r="D484">
        <v>0</v>
      </c>
      <c r="F484">
        <v>0.26169999999999599</v>
      </c>
      <c r="G484">
        <v>0</v>
      </c>
      <c r="H484">
        <v>1</v>
      </c>
      <c r="I484">
        <v>0.55094989999999999</v>
      </c>
      <c r="J484">
        <v>2006</v>
      </c>
      <c r="K484">
        <v>1</v>
      </c>
      <c r="L484">
        <v>6</v>
      </c>
      <c r="M484" t="s">
        <v>91</v>
      </c>
      <c r="N484">
        <v>0</v>
      </c>
      <c r="O484">
        <v>0</v>
      </c>
    </row>
    <row r="485" spans="1:15" x14ac:dyDescent="0.3">
      <c r="A485">
        <v>580</v>
      </c>
      <c r="B485" s="34">
        <v>38726</v>
      </c>
      <c r="C485">
        <v>1.2142999999999999</v>
      </c>
      <c r="D485">
        <v>0</v>
      </c>
      <c r="F485">
        <v>0.26169999999999599</v>
      </c>
      <c r="G485">
        <v>0</v>
      </c>
      <c r="H485">
        <v>0</v>
      </c>
      <c r="I485">
        <v>0.55000000000000004</v>
      </c>
      <c r="J485">
        <v>2006</v>
      </c>
      <c r="K485">
        <v>1</v>
      </c>
      <c r="L485">
        <v>9</v>
      </c>
      <c r="M485" t="s">
        <v>92</v>
      </c>
      <c r="N485">
        <v>0</v>
      </c>
      <c r="O485">
        <v>0</v>
      </c>
    </row>
    <row r="486" spans="1:15" x14ac:dyDescent="0.3">
      <c r="A486">
        <v>581</v>
      </c>
      <c r="B486" s="34">
        <v>38727</v>
      </c>
      <c r="C486">
        <v>1.2081</v>
      </c>
      <c r="D486">
        <v>4</v>
      </c>
      <c r="E486" t="s">
        <v>207</v>
      </c>
      <c r="F486">
        <v>0.25969999999999599</v>
      </c>
      <c r="G486">
        <v>0.76423385555981005</v>
      </c>
      <c r="H486">
        <v>1</v>
      </c>
      <c r="I486">
        <v>0.55077449999999994</v>
      </c>
      <c r="J486">
        <v>2006</v>
      </c>
      <c r="K486">
        <v>1</v>
      </c>
      <c r="L486">
        <v>10</v>
      </c>
      <c r="M486" t="s">
        <v>93</v>
      </c>
      <c r="N486">
        <v>0</v>
      </c>
      <c r="O486">
        <v>0</v>
      </c>
    </row>
    <row r="487" spans="1:15" x14ac:dyDescent="0.3">
      <c r="A487">
        <v>582</v>
      </c>
      <c r="B487" s="34">
        <v>38728</v>
      </c>
      <c r="C487">
        <v>1.2060999999999999</v>
      </c>
      <c r="D487">
        <v>0</v>
      </c>
      <c r="F487">
        <v>0.25969999999999599</v>
      </c>
      <c r="G487">
        <v>0.76423385555981005</v>
      </c>
      <c r="H487">
        <v>0</v>
      </c>
      <c r="I487">
        <v>0.54982819999999999</v>
      </c>
      <c r="J487">
        <v>2006</v>
      </c>
      <c r="K487">
        <v>1</v>
      </c>
      <c r="L487">
        <v>11</v>
      </c>
      <c r="M487" t="s">
        <v>89</v>
      </c>
      <c r="N487">
        <v>0</v>
      </c>
      <c r="O487">
        <v>0</v>
      </c>
    </row>
    <row r="488" spans="1:15" x14ac:dyDescent="0.3">
      <c r="A488">
        <v>583</v>
      </c>
      <c r="B488" s="34">
        <v>38729</v>
      </c>
      <c r="C488">
        <v>1.2141</v>
      </c>
      <c r="D488">
        <v>-1</v>
      </c>
      <c r="F488">
        <v>0.27049999999999602</v>
      </c>
      <c r="G488">
        <v>0</v>
      </c>
      <c r="H488">
        <v>1</v>
      </c>
      <c r="I488">
        <v>0.55060030000000004</v>
      </c>
      <c r="J488">
        <v>2006</v>
      </c>
      <c r="K488">
        <v>1</v>
      </c>
      <c r="L488">
        <v>12</v>
      </c>
      <c r="M488" t="s">
        <v>90</v>
      </c>
      <c r="N488">
        <v>0</v>
      </c>
      <c r="O488">
        <v>0</v>
      </c>
    </row>
    <row r="489" spans="1:15" x14ac:dyDescent="0.3">
      <c r="A489">
        <v>584</v>
      </c>
      <c r="B489" s="34">
        <v>38730</v>
      </c>
      <c r="C489">
        <v>1.2033</v>
      </c>
      <c r="D489">
        <v>0</v>
      </c>
      <c r="F489">
        <v>0.27049999999999602</v>
      </c>
      <c r="G489">
        <v>0</v>
      </c>
      <c r="H489">
        <v>1</v>
      </c>
      <c r="I489">
        <v>0.55136980000000002</v>
      </c>
      <c r="J489">
        <v>2006</v>
      </c>
      <c r="K489">
        <v>1</v>
      </c>
      <c r="L489">
        <v>13</v>
      </c>
      <c r="M489" t="s">
        <v>91</v>
      </c>
      <c r="N489">
        <v>0</v>
      </c>
      <c r="O489">
        <v>0</v>
      </c>
    </row>
    <row r="490" spans="1:15" x14ac:dyDescent="0.3">
      <c r="A490">
        <v>585</v>
      </c>
      <c r="B490" s="34">
        <v>38733</v>
      </c>
      <c r="C490">
        <v>1.2115</v>
      </c>
      <c r="D490">
        <v>0</v>
      </c>
      <c r="F490">
        <v>0.27049999999999602</v>
      </c>
      <c r="G490">
        <v>0</v>
      </c>
      <c r="H490">
        <v>1</v>
      </c>
      <c r="I490">
        <v>0.55213679999999998</v>
      </c>
      <c r="J490">
        <v>2006</v>
      </c>
      <c r="K490">
        <v>1</v>
      </c>
      <c r="L490">
        <v>16</v>
      </c>
      <c r="M490" t="s">
        <v>92</v>
      </c>
      <c r="N490">
        <v>0</v>
      </c>
      <c r="O490">
        <v>0</v>
      </c>
    </row>
    <row r="491" spans="1:15" x14ac:dyDescent="0.3">
      <c r="A491">
        <v>586</v>
      </c>
      <c r="B491" s="34">
        <v>38734</v>
      </c>
      <c r="C491">
        <v>1.2116</v>
      </c>
      <c r="D491">
        <v>0</v>
      </c>
      <c r="F491">
        <v>0.27049999999999602</v>
      </c>
      <c r="G491">
        <v>0</v>
      </c>
      <c r="H491">
        <v>0</v>
      </c>
      <c r="I491">
        <v>0.55119450000000003</v>
      </c>
      <c r="J491">
        <v>2006</v>
      </c>
      <c r="K491">
        <v>1</v>
      </c>
      <c r="L491">
        <v>17</v>
      </c>
      <c r="M491" t="s">
        <v>93</v>
      </c>
      <c r="N491">
        <v>0</v>
      </c>
      <c r="O491">
        <v>0</v>
      </c>
    </row>
    <row r="492" spans="1:15" x14ac:dyDescent="0.3">
      <c r="A492">
        <v>587</v>
      </c>
      <c r="B492" s="34">
        <v>38735</v>
      </c>
      <c r="C492">
        <v>1.2117</v>
      </c>
      <c r="D492">
        <v>2</v>
      </c>
      <c r="E492" t="s">
        <v>208</v>
      </c>
      <c r="F492">
        <v>0.270699999999996</v>
      </c>
      <c r="G492">
        <v>0</v>
      </c>
      <c r="H492">
        <v>0.5</v>
      </c>
      <c r="I492">
        <v>0.55110729999999997</v>
      </c>
      <c r="J492">
        <v>2006</v>
      </c>
      <c r="K492">
        <v>1</v>
      </c>
      <c r="L492">
        <v>18</v>
      </c>
      <c r="M492" t="s">
        <v>89</v>
      </c>
      <c r="N492">
        <v>0</v>
      </c>
      <c r="O492">
        <v>0</v>
      </c>
    </row>
    <row r="493" spans="1:15" x14ac:dyDescent="0.3">
      <c r="A493">
        <v>588</v>
      </c>
      <c r="B493" s="34">
        <v>38736</v>
      </c>
      <c r="C493">
        <v>1.2119</v>
      </c>
      <c r="D493">
        <v>-6</v>
      </c>
      <c r="F493">
        <v>0.27349999999999602</v>
      </c>
      <c r="G493">
        <v>0</v>
      </c>
      <c r="H493">
        <v>0</v>
      </c>
      <c r="I493">
        <v>0.5501701</v>
      </c>
      <c r="J493">
        <v>2006</v>
      </c>
      <c r="K493">
        <v>1</v>
      </c>
      <c r="L493">
        <v>19</v>
      </c>
      <c r="M493" t="s">
        <v>90</v>
      </c>
      <c r="N493">
        <v>0</v>
      </c>
      <c r="O493">
        <v>0</v>
      </c>
    </row>
    <row r="494" spans="1:15" x14ac:dyDescent="0.3">
      <c r="A494">
        <v>589</v>
      </c>
      <c r="B494" s="34">
        <v>38737</v>
      </c>
      <c r="C494">
        <v>1.2091000000000001</v>
      </c>
      <c r="D494">
        <v>7</v>
      </c>
      <c r="E494" t="s">
        <v>209</v>
      </c>
      <c r="F494">
        <v>0.27799999999999597</v>
      </c>
      <c r="G494">
        <v>0</v>
      </c>
      <c r="H494">
        <v>1</v>
      </c>
      <c r="I494">
        <v>0.55093380000000003</v>
      </c>
      <c r="J494">
        <v>2006</v>
      </c>
      <c r="K494">
        <v>1</v>
      </c>
      <c r="L494">
        <v>20</v>
      </c>
      <c r="M494" t="s">
        <v>91</v>
      </c>
      <c r="N494">
        <v>0</v>
      </c>
      <c r="O494">
        <v>0</v>
      </c>
    </row>
    <row r="495" spans="1:15" x14ac:dyDescent="0.3">
      <c r="A495">
        <v>590</v>
      </c>
      <c r="B495" s="34">
        <v>38740</v>
      </c>
      <c r="C495">
        <v>1.2136</v>
      </c>
      <c r="D495">
        <v>-1</v>
      </c>
      <c r="F495">
        <v>0.26189999999999602</v>
      </c>
      <c r="G495">
        <v>5.7913669064748898</v>
      </c>
      <c r="H495">
        <v>1</v>
      </c>
      <c r="I495">
        <v>0.55169489999999999</v>
      </c>
      <c r="J495">
        <v>2006</v>
      </c>
      <c r="K495">
        <v>1</v>
      </c>
      <c r="L495">
        <v>23</v>
      </c>
      <c r="M495" t="s">
        <v>92</v>
      </c>
      <c r="N495">
        <v>0</v>
      </c>
      <c r="O495">
        <v>0</v>
      </c>
    </row>
    <row r="496" spans="1:15" x14ac:dyDescent="0.3">
      <c r="A496">
        <v>591</v>
      </c>
      <c r="B496" s="34">
        <v>38741</v>
      </c>
      <c r="C496">
        <v>1.2297</v>
      </c>
      <c r="D496">
        <v>0</v>
      </c>
      <c r="F496">
        <v>0.26189999999999602</v>
      </c>
      <c r="G496">
        <v>5.7913669064748898</v>
      </c>
      <c r="H496">
        <v>0</v>
      </c>
      <c r="I496">
        <v>0.55076139999999996</v>
      </c>
      <c r="J496">
        <v>2006</v>
      </c>
      <c r="K496">
        <v>1</v>
      </c>
      <c r="L496">
        <v>24</v>
      </c>
      <c r="M496" t="s">
        <v>93</v>
      </c>
      <c r="N496">
        <v>0</v>
      </c>
      <c r="O496">
        <v>0</v>
      </c>
    </row>
    <row r="497" spans="1:15" x14ac:dyDescent="0.3">
      <c r="A497">
        <v>592</v>
      </c>
      <c r="B497" s="34">
        <v>38742</v>
      </c>
      <c r="C497">
        <v>1.2269000000000001</v>
      </c>
      <c r="D497">
        <v>0</v>
      </c>
      <c r="F497">
        <v>0.26189999999999602</v>
      </c>
      <c r="G497">
        <v>5.7913669064748898</v>
      </c>
      <c r="H497">
        <v>1</v>
      </c>
      <c r="I497">
        <v>0.55152029999999996</v>
      </c>
      <c r="J497">
        <v>2006</v>
      </c>
      <c r="K497">
        <v>1</v>
      </c>
      <c r="L497">
        <v>25</v>
      </c>
      <c r="M497" t="s">
        <v>89</v>
      </c>
      <c r="N497">
        <v>0</v>
      </c>
      <c r="O497">
        <v>0</v>
      </c>
    </row>
    <row r="498" spans="1:15" x14ac:dyDescent="0.3">
      <c r="A498">
        <v>593</v>
      </c>
      <c r="B498" s="34">
        <v>38743</v>
      </c>
      <c r="C498">
        <v>1.2242</v>
      </c>
      <c r="D498">
        <v>4</v>
      </c>
      <c r="E498" t="s">
        <v>210</v>
      </c>
      <c r="F498">
        <v>0.25789999999999602</v>
      </c>
      <c r="G498">
        <v>7.2302158273382098</v>
      </c>
      <c r="H498">
        <v>1</v>
      </c>
      <c r="I498">
        <v>0.55227660000000001</v>
      </c>
      <c r="J498">
        <v>2006</v>
      </c>
      <c r="K498">
        <v>1</v>
      </c>
      <c r="L498">
        <v>26</v>
      </c>
      <c r="M498" t="s">
        <v>90</v>
      </c>
      <c r="N498">
        <v>0</v>
      </c>
      <c r="O498">
        <v>0</v>
      </c>
    </row>
    <row r="499" spans="1:15" x14ac:dyDescent="0.3">
      <c r="A499">
        <v>594</v>
      </c>
      <c r="B499" s="34">
        <v>38744</v>
      </c>
      <c r="C499">
        <v>1.2202</v>
      </c>
      <c r="D499">
        <v>3</v>
      </c>
      <c r="E499" t="s">
        <v>211</v>
      </c>
      <c r="F499">
        <v>0.24739999999999601</v>
      </c>
      <c r="G499">
        <v>11.007194244604401</v>
      </c>
      <c r="H499">
        <v>1</v>
      </c>
      <c r="I499">
        <v>0.55303029999999997</v>
      </c>
      <c r="J499">
        <v>2006</v>
      </c>
      <c r="K499">
        <v>1</v>
      </c>
      <c r="L499">
        <v>27</v>
      </c>
      <c r="M499" t="s">
        <v>91</v>
      </c>
      <c r="N499">
        <v>0</v>
      </c>
      <c r="O499">
        <v>0</v>
      </c>
    </row>
    <row r="500" spans="1:15" x14ac:dyDescent="0.3">
      <c r="A500">
        <v>595</v>
      </c>
      <c r="B500" s="34">
        <v>38747</v>
      </c>
      <c r="C500">
        <v>1.2097</v>
      </c>
      <c r="D500">
        <v>3</v>
      </c>
      <c r="E500" t="s">
        <v>212</v>
      </c>
      <c r="F500">
        <v>0.24709999999999599</v>
      </c>
      <c r="G500">
        <v>11.1151079136691</v>
      </c>
      <c r="H500">
        <v>0</v>
      </c>
      <c r="I500">
        <v>0.55210079999999995</v>
      </c>
      <c r="J500">
        <v>2006</v>
      </c>
      <c r="K500">
        <v>1</v>
      </c>
      <c r="L500">
        <v>30</v>
      </c>
      <c r="M500" t="s">
        <v>92</v>
      </c>
      <c r="N500">
        <v>0</v>
      </c>
      <c r="O500">
        <v>0</v>
      </c>
    </row>
    <row r="501" spans="1:15" x14ac:dyDescent="0.3">
      <c r="A501">
        <v>596</v>
      </c>
      <c r="B501" s="34">
        <v>38748</v>
      </c>
      <c r="C501">
        <v>1.2094</v>
      </c>
      <c r="D501">
        <v>0</v>
      </c>
      <c r="F501">
        <v>0.24709999999999599</v>
      </c>
      <c r="G501">
        <v>11.1151079136691</v>
      </c>
      <c r="H501">
        <v>0</v>
      </c>
      <c r="I501">
        <v>0.55117450000000001</v>
      </c>
      <c r="J501">
        <v>2006</v>
      </c>
      <c r="K501">
        <v>1</v>
      </c>
      <c r="L501">
        <v>31</v>
      </c>
      <c r="M501" t="s">
        <v>93</v>
      </c>
      <c r="N501">
        <v>0</v>
      </c>
      <c r="O501">
        <v>0</v>
      </c>
    </row>
    <row r="502" spans="1:15" x14ac:dyDescent="0.3">
      <c r="A502">
        <v>597</v>
      </c>
      <c r="B502" s="34">
        <v>38749</v>
      </c>
      <c r="C502">
        <v>1.2148000000000001</v>
      </c>
      <c r="D502">
        <v>-3</v>
      </c>
      <c r="F502">
        <v>0.25599999999999601</v>
      </c>
      <c r="G502">
        <v>7.9136690647482197</v>
      </c>
      <c r="H502">
        <v>1</v>
      </c>
      <c r="I502">
        <v>0.55192629999999998</v>
      </c>
      <c r="J502">
        <v>2006</v>
      </c>
      <c r="K502">
        <v>2</v>
      </c>
      <c r="L502">
        <v>1</v>
      </c>
      <c r="M502" t="s">
        <v>89</v>
      </c>
      <c r="N502">
        <v>0</v>
      </c>
      <c r="O502">
        <v>0</v>
      </c>
    </row>
    <row r="503" spans="1:15" x14ac:dyDescent="0.3">
      <c r="A503">
        <v>598</v>
      </c>
      <c r="B503" s="34">
        <v>38750</v>
      </c>
      <c r="C503">
        <v>1.2059</v>
      </c>
      <c r="D503">
        <v>5</v>
      </c>
      <c r="E503" t="s">
        <v>213</v>
      </c>
      <c r="F503">
        <v>0.25889999999999702</v>
      </c>
      <c r="G503">
        <v>6.8705035971222603</v>
      </c>
      <c r="H503">
        <v>0</v>
      </c>
      <c r="I503">
        <v>0.55100329999999997</v>
      </c>
      <c r="J503">
        <v>2006</v>
      </c>
      <c r="K503">
        <v>2</v>
      </c>
      <c r="L503">
        <v>2</v>
      </c>
      <c r="M503" t="s">
        <v>90</v>
      </c>
      <c r="N503">
        <v>0</v>
      </c>
      <c r="O503">
        <v>0</v>
      </c>
    </row>
    <row r="504" spans="1:15" x14ac:dyDescent="0.3">
      <c r="A504">
        <v>599</v>
      </c>
      <c r="B504" s="34">
        <v>38751</v>
      </c>
      <c r="C504">
        <v>1.2088000000000001</v>
      </c>
      <c r="D504">
        <v>0</v>
      </c>
      <c r="F504">
        <v>0.25889999999999702</v>
      </c>
      <c r="G504">
        <v>6.8705035971222603</v>
      </c>
      <c r="H504">
        <v>1</v>
      </c>
      <c r="I504">
        <v>0.55175289999999999</v>
      </c>
      <c r="J504">
        <v>2006</v>
      </c>
      <c r="K504">
        <v>2</v>
      </c>
      <c r="L504">
        <v>3</v>
      </c>
      <c r="M504" t="s">
        <v>91</v>
      </c>
      <c r="N504">
        <v>0</v>
      </c>
      <c r="O504">
        <v>0</v>
      </c>
    </row>
    <row r="505" spans="1:15" x14ac:dyDescent="0.3">
      <c r="A505">
        <v>600</v>
      </c>
      <c r="B505" s="34">
        <v>38754</v>
      </c>
      <c r="C505">
        <v>1.2024999999999999</v>
      </c>
      <c r="D505">
        <v>1</v>
      </c>
      <c r="E505" t="s">
        <v>214</v>
      </c>
      <c r="F505">
        <v>0.25339999999999702</v>
      </c>
      <c r="G505">
        <v>8.8489208633092797</v>
      </c>
      <c r="H505">
        <v>0</v>
      </c>
      <c r="I505">
        <v>0.55083329999999997</v>
      </c>
      <c r="J505">
        <v>2006</v>
      </c>
      <c r="K505">
        <v>2</v>
      </c>
      <c r="L505">
        <v>6</v>
      </c>
      <c r="M505" t="s">
        <v>92</v>
      </c>
      <c r="N505">
        <v>0</v>
      </c>
      <c r="O505">
        <v>0</v>
      </c>
    </row>
    <row r="506" spans="1:15" x14ac:dyDescent="0.3">
      <c r="A506">
        <v>601</v>
      </c>
      <c r="B506" s="34">
        <v>38755</v>
      </c>
      <c r="C506">
        <v>1.1970000000000001</v>
      </c>
      <c r="D506">
        <v>0</v>
      </c>
      <c r="F506">
        <v>0.25339999999999702</v>
      </c>
      <c r="G506">
        <v>8.8489208633092797</v>
      </c>
      <c r="H506">
        <v>0</v>
      </c>
      <c r="I506">
        <v>0.54991679999999998</v>
      </c>
      <c r="J506">
        <v>2006</v>
      </c>
      <c r="K506">
        <v>2</v>
      </c>
      <c r="L506">
        <v>7</v>
      </c>
      <c r="M506" t="s">
        <v>93</v>
      </c>
      <c r="N506">
        <v>0</v>
      </c>
      <c r="O506">
        <v>0</v>
      </c>
    </row>
    <row r="507" spans="1:15" x14ac:dyDescent="0.3">
      <c r="A507">
        <v>602</v>
      </c>
      <c r="B507" s="34">
        <v>38756</v>
      </c>
      <c r="C507">
        <v>1.1983999999999999</v>
      </c>
      <c r="D507">
        <v>0</v>
      </c>
      <c r="F507">
        <v>0.25339999999999702</v>
      </c>
      <c r="G507">
        <v>8.8489208633092797</v>
      </c>
      <c r="H507">
        <v>1</v>
      </c>
      <c r="I507">
        <v>0.55066440000000005</v>
      </c>
      <c r="J507">
        <v>2006</v>
      </c>
      <c r="K507">
        <v>2</v>
      </c>
      <c r="L507">
        <v>8</v>
      </c>
      <c r="M507" t="s">
        <v>89</v>
      </c>
      <c r="N507">
        <v>0</v>
      </c>
      <c r="O507">
        <v>0</v>
      </c>
    </row>
    <row r="508" spans="1:15" x14ac:dyDescent="0.3">
      <c r="A508">
        <v>603</v>
      </c>
      <c r="B508" s="34">
        <v>38757</v>
      </c>
      <c r="C508">
        <v>1.1958</v>
      </c>
      <c r="D508">
        <v>5</v>
      </c>
      <c r="E508" t="s">
        <v>215</v>
      </c>
      <c r="F508">
        <v>0.25629999999999697</v>
      </c>
      <c r="G508">
        <v>7.8057553956833203</v>
      </c>
      <c r="H508">
        <v>0</v>
      </c>
      <c r="I508">
        <v>0.5497512</v>
      </c>
      <c r="J508">
        <v>2006</v>
      </c>
      <c r="K508">
        <v>2</v>
      </c>
      <c r="L508">
        <v>9</v>
      </c>
      <c r="M508" t="s">
        <v>90</v>
      </c>
      <c r="N508">
        <v>0</v>
      </c>
      <c r="O508">
        <v>0</v>
      </c>
    </row>
    <row r="509" spans="1:15" x14ac:dyDescent="0.3">
      <c r="A509">
        <v>604</v>
      </c>
      <c r="B509" s="34">
        <v>38758</v>
      </c>
      <c r="C509">
        <v>1.1987000000000001</v>
      </c>
      <c r="D509">
        <v>-1</v>
      </c>
      <c r="F509">
        <v>0.26419999999999699</v>
      </c>
      <c r="G509">
        <v>4.9640287769782496</v>
      </c>
      <c r="H509">
        <v>1</v>
      </c>
      <c r="I509">
        <v>0.55049669999999995</v>
      </c>
      <c r="J509">
        <v>2006</v>
      </c>
      <c r="K509">
        <v>2</v>
      </c>
      <c r="L509">
        <v>10</v>
      </c>
      <c r="M509" t="s">
        <v>91</v>
      </c>
      <c r="N509">
        <v>0</v>
      </c>
      <c r="O509">
        <v>0</v>
      </c>
    </row>
    <row r="510" spans="1:15" x14ac:dyDescent="0.3">
      <c r="A510">
        <v>605</v>
      </c>
      <c r="B510" s="34">
        <v>38761</v>
      </c>
      <c r="C510">
        <v>1.1908000000000001</v>
      </c>
      <c r="D510">
        <v>3</v>
      </c>
      <c r="E510" t="s">
        <v>216</v>
      </c>
      <c r="F510">
        <v>0.263599999999997</v>
      </c>
      <c r="G510">
        <v>5.1798561151077998</v>
      </c>
      <c r="H510">
        <v>0</v>
      </c>
      <c r="I510">
        <v>0.54958680000000004</v>
      </c>
      <c r="J510">
        <v>2006</v>
      </c>
      <c r="K510">
        <v>2</v>
      </c>
      <c r="L510">
        <v>13</v>
      </c>
      <c r="M510" t="s">
        <v>92</v>
      </c>
      <c r="N510">
        <v>0</v>
      </c>
      <c r="O510">
        <v>0</v>
      </c>
    </row>
    <row r="511" spans="1:15" x14ac:dyDescent="0.3">
      <c r="A511">
        <v>606</v>
      </c>
      <c r="B511" s="34">
        <v>38762</v>
      </c>
      <c r="C511">
        <v>1.1901999999999999</v>
      </c>
      <c r="D511">
        <v>0</v>
      </c>
      <c r="F511">
        <v>0.263599999999997</v>
      </c>
      <c r="G511">
        <v>5.1798561151077998</v>
      </c>
      <c r="H511">
        <v>0</v>
      </c>
      <c r="I511">
        <v>0.5486799</v>
      </c>
      <c r="J511">
        <v>2006</v>
      </c>
      <c r="K511">
        <v>2</v>
      </c>
      <c r="L511">
        <v>14</v>
      </c>
      <c r="M511" t="s">
        <v>93</v>
      </c>
      <c r="N511">
        <v>0</v>
      </c>
      <c r="O511">
        <v>0</v>
      </c>
    </row>
    <row r="512" spans="1:15" x14ac:dyDescent="0.3">
      <c r="A512">
        <v>607</v>
      </c>
      <c r="B512" s="34">
        <v>38763</v>
      </c>
      <c r="C512">
        <v>1.1913</v>
      </c>
      <c r="D512">
        <v>0</v>
      </c>
      <c r="F512">
        <v>0.263599999999997</v>
      </c>
      <c r="G512">
        <v>5.1798561151077998</v>
      </c>
      <c r="H512">
        <v>1</v>
      </c>
      <c r="I512">
        <v>0.54942340000000001</v>
      </c>
      <c r="J512">
        <v>2006</v>
      </c>
      <c r="K512">
        <v>2</v>
      </c>
      <c r="L512">
        <v>15</v>
      </c>
      <c r="M512" t="s">
        <v>89</v>
      </c>
      <c r="N512">
        <v>0</v>
      </c>
      <c r="O512">
        <v>0</v>
      </c>
    </row>
    <row r="513" spans="1:15" x14ac:dyDescent="0.3">
      <c r="A513">
        <v>608</v>
      </c>
      <c r="B513" s="34">
        <v>38764</v>
      </c>
      <c r="C513">
        <v>1.1892</v>
      </c>
      <c r="D513">
        <v>7</v>
      </c>
      <c r="E513" t="s">
        <v>217</v>
      </c>
      <c r="F513">
        <v>0.264599999999997</v>
      </c>
      <c r="G513">
        <v>4.8201438848920102</v>
      </c>
      <c r="H513">
        <v>0.5</v>
      </c>
      <c r="I513">
        <v>0.54934210000000006</v>
      </c>
      <c r="J513">
        <v>2006</v>
      </c>
      <c r="K513">
        <v>2</v>
      </c>
      <c r="L513">
        <v>16</v>
      </c>
      <c r="M513" t="s">
        <v>90</v>
      </c>
      <c r="N513">
        <v>0</v>
      </c>
      <c r="O513">
        <v>0</v>
      </c>
    </row>
    <row r="514" spans="1:15" x14ac:dyDescent="0.3">
      <c r="A514">
        <v>609</v>
      </c>
      <c r="B514" s="34">
        <v>38765</v>
      </c>
      <c r="C514">
        <v>1.1901999999999999</v>
      </c>
      <c r="D514">
        <v>0</v>
      </c>
      <c r="F514">
        <v>0.264599999999997</v>
      </c>
      <c r="G514">
        <v>4.8201438848920102</v>
      </c>
      <c r="H514">
        <v>1</v>
      </c>
      <c r="I514">
        <v>0.55008210000000002</v>
      </c>
      <c r="J514">
        <v>2006</v>
      </c>
      <c r="K514">
        <v>2</v>
      </c>
      <c r="L514">
        <v>17</v>
      </c>
      <c r="M514" t="s">
        <v>91</v>
      </c>
      <c r="N514">
        <v>0</v>
      </c>
      <c r="O514">
        <v>0</v>
      </c>
    </row>
    <row r="515" spans="1:15" x14ac:dyDescent="0.3">
      <c r="A515">
        <v>610</v>
      </c>
      <c r="B515" s="34">
        <v>38768</v>
      </c>
      <c r="C515">
        <v>1.1932</v>
      </c>
      <c r="D515">
        <v>-46</v>
      </c>
      <c r="F515">
        <v>0.264099999999997</v>
      </c>
      <c r="G515">
        <v>4.9999999999998996</v>
      </c>
      <c r="H515">
        <v>1</v>
      </c>
      <c r="I515">
        <v>0.55081970000000002</v>
      </c>
      <c r="J515">
        <v>2006</v>
      </c>
      <c r="K515">
        <v>2</v>
      </c>
      <c r="L515">
        <v>20</v>
      </c>
      <c r="M515" t="s">
        <v>92</v>
      </c>
      <c r="N515">
        <v>0</v>
      </c>
      <c r="O515">
        <v>0</v>
      </c>
    </row>
    <row r="516" spans="1:15" x14ac:dyDescent="0.3">
      <c r="A516">
        <v>611</v>
      </c>
      <c r="B516" s="34">
        <v>38769</v>
      </c>
      <c r="C516">
        <v>1.1937</v>
      </c>
      <c r="D516">
        <v>-1</v>
      </c>
      <c r="F516">
        <v>0.26689999999999697</v>
      </c>
      <c r="G516">
        <v>3.9928057553956098</v>
      </c>
      <c r="H516">
        <v>0</v>
      </c>
      <c r="I516">
        <v>0.54991820000000002</v>
      </c>
      <c r="J516">
        <v>2006</v>
      </c>
      <c r="K516">
        <v>2</v>
      </c>
      <c r="L516">
        <v>21</v>
      </c>
      <c r="M516" t="s">
        <v>93</v>
      </c>
      <c r="N516">
        <v>0</v>
      </c>
      <c r="O516">
        <v>0</v>
      </c>
    </row>
    <row r="517" spans="1:15" x14ac:dyDescent="0.3">
      <c r="A517">
        <v>612</v>
      </c>
      <c r="B517" s="34">
        <v>38770</v>
      </c>
      <c r="C517">
        <v>1.1909000000000001</v>
      </c>
      <c r="D517">
        <v>0</v>
      </c>
      <c r="F517">
        <v>0.26689999999999697</v>
      </c>
      <c r="G517">
        <v>3.9928057553956098</v>
      </c>
      <c r="H517">
        <v>1</v>
      </c>
      <c r="I517">
        <v>0.55065359999999997</v>
      </c>
      <c r="J517">
        <v>2006</v>
      </c>
      <c r="K517">
        <v>2</v>
      </c>
      <c r="L517">
        <v>22</v>
      </c>
      <c r="M517" t="s">
        <v>89</v>
      </c>
      <c r="N517">
        <v>0</v>
      </c>
      <c r="O517">
        <v>0</v>
      </c>
    </row>
    <row r="518" spans="1:15" x14ac:dyDescent="0.3">
      <c r="A518">
        <v>613</v>
      </c>
      <c r="B518" s="34">
        <v>38771</v>
      </c>
      <c r="C518">
        <v>1.1912</v>
      </c>
      <c r="D518">
        <v>-1</v>
      </c>
      <c r="F518">
        <v>0.26629999999999698</v>
      </c>
      <c r="G518">
        <v>4.20863309352508</v>
      </c>
      <c r="H518">
        <v>1</v>
      </c>
      <c r="I518">
        <v>0.55138659999999995</v>
      </c>
      <c r="J518">
        <v>2006</v>
      </c>
      <c r="K518">
        <v>2</v>
      </c>
      <c r="L518">
        <v>23</v>
      </c>
      <c r="M518" t="s">
        <v>90</v>
      </c>
      <c r="N518">
        <v>0</v>
      </c>
      <c r="O518">
        <v>0</v>
      </c>
    </row>
    <row r="519" spans="1:15" x14ac:dyDescent="0.3">
      <c r="A519">
        <v>614</v>
      </c>
      <c r="B519" s="34">
        <v>38772</v>
      </c>
      <c r="C519">
        <v>1.1918</v>
      </c>
      <c r="D519">
        <v>-2</v>
      </c>
      <c r="F519">
        <v>0.27089999999999698</v>
      </c>
      <c r="G519">
        <v>2.5539568345322801</v>
      </c>
      <c r="H519">
        <v>1</v>
      </c>
      <c r="I519">
        <v>0.55211730000000003</v>
      </c>
      <c r="J519">
        <v>2006</v>
      </c>
      <c r="K519">
        <v>2</v>
      </c>
      <c r="L519">
        <v>24</v>
      </c>
      <c r="M519" t="s">
        <v>91</v>
      </c>
      <c r="N519">
        <v>0</v>
      </c>
      <c r="O519">
        <v>0</v>
      </c>
    </row>
    <row r="520" spans="1:15" x14ac:dyDescent="0.3">
      <c r="A520">
        <v>615</v>
      </c>
      <c r="B520" s="34">
        <v>38775</v>
      </c>
      <c r="C520">
        <v>1.1872</v>
      </c>
      <c r="D520">
        <v>16</v>
      </c>
      <c r="E520" t="s">
        <v>218</v>
      </c>
      <c r="F520">
        <v>0.26839999999999697</v>
      </c>
      <c r="G520">
        <v>3.4532374100718402</v>
      </c>
      <c r="H520">
        <v>0.5</v>
      </c>
      <c r="I520">
        <v>0.55203250000000004</v>
      </c>
      <c r="J520">
        <v>2006</v>
      </c>
      <c r="K520">
        <v>2</v>
      </c>
      <c r="L520">
        <v>27</v>
      </c>
      <c r="M520" t="s">
        <v>92</v>
      </c>
      <c r="N520">
        <v>0</v>
      </c>
      <c r="O520">
        <v>0</v>
      </c>
    </row>
    <row r="521" spans="1:15" x14ac:dyDescent="0.3">
      <c r="A521">
        <v>616</v>
      </c>
      <c r="B521" s="34">
        <v>38776</v>
      </c>
      <c r="C521">
        <v>1.1847000000000001</v>
      </c>
      <c r="D521">
        <v>0</v>
      </c>
      <c r="F521">
        <v>0.26839999999999697</v>
      </c>
      <c r="G521">
        <v>3.4532374100718402</v>
      </c>
      <c r="H521">
        <v>0</v>
      </c>
      <c r="I521">
        <v>0.55113639999999997</v>
      </c>
      <c r="J521">
        <v>2006</v>
      </c>
      <c r="K521">
        <v>2</v>
      </c>
      <c r="L521">
        <v>28</v>
      </c>
      <c r="M521" t="s">
        <v>93</v>
      </c>
      <c r="N521">
        <v>0</v>
      </c>
      <c r="O521">
        <v>0</v>
      </c>
    </row>
    <row r="522" spans="1:15" x14ac:dyDescent="0.3">
      <c r="A522">
        <v>617</v>
      </c>
      <c r="B522" s="34">
        <v>38777</v>
      </c>
      <c r="C522">
        <v>1.1931</v>
      </c>
      <c r="D522">
        <v>0</v>
      </c>
      <c r="F522">
        <v>0.26839999999999697</v>
      </c>
      <c r="G522">
        <v>3.4532374100718402</v>
      </c>
      <c r="H522">
        <v>1</v>
      </c>
      <c r="I522">
        <v>0.55186380000000002</v>
      </c>
      <c r="J522">
        <v>2006</v>
      </c>
      <c r="K522">
        <v>3</v>
      </c>
      <c r="L522">
        <v>1</v>
      </c>
      <c r="M522" t="s">
        <v>89</v>
      </c>
      <c r="N522">
        <v>0</v>
      </c>
      <c r="O522">
        <v>0</v>
      </c>
    </row>
    <row r="523" spans="1:15" x14ac:dyDescent="0.3">
      <c r="A523">
        <v>618</v>
      </c>
      <c r="B523" s="34">
        <v>38778</v>
      </c>
      <c r="C523">
        <v>1.1923999999999999</v>
      </c>
      <c r="D523">
        <v>0</v>
      </c>
      <c r="F523">
        <v>0.26839999999999697</v>
      </c>
      <c r="G523">
        <v>3.4532374100718402</v>
      </c>
      <c r="H523">
        <v>1</v>
      </c>
      <c r="I523">
        <v>0.552589</v>
      </c>
      <c r="J523">
        <v>2006</v>
      </c>
      <c r="K523">
        <v>3</v>
      </c>
      <c r="L523">
        <v>2</v>
      </c>
      <c r="M523" t="s">
        <v>90</v>
      </c>
      <c r="N523">
        <v>0</v>
      </c>
      <c r="O523">
        <v>0</v>
      </c>
    </row>
    <row r="524" spans="1:15" x14ac:dyDescent="0.3">
      <c r="A524">
        <v>619</v>
      </c>
      <c r="B524" s="34">
        <v>38779</v>
      </c>
      <c r="C524">
        <v>1.2033</v>
      </c>
      <c r="D524">
        <v>-1</v>
      </c>
      <c r="F524">
        <v>0.26799999999999702</v>
      </c>
      <c r="G524">
        <v>3.5971223021581502</v>
      </c>
      <c r="H524">
        <v>0</v>
      </c>
      <c r="I524">
        <v>0.55169630000000003</v>
      </c>
      <c r="J524">
        <v>2006</v>
      </c>
      <c r="K524">
        <v>3</v>
      </c>
      <c r="L524">
        <v>3</v>
      </c>
      <c r="M524" t="s">
        <v>91</v>
      </c>
      <c r="N524">
        <v>0</v>
      </c>
      <c r="O524">
        <v>0</v>
      </c>
    </row>
    <row r="525" spans="1:15" x14ac:dyDescent="0.3">
      <c r="A525">
        <v>620</v>
      </c>
      <c r="B525" s="34">
        <v>38782</v>
      </c>
      <c r="C525">
        <v>1.2037</v>
      </c>
      <c r="D525">
        <v>0</v>
      </c>
      <c r="F525">
        <v>0.26799999999999702</v>
      </c>
      <c r="G525">
        <v>3.5971223021581502</v>
      </c>
      <c r="H525">
        <v>0</v>
      </c>
      <c r="I525">
        <v>0.55080649999999998</v>
      </c>
      <c r="J525">
        <v>2006</v>
      </c>
      <c r="K525">
        <v>3</v>
      </c>
      <c r="L525">
        <v>6</v>
      </c>
      <c r="M525" t="s">
        <v>92</v>
      </c>
      <c r="N525">
        <v>0</v>
      </c>
      <c r="O525">
        <v>0</v>
      </c>
    </row>
    <row r="526" spans="1:15" x14ac:dyDescent="0.3">
      <c r="A526">
        <v>621</v>
      </c>
      <c r="B526" s="34">
        <v>38783</v>
      </c>
      <c r="C526">
        <v>1.2009000000000001</v>
      </c>
      <c r="D526">
        <v>-4</v>
      </c>
      <c r="F526">
        <v>0.28019999999999701</v>
      </c>
      <c r="G526">
        <v>0</v>
      </c>
      <c r="H526">
        <v>1</v>
      </c>
      <c r="I526">
        <v>0.55152979999999996</v>
      </c>
      <c r="J526">
        <v>2006</v>
      </c>
      <c r="K526">
        <v>3</v>
      </c>
      <c r="L526">
        <v>7</v>
      </c>
      <c r="M526" t="s">
        <v>93</v>
      </c>
      <c r="N526">
        <v>0</v>
      </c>
      <c r="O526">
        <v>0</v>
      </c>
    </row>
    <row r="527" spans="1:15" x14ac:dyDescent="0.3">
      <c r="A527">
        <v>622</v>
      </c>
      <c r="B527" s="34">
        <v>38784</v>
      </c>
      <c r="C527">
        <v>1.1887000000000001</v>
      </c>
      <c r="D527">
        <v>6</v>
      </c>
      <c r="E527" t="s">
        <v>219</v>
      </c>
      <c r="F527">
        <v>0.284299999999997</v>
      </c>
      <c r="G527">
        <v>0</v>
      </c>
      <c r="H527">
        <v>1</v>
      </c>
      <c r="I527">
        <v>0.55225080000000004</v>
      </c>
      <c r="J527">
        <v>2006</v>
      </c>
      <c r="K527">
        <v>3</v>
      </c>
      <c r="L527">
        <v>8</v>
      </c>
      <c r="M527" t="s">
        <v>89</v>
      </c>
      <c r="N527">
        <v>0</v>
      </c>
      <c r="O527">
        <v>0</v>
      </c>
    </row>
    <row r="528" spans="1:15" x14ac:dyDescent="0.3">
      <c r="A528">
        <v>623</v>
      </c>
      <c r="B528" s="34">
        <v>38785</v>
      </c>
      <c r="C528">
        <v>1.1928000000000001</v>
      </c>
      <c r="D528">
        <v>0</v>
      </c>
      <c r="F528">
        <v>0.284299999999997</v>
      </c>
      <c r="G528">
        <v>0</v>
      </c>
      <c r="H528">
        <v>1</v>
      </c>
      <c r="I528">
        <v>0.5529695</v>
      </c>
      <c r="J528">
        <v>2006</v>
      </c>
      <c r="K528">
        <v>3</v>
      </c>
      <c r="L528">
        <v>9</v>
      </c>
      <c r="M528" t="s">
        <v>90</v>
      </c>
      <c r="N528">
        <v>0</v>
      </c>
      <c r="O528">
        <v>0</v>
      </c>
    </row>
    <row r="529" spans="1:15" x14ac:dyDescent="0.3">
      <c r="A529">
        <v>624</v>
      </c>
      <c r="B529" s="34">
        <v>38786</v>
      </c>
      <c r="C529">
        <v>1.1907000000000001</v>
      </c>
      <c r="D529">
        <v>2</v>
      </c>
      <c r="E529" t="s">
        <v>220</v>
      </c>
      <c r="F529">
        <v>0.28519999999999701</v>
      </c>
      <c r="G529">
        <v>0</v>
      </c>
      <c r="H529">
        <v>0</v>
      </c>
      <c r="I529">
        <v>0.55208330000000005</v>
      </c>
      <c r="J529">
        <v>2006</v>
      </c>
      <c r="K529">
        <v>3</v>
      </c>
      <c r="L529">
        <v>10</v>
      </c>
      <c r="M529" t="s">
        <v>91</v>
      </c>
      <c r="N529">
        <v>0</v>
      </c>
      <c r="O529">
        <v>0</v>
      </c>
    </row>
    <row r="530" spans="1:15" x14ac:dyDescent="0.3">
      <c r="A530">
        <v>625</v>
      </c>
      <c r="B530" s="34">
        <v>38789</v>
      </c>
      <c r="C530">
        <v>1.1916</v>
      </c>
      <c r="D530">
        <v>-7</v>
      </c>
      <c r="F530">
        <v>0.28069999999999701</v>
      </c>
      <c r="G530">
        <v>1.5778401122019601</v>
      </c>
      <c r="H530">
        <v>1</v>
      </c>
      <c r="I530">
        <v>0.55279999999999996</v>
      </c>
      <c r="J530">
        <v>2006</v>
      </c>
      <c r="K530">
        <v>3</v>
      </c>
      <c r="L530">
        <v>13</v>
      </c>
      <c r="M530" t="s">
        <v>92</v>
      </c>
      <c r="N530">
        <v>0</v>
      </c>
      <c r="O530">
        <v>0</v>
      </c>
    </row>
    <row r="531" spans="1:15" x14ac:dyDescent="0.3">
      <c r="A531">
        <v>626</v>
      </c>
      <c r="B531" s="34">
        <v>38790</v>
      </c>
      <c r="C531">
        <v>1.1960999999999999</v>
      </c>
      <c r="D531">
        <v>-6</v>
      </c>
      <c r="F531">
        <v>0.275199999999997</v>
      </c>
      <c r="G531">
        <v>3.5063113604488398</v>
      </c>
      <c r="H531">
        <v>0.5</v>
      </c>
      <c r="I531">
        <v>0.55271570000000003</v>
      </c>
      <c r="J531">
        <v>2006</v>
      </c>
      <c r="K531">
        <v>3</v>
      </c>
      <c r="L531">
        <v>14</v>
      </c>
      <c r="M531" t="s">
        <v>93</v>
      </c>
      <c r="N531">
        <v>0</v>
      </c>
      <c r="O531">
        <v>0</v>
      </c>
    </row>
    <row r="532" spans="1:15" x14ac:dyDescent="0.3">
      <c r="A532">
        <v>627</v>
      </c>
      <c r="B532" s="34">
        <v>38791</v>
      </c>
      <c r="C532">
        <v>1.2016</v>
      </c>
      <c r="D532">
        <v>0</v>
      </c>
      <c r="F532">
        <v>0.275199999999997</v>
      </c>
      <c r="G532">
        <v>3.5063113604488398</v>
      </c>
      <c r="H532">
        <v>0</v>
      </c>
      <c r="I532">
        <v>0.55183409999999999</v>
      </c>
      <c r="J532">
        <v>2006</v>
      </c>
      <c r="K532">
        <v>3</v>
      </c>
      <c r="L532">
        <v>15</v>
      </c>
      <c r="M532" t="s">
        <v>89</v>
      </c>
      <c r="N532">
        <v>0</v>
      </c>
      <c r="O532">
        <v>0</v>
      </c>
    </row>
    <row r="533" spans="1:15" x14ac:dyDescent="0.3">
      <c r="A533">
        <v>628</v>
      </c>
      <c r="B533" s="34">
        <v>38792</v>
      </c>
      <c r="C533">
        <v>1.2069000000000001</v>
      </c>
      <c r="D533">
        <v>0</v>
      </c>
      <c r="F533">
        <v>0.275199999999997</v>
      </c>
      <c r="G533">
        <v>3.5063113604488398</v>
      </c>
      <c r="H533">
        <v>0</v>
      </c>
      <c r="I533">
        <v>0.55095539999999998</v>
      </c>
      <c r="J533">
        <v>2006</v>
      </c>
      <c r="K533">
        <v>3</v>
      </c>
      <c r="L533">
        <v>16</v>
      </c>
      <c r="M533" t="s">
        <v>90</v>
      </c>
      <c r="N533">
        <v>0</v>
      </c>
      <c r="O533">
        <v>0</v>
      </c>
    </row>
    <row r="534" spans="1:15" x14ac:dyDescent="0.3">
      <c r="A534">
        <v>629</v>
      </c>
      <c r="B534" s="34">
        <v>38793</v>
      </c>
      <c r="C534">
        <v>1.2172000000000001</v>
      </c>
      <c r="D534">
        <v>0</v>
      </c>
      <c r="F534">
        <v>0.275199999999997</v>
      </c>
      <c r="G534">
        <v>3.5063113604488398</v>
      </c>
      <c r="H534">
        <v>0</v>
      </c>
      <c r="I534">
        <v>0.55007950000000005</v>
      </c>
      <c r="J534">
        <v>2006</v>
      </c>
      <c r="K534">
        <v>3</v>
      </c>
      <c r="L534">
        <v>17</v>
      </c>
      <c r="M534" t="s">
        <v>91</v>
      </c>
      <c r="N534">
        <v>0</v>
      </c>
      <c r="O534">
        <v>0</v>
      </c>
    </row>
    <row r="535" spans="1:15" x14ac:dyDescent="0.3">
      <c r="A535">
        <v>630</v>
      </c>
      <c r="B535" s="34">
        <v>38796</v>
      </c>
      <c r="C535">
        <v>1.2190000000000001</v>
      </c>
      <c r="D535">
        <v>0</v>
      </c>
      <c r="F535">
        <v>0.275199999999997</v>
      </c>
      <c r="G535">
        <v>3.5063113604488398</v>
      </c>
      <c r="H535">
        <v>0</v>
      </c>
      <c r="I535">
        <v>0.54920639999999998</v>
      </c>
      <c r="J535">
        <v>2006</v>
      </c>
      <c r="K535">
        <v>3</v>
      </c>
      <c r="L535">
        <v>20</v>
      </c>
      <c r="M535" t="s">
        <v>92</v>
      </c>
      <c r="N535">
        <v>0</v>
      </c>
      <c r="O535">
        <v>0</v>
      </c>
    </row>
    <row r="536" spans="1:15" x14ac:dyDescent="0.3">
      <c r="A536">
        <v>631</v>
      </c>
      <c r="B536" s="34">
        <v>38797</v>
      </c>
      <c r="C536">
        <v>1.216</v>
      </c>
      <c r="D536">
        <v>2</v>
      </c>
      <c r="E536" t="s">
        <v>221</v>
      </c>
      <c r="F536">
        <v>0.26999999999999702</v>
      </c>
      <c r="G536">
        <v>5.3295932678822</v>
      </c>
      <c r="H536">
        <v>1</v>
      </c>
      <c r="I536">
        <v>0.54992070000000004</v>
      </c>
      <c r="J536">
        <v>2006</v>
      </c>
      <c r="K536">
        <v>3</v>
      </c>
      <c r="L536">
        <v>21</v>
      </c>
      <c r="M536" t="s">
        <v>93</v>
      </c>
      <c r="N536">
        <v>0</v>
      </c>
      <c r="O536">
        <v>0</v>
      </c>
    </row>
    <row r="537" spans="1:15" x14ac:dyDescent="0.3">
      <c r="A537">
        <v>632</v>
      </c>
      <c r="B537" s="34">
        <v>38798</v>
      </c>
      <c r="C537">
        <v>1.2108000000000001</v>
      </c>
      <c r="D537">
        <v>8</v>
      </c>
      <c r="E537" t="s">
        <v>222</v>
      </c>
      <c r="F537">
        <v>0.267199999999997</v>
      </c>
      <c r="G537">
        <v>6.3113604488079202</v>
      </c>
      <c r="H537">
        <v>0.5</v>
      </c>
      <c r="I537">
        <v>0.54984180000000005</v>
      </c>
      <c r="J537">
        <v>2006</v>
      </c>
      <c r="K537">
        <v>3</v>
      </c>
      <c r="L537">
        <v>22</v>
      </c>
      <c r="M537" t="s">
        <v>89</v>
      </c>
      <c r="N537">
        <v>0</v>
      </c>
      <c r="O537">
        <v>0</v>
      </c>
    </row>
    <row r="538" spans="1:15" x14ac:dyDescent="0.3">
      <c r="A538">
        <v>633</v>
      </c>
      <c r="B538" s="34">
        <v>38799</v>
      </c>
      <c r="C538">
        <v>1.208</v>
      </c>
      <c r="D538">
        <v>3</v>
      </c>
      <c r="E538" t="s">
        <v>223</v>
      </c>
      <c r="F538">
        <v>0.25599999999999701</v>
      </c>
      <c r="G538">
        <v>10.2384291725105</v>
      </c>
      <c r="H538">
        <v>0</v>
      </c>
      <c r="I538">
        <v>0.54897309999999999</v>
      </c>
      <c r="J538">
        <v>2006</v>
      </c>
      <c r="K538">
        <v>3</v>
      </c>
      <c r="L538">
        <v>23</v>
      </c>
      <c r="M538" t="s">
        <v>90</v>
      </c>
      <c r="N538">
        <v>0</v>
      </c>
      <c r="O538">
        <v>0</v>
      </c>
    </row>
    <row r="539" spans="1:15" x14ac:dyDescent="0.3">
      <c r="A539">
        <v>634</v>
      </c>
      <c r="B539" s="34">
        <v>38800</v>
      </c>
      <c r="C539">
        <v>1.1968000000000001</v>
      </c>
      <c r="D539">
        <v>0</v>
      </c>
      <c r="F539">
        <v>0.25599999999999701</v>
      </c>
      <c r="G539">
        <v>10.2384291725105</v>
      </c>
      <c r="H539">
        <v>0</v>
      </c>
      <c r="I539">
        <v>0.54810729999999996</v>
      </c>
      <c r="J539">
        <v>2006</v>
      </c>
      <c r="K539">
        <v>3</v>
      </c>
      <c r="L539">
        <v>24</v>
      </c>
      <c r="M539" t="s">
        <v>91</v>
      </c>
      <c r="N539">
        <v>0</v>
      </c>
      <c r="O539">
        <v>0</v>
      </c>
    </row>
    <row r="540" spans="1:15" x14ac:dyDescent="0.3">
      <c r="A540">
        <v>635</v>
      </c>
      <c r="B540" s="34">
        <v>38803</v>
      </c>
      <c r="C540">
        <v>1.204</v>
      </c>
      <c r="D540">
        <v>0</v>
      </c>
      <c r="F540">
        <v>0.25599999999999701</v>
      </c>
      <c r="G540">
        <v>10.2384291725105</v>
      </c>
      <c r="H540">
        <v>1</v>
      </c>
      <c r="I540">
        <v>0.5488189</v>
      </c>
      <c r="J540">
        <v>2006</v>
      </c>
      <c r="K540">
        <v>3</v>
      </c>
      <c r="L540">
        <v>27</v>
      </c>
      <c r="M540" t="s">
        <v>92</v>
      </c>
      <c r="N540">
        <v>0</v>
      </c>
      <c r="O540">
        <v>0</v>
      </c>
    </row>
    <row r="541" spans="1:15" x14ac:dyDescent="0.3">
      <c r="A541">
        <v>636</v>
      </c>
      <c r="B541" s="34">
        <v>38804</v>
      </c>
      <c r="C541">
        <v>1.2014</v>
      </c>
      <c r="D541">
        <v>3</v>
      </c>
      <c r="E541" t="s">
        <v>224</v>
      </c>
      <c r="F541">
        <v>0.254599999999997</v>
      </c>
      <c r="G541">
        <v>10.7293127629734</v>
      </c>
      <c r="H541">
        <v>1</v>
      </c>
      <c r="I541">
        <v>0.54952829999999997</v>
      </c>
      <c r="J541">
        <v>2006</v>
      </c>
      <c r="K541">
        <v>3</v>
      </c>
      <c r="L541">
        <v>28</v>
      </c>
      <c r="M541" t="s">
        <v>93</v>
      </c>
      <c r="N541">
        <v>0</v>
      </c>
      <c r="O541">
        <v>0</v>
      </c>
    </row>
    <row r="542" spans="1:15" x14ac:dyDescent="0.3">
      <c r="A542">
        <v>637</v>
      </c>
      <c r="B542" s="34">
        <v>38805</v>
      </c>
      <c r="C542">
        <v>1.2</v>
      </c>
      <c r="D542">
        <v>4</v>
      </c>
      <c r="E542" t="s">
        <v>225</v>
      </c>
      <c r="F542">
        <v>0.257099999999997</v>
      </c>
      <c r="G542">
        <v>9.8527349228612593</v>
      </c>
      <c r="H542">
        <v>0</v>
      </c>
      <c r="I542">
        <v>0.54866559999999998</v>
      </c>
      <c r="J542">
        <v>2006</v>
      </c>
      <c r="K542">
        <v>3</v>
      </c>
      <c r="L542">
        <v>29</v>
      </c>
      <c r="M542" t="s">
        <v>89</v>
      </c>
      <c r="N542">
        <v>0</v>
      </c>
      <c r="O542">
        <v>0</v>
      </c>
    </row>
    <row r="543" spans="1:15" x14ac:dyDescent="0.3">
      <c r="A543">
        <v>638</v>
      </c>
      <c r="B543" s="34">
        <v>38806</v>
      </c>
      <c r="C543">
        <v>1.2024999999999999</v>
      </c>
      <c r="D543">
        <v>-1</v>
      </c>
      <c r="F543">
        <v>0.24339999999999601</v>
      </c>
      <c r="G543">
        <v>14.6563814866761</v>
      </c>
      <c r="H543">
        <v>1</v>
      </c>
      <c r="I543">
        <v>0.549373</v>
      </c>
      <c r="J543">
        <v>2006</v>
      </c>
      <c r="K543">
        <v>3</v>
      </c>
      <c r="L543">
        <v>30</v>
      </c>
      <c r="M543" t="s">
        <v>90</v>
      </c>
      <c r="N543">
        <v>0</v>
      </c>
      <c r="O543">
        <v>0</v>
      </c>
    </row>
    <row r="544" spans="1:15" x14ac:dyDescent="0.3">
      <c r="A544">
        <v>639</v>
      </c>
      <c r="B544" s="34">
        <v>38807</v>
      </c>
      <c r="C544">
        <v>1.2161999999999999</v>
      </c>
      <c r="D544">
        <v>-5</v>
      </c>
      <c r="F544">
        <v>0.247999999999996</v>
      </c>
      <c r="G544">
        <v>13.0434782608697</v>
      </c>
      <c r="H544">
        <v>0</v>
      </c>
      <c r="I544">
        <v>0.54851329999999998</v>
      </c>
      <c r="J544">
        <v>2006</v>
      </c>
      <c r="K544">
        <v>3</v>
      </c>
      <c r="L544">
        <v>31</v>
      </c>
      <c r="M544" t="s">
        <v>91</v>
      </c>
      <c r="N544">
        <v>0</v>
      </c>
      <c r="O544">
        <v>0</v>
      </c>
    </row>
    <row r="545" spans="1:15" x14ac:dyDescent="0.3">
      <c r="A545">
        <v>640</v>
      </c>
      <c r="B545" s="34">
        <v>38810</v>
      </c>
      <c r="C545">
        <v>1.2116</v>
      </c>
      <c r="D545">
        <v>0</v>
      </c>
      <c r="F545">
        <v>0.247999999999996</v>
      </c>
      <c r="G545">
        <v>13.0434782608697</v>
      </c>
      <c r="H545">
        <v>1</v>
      </c>
      <c r="I545">
        <v>0.54921880000000001</v>
      </c>
      <c r="J545">
        <v>2006</v>
      </c>
      <c r="K545">
        <v>4</v>
      </c>
      <c r="L545">
        <v>3</v>
      </c>
      <c r="M545" t="s">
        <v>92</v>
      </c>
      <c r="N545">
        <v>0</v>
      </c>
      <c r="O545">
        <v>0</v>
      </c>
    </row>
    <row r="546" spans="1:15" x14ac:dyDescent="0.3">
      <c r="A546">
        <v>641</v>
      </c>
      <c r="B546" s="34">
        <v>38811</v>
      </c>
      <c r="C546">
        <v>1.2133</v>
      </c>
      <c r="D546">
        <v>-1</v>
      </c>
      <c r="F546">
        <v>0.235199999999996</v>
      </c>
      <c r="G546">
        <v>17.5315568022442</v>
      </c>
      <c r="H546">
        <v>0</v>
      </c>
      <c r="I546">
        <v>0.54836200000000002</v>
      </c>
      <c r="J546">
        <v>2006</v>
      </c>
      <c r="K546">
        <v>4</v>
      </c>
      <c r="L546">
        <v>4</v>
      </c>
      <c r="M546" t="s">
        <v>93</v>
      </c>
      <c r="N546">
        <v>0</v>
      </c>
      <c r="O546">
        <v>0</v>
      </c>
    </row>
    <row r="547" spans="1:15" x14ac:dyDescent="0.3">
      <c r="A547">
        <v>642</v>
      </c>
      <c r="B547" s="34">
        <v>38812</v>
      </c>
      <c r="C547">
        <v>1.2261</v>
      </c>
      <c r="D547">
        <v>0</v>
      </c>
      <c r="F547">
        <v>0.235199999999996</v>
      </c>
      <c r="G547">
        <v>17.5315568022442</v>
      </c>
      <c r="H547">
        <v>0</v>
      </c>
      <c r="I547">
        <v>0.54750779999999999</v>
      </c>
      <c r="J547">
        <v>2006</v>
      </c>
      <c r="K547">
        <v>4</v>
      </c>
      <c r="L547">
        <v>5</v>
      </c>
      <c r="M547" t="s">
        <v>89</v>
      </c>
      <c r="N547">
        <v>0</v>
      </c>
      <c r="O547">
        <v>0</v>
      </c>
    </row>
    <row r="548" spans="1:15" x14ac:dyDescent="0.3">
      <c r="A548">
        <v>643</v>
      </c>
      <c r="B548" s="34">
        <v>38813</v>
      </c>
      <c r="C548">
        <v>1.2292000000000001</v>
      </c>
      <c r="D548">
        <v>0</v>
      </c>
      <c r="F548">
        <v>0.235199999999996</v>
      </c>
      <c r="G548">
        <v>17.5315568022442</v>
      </c>
      <c r="H548">
        <v>0</v>
      </c>
      <c r="I548">
        <v>0.54665629999999998</v>
      </c>
      <c r="J548">
        <v>2006</v>
      </c>
      <c r="K548">
        <v>4</v>
      </c>
      <c r="L548">
        <v>6</v>
      </c>
      <c r="M548" t="s">
        <v>90</v>
      </c>
      <c r="N548">
        <v>0</v>
      </c>
      <c r="O548">
        <v>0</v>
      </c>
    </row>
    <row r="549" spans="1:15" x14ac:dyDescent="0.3">
      <c r="A549">
        <v>644</v>
      </c>
      <c r="B549" s="34">
        <v>38814</v>
      </c>
      <c r="C549">
        <v>1.2219</v>
      </c>
      <c r="D549">
        <v>0</v>
      </c>
      <c r="F549">
        <v>0.235199999999996</v>
      </c>
      <c r="G549">
        <v>17.5315568022442</v>
      </c>
      <c r="H549">
        <v>1</v>
      </c>
      <c r="I549">
        <v>0.54736019999999996</v>
      </c>
      <c r="J549">
        <v>2006</v>
      </c>
      <c r="K549">
        <v>4</v>
      </c>
      <c r="L549">
        <v>7</v>
      </c>
      <c r="M549" t="s">
        <v>91</v>
      </c>
      <c r="N549">
        <v>0</v>
      </c>
      <c r="O549">
        <v>0</v>
      </c>
    </row>
    <row r="550" spans="1:15" x14ac:dyDescent="0.3">
      <c r="A550">
        <v>645</v>
      </c>
      <c r="B550" s="34">
        <v>38817</v>
      </c>
      <c r="C550">
        <v>1.2093</v>
      </c>
      <c r="D550">
        <v>5</v>
      </c>
      <c r="E550" t="s">
        <v>226</v>
      </c>
      <c r="F550">
        <v>0.23729999999999599</v>
      </c>
      <c r="G550">
        <v>16.7952314165499</v>
      </c>
      <c r="H550">
        <v>0</v>
      </c>
      <c r="I550">
        <v>0.54651170000000004</v>
      </c>
      <c r="J550">
        <v>2006</v>
      </c>
      <c r="K550">
        <v>4</v>
      </c>
      <c r="L550">
        <v>10</v>
      </c>
      <c r="M550" t="s">
        <v>92</v>
      </c>
      <c r="N550">
        <v>0</v>
      </c>
      <c r="O550">
        <v>0</v>
      </c>
    </row>
    <row r="551" spans="1:15" x14ac:dyDescent="0.3">
      <c r="A551">
        <v>646</v>
      </c>
      <c r="B551" s="34">
        <v>38818</v>
      </c>
      <c r="C551">
        <v>1.2114</v>
      </c>
      <c r="D551">
        <v>-1</v>
      </c>
      <c r="F551">
        <v>0.23479999999999701</v>
      </c>
      <c r="G551">
        <v>17.671809256662101</v>
      </c>
      <c r="H551">
        <v>1</v>
      </c>
      <c r="I551">
        <v>0.54721359999999997</v>
      </c>
      <c r="J551">
        <v>2006</v>
      </c>
      <c r="K551">
        <v>4</v>
      </c>
      <c r="L551">
        <v>11</v>
      </c>
      <c r="M551" t="s">
        <v>93</v>
      </c>
      <c r="N551">
        <v>0</v>
      </c>
      <c r="O551">
        <v>0</v>
      </c>
    </row>
    <row r="552" spans="1:15" x14ac:dyDescent="0.3">
      <c r="A552">
        <v>647</v>
      </c>
      <c r="B552" s="34">
        <v>38819</v>
      </c>
      <c r="C552">
        <v>1.2139</v>
      </c>
      <c r="D552">
        <v>-6</v>
      </c>
      <c r="F552">
        <v>0.238199999999997</v>
      </c>
      <c r="G552">
        <v>16.479663394109501</v>
      </c>
      <c r="H552">
        <v>1</v>
      </c>
      <c r="I552">
        <v>0.54791339999999999</v>
      </c>
      <c r="J552">
        <v>2006</v>
      </c>
      <c r="K552">
        <v>4</v>
      </c>
      <c r="L552">
        <v>12</v>
      </c>
      <c r="M552" t="s">
        <v>89</v>
      </c>
      <c r="N552">
        <v>0</v>
      </c>
      <c r="O552">
        <v>0</v>
      </c>
    </row>
    <row r="553" spans="1:15" x14ac:dyDescent="0.3">
      <c r="A553">
        <v>648</v>
      </c>
      <c r="B553" s="34">
        <v>38820</v>
      </c>
      <c r="C553">
        <v>1.2104999999999999</v>
      </c>
      <c r="D553">
        <v>6</v>
      </c>
      <c r="E553" t="s">
        <v>227</v>
      </c>
      <c r="F553">
        <v>0.238399999999997</v>
      </c>
      <c r="G553">
        <v>16.409537166900499</v>
      </c>
      <c r="H553">
        <v>0</v>
      </c>
      <c r="I553">
        <v>0.54706790000000005</v>
      </c>
      <c r="J553">
        <v>2006</v>
      </c>
      <c r="K553">
        <v>4</v>
      </c>
      <c r="L553">
        <v>13</v>
      </c>
      <c r="M553" t="s">
        <v>90</v>
      </c>
      <c r="N553">
        <v>0</v>
      </c>
      <c r="O553">
        <v>0</v>
      </c>
    </row>
    <row r="554" spans="1:15" x14ac:dyDescent="0.3">
      <c r="A554">
        <v>649</v>
      </c>
      <c r="B554" s="34">
        <v>38821</v>
      </c>
      <c r="C554">
        <v>1.2107000000000001</v>
      </c>
      <c r="D554">
        <v>0</v>
      </c>
      <c r="F554">
        <v>0.238399999999997</v>
      </c>
      <c r="G554">
        <v>16.409537166900499</v>
      </c>
      <c r="H554">
        <v>1</v>
      </c>
      <c r="I554">
        <v>0.54776579999999997</v>
      </c>
      <c r="J554">
        <v>2006</v>
      </c>
      <c r="K554">
        <v>4</v>
      </c>
      <c r="L554">
        <v>14</v>
      </c>
      <c r="M554" t="s">
        <v>91</v>
      </c>
      <c r="N554">
        <v>0</v>
      </c>
      <c r="O554">
        <v>0</v>
      </c>
    </row>
    <row r="555" spans="1:15" x14ac:dyDescent="0.3">
      <c r="A555">
        <v>650</v>
      </c>
      <c r="B555" s="34">
        <v>38824</v>
      </c>
      <c r="C555">
        <v>1.2111000000000001</v>
      </c>
      <c r="D555">
        <v>-3</v>
      </c>
      <c r="F555">
        <v>0.22389999999999699</v>
      </c>
      <c r="G555">
        <v>21.493688639551301</v>
      </c>
      <c r="H555">
        <v>1</v>
      </c>
      <c r="I555">
        <v>0.54846159999999999</v>
      </c>
      <c r="J555">
        <v>2006</v>
      </c>
      <c r="K555">
        <v>4</v>
      </c>
      <c r="L555">
        <v>17</v>
      </c>
      <c r="M555" t="s">
        <v>92</v>
      </c>
      <c r="N555">
        <v>0</v>
      </c>
      <c r="O555">
        <v>0</v>
      </c>
    </row>
    <row r="556" spans="1:15" x14ac:dyDescent="0.3">
      <c r="A556">
        <v>651</v>
      </c>
      <c r="B556" s="34">
        <v>38825</v>
      </c>
      <c r="C556">
        <v>1.2256</v>
      </c>
      <c r="D556">
        <v>-16</v>
      </c>
      <c r="F556">
        <v>0.21279999999999699</v>
      </c>
      <c r="G556">
        <v>25.385694249649401</v>
      </c>
      <c r="H556">
        <v>0.5</v>
      </c>
      <c r="I556">
        <v>0.54838710000000002</v>
      </c>
      <c r="J556">
        <v>2006</v>
      </c>
      <c r="K556">
        <v>4</v>
      </c>
      <c r="L556">
        <v>18</v>
      </c>
      <c r="M556" t="s">
        <v>93</v>
      </c>
      <c r="N556">
        <v>0</v>
      </c>
      <c r="O556">
        <v>0</v>
      </c>
    </row>
    <row r="557" spans="1:15" x14ac:dyDescent="0.3">
      <c r="A557">
        <v>652</v>
      </c>
      <c r="B557" s="34">
        <v>38826</v>
      </c>
      <c r="C557">
        <v>1.2366999999999999</v>
      </c>
      <c r="D557">
        <v>0</v>
      </c>
      <c r="F557">
        <v>0.21279999999999699</v>
      </c>
      <c r="G557">
        <v>25.385694249649401</v>
      </c>
      <c r="H557">
        <v>0</v>
      </c>
      <c r="I557">
        <v>0.54754599999999998</v>
      </c>
      <c r="J557">
        <v>2006</v>
      </c>
      <c r="K557">
        <v>4</v>
      </c>
      <c r="L557">
        <v>19</v>
      </c>
      <c r="M557" t="s">
        <v>89</v>
      </c>
      <c r="N557">
        <v>0</v>
      </c>
      <c r="O557">
        <v>0</v>
      </c>
    </row>
    <row r="558" spans="1:15" x14ac:dyDescent="0.3">
      <c r="A558">
        <v>653</v>
      </c>
      <c r="B558" s="34">
        <v>38827</v>
      </c>
      <c r="C558">
        <v>1.2379</v>
      </c>
      <c r="D558">
        <v>0</v>
      </c>
      <c r="F558">
        <v>0.21279999999999699</v>
      </c>
      <c r="G558">
        <v>25.385694249649401</v>
      </c>
      <c r="H558">
        <v>0</v>
      </c>
      <c r="I558">
        <v>0.54670750000000001</v>
      </c>
      <c r="J558">
        <v>2006</v>
      </c>
      <c r="K558">
        <v>4</v>
      </c>
      <c r="L558">
        <v>20</v>
      </c>
      <c r="M558" t="s">
        <v>90</v>
      </c>
      <c r="N558">
        <v>0</v>
      </c>
      <c r="O558">
        <v>0</v>
      </c>
    </row>
    <row r="559" spans="1:15" x14ac:dyDescent="0.3">
      <c r="A559">
        <v>654</v>
      </c>
      <c r="B559" s="34">
        <v>38828</v>
      </c>
      <c r="C559">
        <v>1.2314000000000001</v>
      </c>
      <c r="D559">
        <v>0</v>
      </c>
      <c r="F559">
        <v>0.21279999999999699</v>
      </c>
      <c r="G559">
        <v>25.385694249649401</v>
      </c>
      <c r="H559">
        <v>0</v>
      </c>
      <c r="I559">
        <v>0.54587160000000001</v>
      </c>
      <c r="J559">
        <v>2006</v>
      </c>
      <c r="K559">
        <v>4</v>
      </c>
      <c r="L559">
        <v>21</v>
      </c>
      <c r="M559" t="s">
        <v>91</v>
      </c>
      <c r="N559">
        <v>0</v>
      </c>
      <c r="O559">
        <v>0</v>
      </c>
    </row>
    <row r="560" spans="1:15" x14ac:dyDescent="0.3">
      <c r="A560">
        <v>655</v>
      </c>
      <c r="B560" s="34">
        <v>38831</v>
      </c>
      <c r="C560">
        <v>1.234</v>
      </c>
      <c r="D560">
        <v>0</v>
      </c>
      <c r="F560">
        <v>0.21279999999999699</v>
      </c>
      <c r="G560">
        <v>25.385694249649401</v>
      </c>
      <c r="H560">
        <v>1</v>
      </c>
      <c r="I560">
        <v>0.54656490000000002</v>
      </c>
      <c r="J560">
        <v>2006</v>
      </c>
      <c r="K560">
        <v>4</v>
      </c>
      <c r="L560">
        <v>24</v>
      </c>
      <c r="M560" t="s">
        <v>92</v>
      </c>
      <c r="N560">
        <v>0</v>
      </c>
      <c r="O560">
        <v>0</v>
      </c>
    </row>
    <row r="561" spans="1:15" x14ac:dyDescent="0.3">
      <c r="A561">
        <v>656</v>
      </c>
      <c r="B561" s="34">
        <v>38832</v>
      </c>
      <c r="C561">
        <v>1.2383999999999999</v>
      </c>
      <c r="D561">
        <v>-6</v>
      </c>
      <c r="F561">
        <v>0.208399999999997</v>
      </c>
      <c r="G561">
        <v>26.9284712482469</v>
      </c>
      <c r="H561">
        <v>0.5</v>
      </c>
      <c r="I561">
        <v>0.54649389999999998</v>
      </c>
      <c r="J561">
        <v>2006</v>
      </c>
      <c r="K561">
        <v>4</v>
      </c>
      <c r="L561">
        <v>25</v>
      </c>
      <c r="M561" t="s">
        <v>93</v>
      </c>
      <c r="N561">
        <v>0</v>
      </c>
      <c r="O561">
        <v>0</v>
      </c>
    </row>
    <row r="562" spans="1:15" x14ac:dyDescent="0.3">
      <c r="A562">
        <v>657</v>
      </c>
      <c r="B562" s="34">
        <v>38833</v>
      </c>
      <c r="C562">
        <v>1.2427999999999999</v>
      </c>
      <c r="D562">
        <v>-1</v>
      </c>
      <c r="F562">
        <v>0.20649999999999699</v>
      </c>
      <c r="G562">
        <v>27.594670406732199</v>
      </c>
      <c r="H562">
        <v>0</v>
      </c>
      <c r="I562">
        <v>0.54566210000000004</v>
      </c>
      <c r="J562">
        <v>2006</v>
      </c>
      <c r="K562">
        <v>4</v>
      </c>
      <c r="L562">
        <v>26</v>
      </c>
      <c r="M562" t="s">
        <v>89</v>
      </c>
      <c r="N562">
        <v>0</v>
      </c>
      <c r="O562">
        <v>0</v>
      </c>
    </row>
    <row r="563" spans="1:15" x14ac:dyDescent="0.3">
      <c r="A563">
        <v>658</v>
      </c>
      <c r="B563" s="34">
        <v>38834</v>
      </c>
      <c r="C563">
        <v>1.2446999999999999</v>
      </c>
      <c r="D563">
        <v>1</v>
      </c>
      <c r="E563" t="s">
        <v>228</v>
      </c>
      <c r="F563">
        <v>0.21459999999999699</v>
      </c>
      <c r="G563">
        <v>24.7545582047686</v>
      </c>
      <c r="H563">
        <v>0</v>
      </c>
      <c r="I563">
        <v>0.54483280000000001</v>
      </c>
      <c r="J563">
        <v>2006</v>
      </c>
      <c r="K563">
        <v>4</v>
      </c>
      <c r="L563">
        <v>27</v>
      </c>
      <c r="M563" t="s">
        <v>90</v>
      </c>
      <c r="N563">
        <v>0</v>
      </c>
      <c r="O563">
        <v>0</v>
      </c>
    </row>
    <row r="564" spans="1:15" x14ac:dyDescent="0.3">
      <c r="A564">
        <v>659</v>
      </c>
      <c r="B564" s="34">
        <v>38835</v>
      </c>
      <c r="C564">
        <v>1.2527999999999999</v>
      </c>
      <c r="D564">
        <v>-3</v>
      </c>
      <c r="F564">
        <v>0.203899999999997</v>
      </c>
      <c r="G564">
        <v>28.506311360449001</v>
      </c>
      <c r="H564">
        <v>0</v>
      </c>
      <c r="I564">
        <v>0.54400599999999999</v>
      </c>
      <c r="J564">
        <v>2006</v>
      </c>
      <c r="K564">
        <v>4</v>
      </c>
      <c r="L564">
        <v>28</v>
      </c>
      <c r="M564" t="s">
        <v>91</v>
      </c>
      <c r="N564">
        <v>0</v>
      </c>
      <c r="O564">
        <v>0</v>
      </c>
    </row>
    <row r="565" spans="1:15" x14ac:dyDescent="0.3">
      <c r="A565">
        <v>660</v>
      </c>
      <c r="B565" s="34">
        <v>38838</v>
      </c>
      <c r="C565">
        <v>1.2635000000000001</v>
      </c>
      <c r="D565">
        <v>0</v>
      </c>
      <c r="F565">
        <v>0.203899999999997</v>
      </c>
      <c r="G565">
        <v>28.506311360449001</v>
      </c>
      <c r="H565">
        <v>0</v>
      </c>
      <c r="I565">
        <v>0.54318180000000005</v>
      </c>
      <c r="J565">
        <v>2006</v>
      </c>
      <c r="K565">
        <v>5</v>
      </c>
      <c r="L565">
        <v>1</v>
      </c>
      <c r="M565" t="s">
        <v>92</v>
      </c>
      <c r="N565">
        <v>0</v>
      </c>
      <c r="O565">
        <v>0</v>
      </c>
    </row>
    <row r="566" spans="1:15" x14ac:dyDescent="0.3">
      <c r="A566">
        <v>661</v>
      </c>
      <c r="B566" s="34">
        <v>38839</v>
      </c>
      <c r="C566">
        <v>1.2567999999999999</v>
      </c>
      <c r="D566">
        <v>0</v>
      </c>
      <c r="F566">
        <v>0.203899999999997</v>
      </c>
      <c r="G566">
        <v>28.506311360449001</v>
      </c>
      <c r="H566">
        <v>1</v>
      </c>
      <c r="I566">
        <v>0.54387289999999999</v>
      </c>
      <c r="J566">
        <v>2006</v>
      </c>
      <c r="K566">
        <v>5</v>
      </c>
      <c r="L566">
        <v>2</v>
      </c>
      <c r="M566" t="s">
        <v>93</v>
      </c>
      <c r="N566">
        <v>0</v>
      </c>
      <c r="O566">
        <v>0</v>
      </c>
    </row>
    <row r="567" spans="1:15" x14ac:dyDescent="0.3">
      <c r="A567">
        <v>662</v>
      </c>
      <c r="B567" s="34">
        <v>38840</v>
      </c>
      <c r="C567">
        <v>1.2612000000000001</v>
      </c>
      <c r="D567">
        <v>-9</v>
      </c>
      <c r="F567">
        <v>0.20219999999999699</v>
      </c>
      <c r="G567">
        <v>29.102384291725201</v>
      </c>
      <c r="H567">
        <v>1</v>
      </c>
      <c r="I567">
        <v>0.54456190000000004</v>
      </c>
      <c r="J567">
        <v>2006</v>
      </c>
      <c r="K567">
        <v>5</v>
      </c>
      <c r="L567">
        <v>3</v>
      </c>
      <c r="M567" t="s">
        <v>89</v>
      </c>
      <c r="N567">
        <v>0</v>
      </c>
      <c r="O567">
        <v>0</v>
      </c>
    </row>
    <row r="568" spans="1:15" x14ac:dyDescent="0.3">
      <c r="A568">
        <v>663</v>
      </c>
      <c r="B568" s="34">
        <v>38841</v>
      </c>
      <c r="C568">
        <v>1.2628999999999999</v>
      </c>
      <c r="D568">
        <v>0</v>
      </c>
      <c r="F568">
        <v>0.20219999999999699</v>
      </c>
      <c r="G568">
        <v>29.102384291725201</v>
      </c>
      <c r="H568">
        <v>0</v>
      </c>
      <c r="I568">
        <v>0.54374060000000002</v>
      </c>
      <c r="J568">
        <v>2006</v>
      </c>
      <c r="K568">
        <v>5</v>
      </c>
      <c r="L568">
        <v>4</v>
      </c>
      <c r="M568" t="s">
        <v>90</v>
      </c>
      <c r="N568">
        <v>0</v>
      </c>
      <c r="O568">
        <v>0</v>
      </c>
    </row>
    <row r="569" spans="1:15" x14ac:dyDescent="0.3">
      <c r="A569">
        <v>664</v>
      </c>
      <c r="B569" s="34">
        <v>38842</v>
      </c>
      <c r="C569">
        <v>1.2696000000000001</v>
      </c>
      <c r="D569">
        <v>0</v>
      </c>
      <c r="F569">
        <v>0.20219999999999699</v>
      </c>
      <c r="G569">
        <v>29.102384291725201</v>
      </c>
      <c r="H569">
        <v>0</v>
      </c>
      <c r="I569">
        <v>0.54292169999999995</v>
      </c>
      <c r="J569">
        <v>2006</v>
      </c>
      <c r="K569">
        <v>5</v>
      </c>
      <c r="L569">
        <v>5</v>
      </c>
      <c r="M569" t="s">
        <v>91</v>
      </c>
      <c r="N569">
        <v>0</v>
      </c>
      <c r="O569">
        <v>0</v>
      </c>
    </row>
    <row r="570" spans="1:15" x14ac:dyDescent="0.3">
      <c r="A570">
        <v>665</v>
      </c>
      <c r="B570" s="34">
        <v>38845</v>
      </c>
      <c r="C570">
        <v>1.2726999999999999</v>
      </c>
      <c r="D570">
        <v>0</v>
      </c>
      <c r="F570">
        <v>0.20219999999999699</v>
      </c>
      <c r="G570">
        <v>29.102384291725201</v>
      </c>
      <c r="H570">
        <v>0</v>
      </c>
      <c r="I570">
        <v>0.54210530000000001</v>
      </c>
      <c r="J570">
        <v>2006</v>
      </c>
      <c r="K570">
        <v>5</v>
      </c>
      <c r="L570">
        <v>8</v>
      </c>
      <c r="M570" t="s">
        <v>92</v>
      </c>
      <c r="N570">
        <v>0</v>
      </c>
      <c r="O570">
        <v>0</v>
      </c>
    </row>
    <row r="571" spans="1:15" x14ac:dyDescent="0.3">
      <c r="A571">
        <v>666</v>
      </c>
      <c r="B571" s="34">
        <v>38846</v>
      </c>
      <c r="C571">
        <v>1.2701</v>
      </c>
      <c r="D571">
        <v>0</v>
      </c>
      <c r="F571">
        <v>0.20219999999999699</v>
      </c>
      <c r="G571">
        <v>29.102384291725201</v>
      </c>
      <c r="H571">
        <v>1</v>
      </c>
      <c r="I571">
        <v>0.54279279999999996</v>
      </c>
      <c r="J571">
        <v>2006</v>
      </c>
      <c r="K571">
        <v>5</v>
      </c>
      <c r="L571">
        <v>9</v>
      </c>
      <c r="M571" t="s">
        <v>93</v>
      </c>
      <c r="N571">
        <v>0</v>
      </c>
      <c r="O571">
        <v>0</v>
      </c>
    </row>
    <row r="572" spans="1:15" x14ac:dyDescent="0.3">
      <c r="A572">
        <v>667</v>
      </c>
      <c r="B572" s="34">
        <v>38847</v>
      </c>
      <c r="C572">
        <v>1.2763</v>
      </c>
      <c r="D572">
        <v>-9</v>
      </c>
      <c r="F572">
        <v>0.20029999999999701</v>
      </c>
      <c r="G572">
        <v>29.7685834502105</v>
      </c>
      <c r="H572">
        <v>0</v>
      </c>
      <c r="I572">
        <v>0.54197899999999999</v>
      </c>
      <c r="J572">
        <v>2006</v>
      </c>
      <c r="K572">
        <v>5</v>
      </c>
      <c r="L572">
        <v>10</v>
      </c>
      <c r="M572" t="s">
        <v>89</v>
      </c>
      <c r="N572">
        <v>0</v>
      </c>
      <c r="O572">
        <v>0</v>
      </c>
    </row>
    <row r="573" spans="1:15" x14ac:dyDescent="0.3">
      <c r="A573">
        <v>668</v>
      </c>
      <c r="B573" s="34">
        <v>38848</v>
      </c>
      <c r="C573">
        <v>1.2782</v>
      </c>
      <c r="D573">
        <v>0</v>
      </c>
      <c r="F573">
        <v>0.20029999999999701</v>
      </c>
      <c r="G573">
        <v>29.7685834502105</v>
      </c>
      <c r="H573">
        <v>0</v>
      </c>
      <c r="I573">
        <v>0.54116770000000003</v>
      </c>
      <c r="J573">
        <v>2006</v>
      </c>
      <c r="K573">
        <v>5</v>
      </c>
      <c r="L573">
        <v>11</v>
      </c>
      <c r="M573" t="s">
        <v>90</v>
      </c>
      <c r="N573">
        <v>0</v>
      </c>
      <c r="O573">
        <v>0</v>
      </c>
    </row>
    <row r="574" spans="1:15" x14ac:dyDescent="0.3">
      <c r="A574">
        <v>669</v>
      </c>
      <c r="B574" s="34">
        <v>38849</v>
      </c>
      <c r="C574">
        <v>1.2836000000000001</v>
      </c>
      <c r="D574">
        <v>0</v>
      </c>
      <c r="F574">
        <v>0.20029999999999701</v>
      </c>
      <c r="G574">
        <v>29.7685834502105</v>
      </c>
      <c r="H574">
        <v>1</v>
      </c>
      <c r="I574">
        <v>0.54185349999999999</v>
      </c>
      <c r="J574">
        <v>2006</v>
      </c>
      <c r="K574">
        <v>5</v>
      </c>
      <c r="L574">
        <v>12</v>
      </c>
      <c r="M574" t="s">
        <v>91</v>
      </c>
      <c r="N574">
        <v>0</v>
      </c>
      <c r="O574">
        <v>0</v>
      </c>
    </row>
    <row r="575" spans="1:15" x14ac:dyDescent="0.3">
      <c r="A575">
        <v>670</v>
      </c>
      <c r="B575" s="34">
        <v>38852</v>
      </c>
      <c r="C575">
        <v>1.2926</v>
      </c>
      <c r="D575">
        <v>0</v>
      </c>
      <c r="F575">
        <v>0.20029999999999701</v>
      </c>
      <c r="G575">
        <v>29.7685834502105</v>
      </c>
      <c r="H575">
        <v>1</v>
      </c>
      <c r="I575">
        <v>0.5425373</v>
      </c>
      <c r="J575">
        <v>2006</v>
      </c>
      <c r="K575">
        <v>5</v>
      </c>
      <c r="L575">
        <v>15</v>
      </c>
      <c r="M575" t="s">
        <v>92</v>
      </c>
      <c r="N575">
        <v>0</v>
      </c>
      <c r="O575">
        <v>0</v>
      </c>
    </row>
    <row r="576" spans="1:15" x14ac:dyDescent="0.3">
      <c r="A576">
        <v>671</v>
      </c>
      <c r="B576" s="34">
        <v>38853</v>
      </c>
      <c r="C576">
        <v>1.28</v>
      </c>
      <c r="D576">
        <v>0</v>
      </c>
      <c r="F576">
        <v>0.20029999999999701</v>
      </c>
      <c r="G576">
        <v>29.7685834502105</v>
      </c>
      <c r="H576">
        <v>1</v>
      </c>
      <c r="I576">
        <v>0.54321909999999995</v>
      </c>
      <c r="J576">
        <v>2006</v>
      </c>
      <c r="K576">
        <v>5</v>
      </c>
      <c r="L576">
        <v>16</v>
      </c>
      <c r="M576" t="s">
        <v>93</v>
      </c>
      <c r="N576">
        <v>0</v>
      </c>
      <c r="O576">
        <v>0</v>
      </c>
    </row>
    <row r="577" spans="1:15" x14ac:dyDescent="0.3">
      <c r="A577">
        <v>672</v>
      </c>
      <c r="B577" s="34">
        <v>38854</v>
      </c>
      <c r="C577">
        <v>1.286</v>
      </c>
      <c r="D577">
        <v>-2</v>
      </c>
      <c r="F577">
        <v>0.21379999999999699</v>
      </c>
      <c r="G577">
        <v>25.035063113604501</v>
      </c>
      <c r="H577">
        <v>1</v>
      </c>
      <c r="I577">
        <v>0.54389880000000002</v>
      </c>
      <c r="J577">
        <v>2006</v>
      </c>
      <c r="K577">
        <v>5</v>
      </c>
      <c r="L577">
        <v>17</v>
      </c>
      <c r="M577" t="s">
        <v>89</v>
      </c>
      <c r="N577">
        <v>0</v>
      </c>
      <c r="O577">
        <v>0</v>
      </c>
    </row>
    <row r="578" spans="1:15" x14ac:dyDescent="0.3">
      <c r="A578">
        <v>673</v>
      </c>
      <c r="B578" s="34">
        <v>38855</v>
      </c>
      <c r="C578">
        <v>1.2725</v>
      </c>
      <c r="D578">
        <v>3</v>
      </c>
      <c r="E578" t="s">
        <v>229</v>
      </c>
      <c r="F578">
        <v>0.226799999999997</v>
      </c>
      <c r="G578">
        <v>20.476858345021</v>
      </c>
      <c r="H578">
        <v>0.5</v>
      </c>
      <c r="I578">
        <v>0.54383360000000003</v>
      </c>
      <c r="J578">
        <v>2006</v>
      </c>
      <c r="K578">
        <v>5</v>
      </c>
      <c r="L578">
        <v>18</v>
      </c>
      <c r="M578" t="s">
        <v>90</v>
      </c>
      <c r="N578">
        <v>0</v>
      </c>
      <c r="O578">
        <v>0</v>
      </c>
    </row>
    <row r="579" spans="1:15" x14ac:dyDescent="0.3">
      <c r="A579">
        <v>674</v>
      </c>
      <c r="B579" s="34">
        <v>38856</v>
      </c>
      <c r="C579">
        <v>1.2855000000000001</v>
      </c>
      <c r="D579">
        <v>0</v>
      </c>
      <c r="F579">
        <v>0.226799999999997</v>
      </c>
      <c r="G579">
        <v>20.476858345021</v>
      </c>
      <c r="H579">
        <v>1</v>
      </c>
      <c r="I579">
        <v>0.54451039999999995</v>
      </c>
      <c r="J579">
        <v>2006</v>
      </c>
      <c r="K579">
        <v>5</v>
      </c>
      <c r="L579">
        <v>19</v>
      </c>
      <c r="M579" t="s">
        <v>91</v>
      </c>
      <c r="N579">
        <v>0</v>
      </c>
      <c r="O579">
        <v>0</v>
      </c>
    </row>
    <row r="580" spans="1:15" x14ac:dyDescent="0.3">
      <c r="A580">
        <v>675</v>
      </c>
      <c r="B580" s="34">
        <v>38859</v>
      </c>
      <c r="C580">
        <v>1.2770999999999999</v>
      </c>
      <c r="D580">
        <v>0</v>
      </c>
      <c r="F580">
        <v>0.226799999999997</v>
      </c>
      <c r="G580">
        <v>20.476858345021</v>
      </c>
      <c r="H580">
        <v>1</v>
      </c>
      <c r="I580">
        <v>0.54518520000000004</v>
      </c>
      <c r="J580">
        <v>2006</v>
      </c>
      <c r="K580">
        <v>5</v>
      </c>
      <c r="L580">
        <v>22</v>
      </c>
      <c r="M580" t="s">
        <v>92</v>
      </c>
      <c r="N580">
        <v>0</v>
      </c>
      <c r="O580">
        <v>0</v>
      </c>
    </row>
    <row r="581" spans="1:15" x14ac:dyDescent="0.3">
      <c r="A581">
        <v>676</v>
      </c>
      <c r="B581" s="34">
        <v>38860</v>
      </c>
      <c r="C581">
        <v>1.286</v>
      </c>
      <c r="D581">
        <v>-1</v>
      </c>
      <c r="F581">
        <v>0.23399999999999699</v>
      </c>
      <c r="G581">
        <v>17.9523141654978</v>
      </c>
      <c r="H581">
        <v>1</v>
      </c>
      <c r="I581">
        <v>0.54585799999999995</v>
      </c>
      <c r="J581">
        <v>2006</v>
      </c>
      <c r="K581">
        <v>5</v>
      </c>
      <c r="L581">
        <v>23</v>
      </c>
      <c r="M581" t="s">
        <v>93</v>
      </c>
      <c r="N581">
        <v>0</v>
      </c>
      <c r="O581">
        <v>0</v>
      </c>
    </row>
    <row r="582" spans="1:15" x14ac:dyDescent="0.3">
      <c r="A582">
        <v>677</v>
      </c>
      <c r="B582" s="34">
        <v>38861</v>
      </c>
      <c r="C582">
        <v>1.2787999999999999</v>
      </c>
      <c r="D582">
        <v>0</v>
      </c>
      <c r="F582">
        <v>0.23399999999999699</v>
      </c>
      <c r="G582">
        <v>17.9523141654978</v>
      </c>
      <c r="H582">
        <v>1</v>
      </c>
      <c r="I582">
        <v>0.54652880000000004</v>
      </c>
      <c r="J582">
        <v>2006</v>
      </c>
      <c r="K582">
        <v>5</v>
      </c>
      <c r="L582">
        <v>24</v>
      </c>
      <c r="M582" t="s">
        <v>89</v>
      </c>
      <c r="N582">
        <v>0</v>
      </c>
      <c r="O582">
        <v>0</v>
      </c>
    </row>
    <row r="583" spans="1:15" x14ac:dyDescent="0.3">
      <c r="A583">
        <v>678</v>
      </c>
      <c r="B583" s="34">
        <v>38862</v>
      </c>
      <c r="C583">
        <v>1.2758</v>
      </c>
      <c r="D583">
        <v>3</v>
      </c>
      <c r="E583" t="s">
        <v>230</v>
      </c>
      <c r="F583">
        <v>0.24059999999999701</v>
      </c>
      <c r="G583">
        <v>15.6381486676016</v>
      </c>
      <c r="H583">
        <v>0</v>
      </c>
      <c r="I583">
        <v>0.54572270000000001</v>
      </c>
      <c r="J583">
        <v>2006</v>
      </c>
      <c r="K583">
        <v>5</v>
      </c>
      <c r="L583">
        <v>25</v>
      </c>
      <c r="M583" t="s">
        <v>90</v>
      </c>
      <c r="N583">
        <v>0</v>
      </c>
      <c r="O583">
        <v>0</v>
      </c>
    </row>
    <row r="584" spans="1:15" x14ac:dyDescent="0.3">
      <c r="A584">
        <v>679</v>
      </c>
      <c r="B584" s="34">
        <v>38863</v>
      </c>
      <c r="C584">
        <v>1.2824</v>
      </c>
      <c r="D584">
        <v>0</v>
      </c>
      <c r="F584">
        <v>0.24059999999999701</v>
      </c>
      <c r="G584">
        <v>15.6381486676016</v>
      </c>
      <c r="H584">
        <v>1</v>
      </c>
      <c r="I584">
        <v>0.54639170000000004</v>
      </c>
      <c r="J584">
        <v>2006</v>
      </c>
      <c r="K584">
        <v>5</v>
      </c>
      <c r="L584">
        <v>26</v>
      </c>
      <c r="M584" t="s">
        <v>91</v>
      </c>
      <c r="N584">
        <v>0</v>
      </c>
      <c r="O584">
        <v>0</v>
      </c>
    </row>
    <row r="585" spans="1:15" x14ac:dyDescent="0.3">
      <c r="A585">
        <v>680</v>
      </c>
      <c r="B585" s="34">
        <v>38866</v>
      </c>
      <c r="C585">
        <v>1.2737000000000001</v>
      </c>
      <c r="D585">
        <v>1</v>
      </c>
      <c r="E585" t="s">
        <v>231</v>
      </c>
      <c r="F585">
        <v>0.24179999999999699</v>
      </c>
      <c r="G585">
        <v>15.2173913043477</v>
      </c>
      <c r="H585">
        <v>1</v>
      </c>
      <c r="I585">
        <v>0.54705879999999996</v>
      </c>
      <c r="J585">
        <v>2006</v>
      </c>
      <c r="K585">
        <v>5</v>
      </c>
      <c r="L585">
        <v>29</v>
      </c>
      <c r="M585" t="s">
        <v>92</v>
      </c>
      <c r="N585">
        <v>0</v>
      </c>
      <c r="O585">
        <v>0</v>
      </c>
    </row>
    <row r="586" spans="1:15" x14ac:dyDescent="0.3">
      <c r="A586">
        <v>681</v>
      </c>
      <c r="B586" s="34">
        <v>38867</v>
      </c>
      <c r="C586">
        <v>1.2748999999999999</v>
      </c>
      <c r="D586">
        <v>0</v>
      </c>
      <c r="F586">
        <v>0.24179999999999699</v>
      </c>
      <c r="G586">
        <v>15.2173913043477</v>
      </c>
      <c r="H586">
        <v>1</v>
      </c>
      <c r="I586">
        <v>0.54772390000000004</v>
      </c>
      <c r="J586">
        <v>2006</v>
      </c>
      <c r="K586">
        <v>5</v>
      </c>
      <c r="L586">
        <v>30</v>
      </c>
      <c r="M586" t="s">
        <v>93</v>
      </c>
      <c r="N586">
        <v>0</v>
      </c>
      <c r="O586">
        <v>0</v>
      </c>
    </row>
    <row r="587" spans="1:15" x14ac:dyDescent="0.3">
      <c r="A587">
        <v>682</v>
      </c>
      <c r="B587" s="34">
        <v>38868</v>
      </c>
      <c r="C587">
        <v>1.2875000000000001</v>
      </c>
      <c r="D587">
        <v>0</v>
      </c>
      <c r="F587">
        <v>0.24179999999999699</v>
      </c>
      <c r="G587">
        <v>15.2173913043477</v>
      </c>
      <c r="H587">
        <v>1</v>
      </c>
      <c r="I587">
        <v>0.54838710000000002</v>
      </c>
      <c r="J587">
        <v>2006</v>
      </c>
      <c r="K587">
        <v>5</v>
      </c>
      <c r="L587">
        <v>31</v>
      </c>
      <c r="M587" t="s">
        <v>89</v>
      </c>
      <c r="N587">
        <v>0</v>
      </c>
      <c r="O587">
        <v>0</v>
      </c>
    </row>
    <row r="588" spans="1:15" x14ac:dyDescent="0.3">
      <c r="A588">
        <v>683</v>
      </c>
      <c r="B588" s="34">
        <v>38869</v>
      </c>
      <c r="C588">
        <v>1.2817000000000001</v>
      </c>
      <c r="D588">
        <v>0</v>
      </c>
      <c r="F588">
        <v>0.24179999999999699</v>
      </c>
      <c r="G588">
        <v>15.2173913043477</v>
      </c>
      <c r="H588">
        <v>1</v>
      </c>
      <c r="I588">
        <v>0.54904830000000004</v>
      </c>
      <c r="J588">
        <v>2006</v>
      </c>
      <c r="K588">
        <v>6</v>
      </c>
      <c r="L588">
        <v>1</v>
      </c>
      <c r="M588" t="s">
        <v>90</v>
      </c>
      <c r="N588">
        <v>0</v>
      </c>
      <c r="O588">
        <v>0</v>
      </c>
    </row>
    <row r="589" spans="1:15" x14ac:dyDescent="0.3">
      <c r="A589">
        <v>684</v>
      </c>
      <c r="B589" s="34">
        <v>38870</v>
      </c>
      <c r="C589">
        <v>1.2816000000000001</v>
      </c>
      <c r="D589">
        <v>0</v>
      </c>
      <c r="F589">
        <v>0.24179999999999699</v>
      </c>
      <c r="G589">
        <v>15.2173913043477</v>
      </c>
      <c r="H589">
        <v>0.5</v>
      </c>
      <c r="I589">
        <v>0.54897660000000004</v>
      </c>
      <c r="J589">
        <v>2006</v>
      </c>
      <c r="K589">
        <v>6</v>
      </c>
      <c r="L589">
        <v>2</v>
      </c>
      <c r="M589" t="s">
        <v>91</v>
      </c>
      <c r="N589">
        <v>0</v>
      </c>
      <c r="O589">
        <v>0</v>
      </c>
    </row>
    <row r="590" spans="1:15" x14ac:dyDescent="0.3">
      <c r="A590">
        <v>685</v>
      </c>
      <c r="B590" s="34">
        <v>38873</v>
      </c>
      <c r="C590">
        <v>1.2922</v>
      </c>
      <c r="D590">
        <v>-17</v>
      </c>
      <c r="F590">
        <v>0.243499999999997</v>
      </c>
      <c r="G590">
        <v>14.6213183730714</v>
      </c>
      <c r="H590">
        <v>0.5</v>
      </c>
      <c r="I590">
        <v>0.54890510000000003</v>
      </c>
      <c r="J590">
        <v>2006</v>
      </c>
      <c r="K590">
        <v>6</v>
      </c>
      <c r="L590">
        <v>5</v>
      </c>
      <c r="M590" t="s">
        <v>92</v>
      </c>
      <c r="N590">
        <v>0</v>
      </c>
      <c r="O590">
        <v>0</v>
      </c>
    </row>
    <row r="591" spans="1:15" x14ac:dyDescent="0.3">
      <c r="A591">
        <v>686</v>
      </c>
      <c r="B591" s="34">
        <v>38874</v>
      </c>
      <c r="C591">
        <v>1.2905</v>
      </c>
      <c r="D591">
        <v>0</v>
      </c>
      <c r="F591">
        <v>0.243499999999997</v>
      </c>
      <c r="G591">
        <v>14.6213183730714</v>
      </c>
      <c r="H591">
        <v>1</v>
      </c>
      <c r="I591">
        <v>0.54956269999999996</v>
      </c>
      <c r="J591">
        <v>2006</v>
      </c>
      <c r="K591">
        <v>6</v>
      </c>
      <c r="L591">
        <v>6</v>
      </c>
      <c r="M591" t="s">
        <v>93</v>
      </c>
      <c r="N591">
        <v>0</v>
      </c>
      <c r="O591">
        <v>0</v>
      </c>
    </row>
    <row r="592" spans="1:15" x14ac:dyDescent="0.3">
      <c r="A592">
        <v>687</v>
      </c>
      <c r="B592" s="34">
        <v>38875</v>
      </c>
      <c r="C592">
        <v>1.2824</v>
      </c>
      <c r="D592">
        <v>2</v>
      </c>
      <c r="E592" t="s">
        <v>232</v>
      </c>
      <c r="F592">
        <v>0.24129999999999699</v>
      </c>
      <c r="G592">
        <v>15.3927068723702</v>
      </c>
      <c r="H592">
        <v>1</v>
      </c>
      <c r="I592">
        <v>0.55021830000000005</v>
      </c>
      <c r="J592">
        <v>2006</v>
      </c>
      <c r="K592">
        <v>6</v>
      </c>
      <c r="L592">
        <v>7</v>
      </c>
      <c r="M592" t="s">
        <v>89</v>
      </c>
      <c r="N592">
        <v>0</v>
      </c>
      <c r="O592">
        <v>0</v>
      </c>
    </row>
    <row r="593" spans="1:15" x14ac:dyDescent="0.3">
      <c r="A593">
        <v>688</v>
      </c>
      <c r="B593" s="34">
        <v>38876</v>
      </c>
      <c r="C593">
        <v>1.2802</v>
      </c>
      <c r="D593">
        <v>0</v>
      </c>
      <c r="F593">
        <v>0.24129999999999699</v>
      </c>
      <c r="G593">
        <v>15.3927068723702</v>
      </c>
      <c r="H593">
        <v>1</v>
      </c>
      <c r="I593">
        <v>0.55087209999999998</v>
      </c>
      <c r="J593">
        <v>2006</v>
      </c>
      <c r="K593">
        <v>6</v>
      </c>
      <c r="L593">
        <v>8</v>
      </c>
      <c r="M593" t="s">
        <v>90</v>
      </c>
      <c r="N593">
        <v>0</v>
      </c>
      <c r="O593">
        <v>0</v>
      </c>
    </row>
    <row r="594" spans="1:15" x14ac:dyDescent="0.3">
      <c r="A594">
        <v>689</v>
      </c>
      <c r="B594" s="34">
        <v>38877</v>
      </c>
      <c r="C594">
        <v>1.2648999999999999</v>
      </c>
      <c r="D594">
        <v>0</v>
      </c>
      <c r="F594">
        <v>0.24129999999999699</v>
      </c>
      <c r="G594">
        <v>15.3927068723702</v>
      </c>
      <c r="H594">
        <v>0</v>
      </c>
      <c r="I594">
        <v>0.55007260000000002</v>
      </c>
      <c r="J594">
        <v>2006</v>
      </c>
      <c r="K594">
        <v>6</v>
      </c>
      <c r="L594">
        <v>9</v>
      </c>
      <c r="M594" t="s">
        <v>91</v>
      </c>
      <c r="N594">
        <v>0</v>
      </c>
      <c r="O594">
        <v>0</v>
      </c>
    </row>
    <row r="595" spans="1:15" x14ac:dyDescent="0.3">
      <c r="A595">
        <v>690</v>
      </c>
      <c r="B595" s="34">
        <v>38880</v>
      </c>
      <c r="C595">
        <v>1.2642</v>
      </c>
      <c r="D595">
        <v>0</v>
      </c>
      <c r="F595">
        <v>0.24129999999999699</v>
      </c>
      <c r="G595">
        <v>15.3927068723702</v>
      </c>
      <c r="H595">
        <v>0</v>
      </c>
      <c r="I595">
        <v>0.54927530000000002</v>
      </c>
      <c r="J595">
        <v>2006</v>
      </c>
      <c r="K595">
        <v>6</v>
      </c>
      <c r="L595">
        <v>12</v>
      </c>
      <c r="M595" t="s">
        <v>92</v>
      </c>
      <c r="N595">
        <v>0</v>
      </c>
      <c r="O595">
        <v>0</v>
      </c>
    </row>
    <row r="596" spans="1:15" x14ac:dyDescent="0.3">
      <c r="A596">
        <v>691</v>
      </c>
      <c r="B596" s="34">
        <v>38881</v>
      </c>
      <c r="C596">
        <v>1.2581</v>
      </c>
      <c r="D596">
        <v>-2</v>
      </c>
      <c r="F596">
        <v>0.24509999999999699</v>
      </c>
      <c r="G596">
        <v>14.060308555399599</v>
      </c>
      <c r="H596">
        <v>0</v>
      </c>
      <c r="I596">
        <v>0.54848050000000004</v>
      </c>
      <c r="J596">
        <v>2006</v>
      </c>
      <c r="K596">
        <v>6</v>
      </c>
      <c r="L596">
        <v>13</v>
      </c>
      <c r="M596" t="s">
        <v>93</v>
      </c>
      <c r="N596">
        <v>0</v>
      </c>
      <c r="O596">
        <v>0</v>
      </c>
    </row>
    <row r="597" spans="1:15" x14ac:dyDescent="0.3">
      <c r="A597">
        <v>692</v>
      </c>
      <c r="B597" s="34">
        <v>38882</v>
      </c>
      <c r="C597">
        <v>1.2543</v>
      </c>
      <c r="D597">
        <v>-1</v>
      </c>
      <c r="F597">
        <v>0.238699999999997</v>
      </c>
      <c r="G597">
        <v>16.304347826086801</v>
      </c>
      <c r="H597">
        <v>0</v>
      </c>
      <c r="I597">
        <v>0.54768790000000001</v>
      </c>
      <c r="J597">
        <v>2006</v>
      </c>
      <c r="K597">
        <v>6</v>
      </c>
      <c r="L597">
        <v>14</v>
      </c>
      <c r="M597" t="s">
        <v>89</v>
      </c>
      <c r="N597">
        <v>0</v>
      </c>
      <c r="O597">
        <v>0</v>
      </c>
    </row>
    <row r="598" spans="1:15" x14ac:dyDescent="0.3">
      <c r="A598">
        <v>693</v>
      </c>
      <c r="B598" s="34">
        <v>38883</v>
      </c>
      <c r="C598">
        <v>1.2606999999999999</v>
      </c>
      <c r="D598">
        <v>-5</v>
      </c>
      <c r="F598">
        <v>0.23629999999999701</v>
      </c>
      <c r="G598">
        <v>17.145862552594501</v>
      </c>
      <c r="H598">
        <v>1</v>
      </c>
      <c r="I598">
        <v>0.54834059999999996</v>
      </c>
      <c r="J598">
        <v>2006</v>
      </c>
      <c r="K598">
        <v>6</v>
      </c>
      <c r="L598">
        <v>15</v>
      </c>
      <c r="M598" t="s">
        <v>90</v>
      </c>
      <c r="N598">
        <v>0</v>
      </c>
      <c r="O598">
        <v>0</v>
      </c>
    </row>
    <row r="599" spans="1:15" x14ac:dyDescent="0.3">
      <c r="A599">
        <v>694</v>
      </c>
      <c r="B599" s="34">
        <v>38884</v>
      </c>
      <c r="C599">
        <v>1.2630999999999999</v>
      </c>
      <c r="D599">
        <v>-1</v>
      </c>
      <c r="F599">
        <v>0.23469999999999699</v>
      </c>
      <c r="G599">
        <v>17.706872370266399</v>
      </c>
      <c r="H599">
        <v>0</v>
      </c>
      <c r="I599">
        <v>0.54755039999999999</v>
      </c>
      <c r="J599">
        <v>2006</v>
      </c>
      <c r="K599">
        <v>6</v>
      </c>
      <c r="L599">
        <v>16</v>
      </c>
      <c r="M599" t="s">
        <v>91</v>
      </c>
      <c r="N599">
        <v>0</v>
      </c>
      <c r="O599">
        <v>0</v>
      </c>
    </row>
    <row r="600" spans="1:15" x14ac:dyDescent="0.3">
      <c r="A600">
        <v>695</v>
      </c>
      <c r="B600" s="34">
        <v>38887</v>
      </c>
      <c r="C600">
        <v>1.2646999999999999</v>
      </c>
      <c r="D600">
        <v>-1</v>
      </c>
      <c r="F600">
        <v>0.24189999999999701</v>
      </c>
      <c r="G600">
        <v>15.1823281907433</v>
      </c>
      <c r="H600">
        <v>0</v>
      </c>
      <c r="I600">
        <v>0.54676259999999999</v>
      </c>
      <c r="J600">
        <v>2006</v>
      </c>
      <c r="K600">
        <v>6</v>
      </c>
      <c r="L600">
        <v>19</v>
      </c>
      <c r="M600" t="s">
        <v>92</v>
      </c>
      <c r="N600">
        <v>0</v>
      </c>
      <c r="O600">
        <v>0</v>
      </c>
    </row>
    <row r="601" spans="1:15" x14ac:dyDescent="0.3">
      <c r="A601">
        <v>696</v>
      </c>
      <c r="B601" s="34">
        <v>38888</v>
      </c>
      <c r="C601">
        <v>1.2575000000000001</v>
      </c>
      <c r="D601">
        <v>4</v>
      </c>
      <c r="E601" t="s">
        <v>233</v>
      </c>
      <c r="F601">
        <v>0.242699999999997</v>
      </c>
      <c r="G601">
        <v>14.901823281907401</v>
      </c>
      <c r="H601">
        <v>1</v>
      </c>
      <c r="I601">
        <v>0.54741379999999995</v>
      </c>
      <c r="J601">
        <v>2006</v>
      </c>
      <c r="K601">
        <v>6</v>
      </c>
      <c r="L601">
        <v>20</v>
      </c>
      <c r="M601" t="s">
        <v>93</v>
      </c>
      <c r="N601">
        <v>0</v>
      </c>
      <c r="O601">
        <v>0</v>
      </c>
    </row>
    <row r="602" spans="1:15" x14ac:dyDescent="0.3">
      <c r="A602">
        <v>697</v>
      </c>
      <c r="B602" s="34">
        <v>38889</v>
      </c>
      <c r="C602">
        <v>1.2583</v>
      </c>
      <c r="D602">
        <v>-1</v>
      </c>
      <c r="F602">
        <v>0.23429999999999701</v>
      </c>
      <c r="G602">
        <v>17.8471248246844</v>
      </c>
      <c r="H602">
        <v>1</v>
      </c>
      <c r="I602">
        <v>0.54806310000000003</v>
      </c>
      <c r="J602">
        <v>2006</v>
      </c>
      <c r="K602">
        <v>6</v>
      </c>
      <c r="L602">
        <v>21</v>
      </c>
      <c r="M602" t="s">
        <v>89</v>
      </c>
      <c r="N602">
        <v>0</v>
      </c>
      <c r="O602">
        <v>0</v>
      </c>
    </row>
    <row r="603" spans="1:15" x14ac:dyDescent="0.3">
      <c r="A603">
        <v>698</v>
      </c>
      <c r="B603" s="34">
        <v>38890</v>
      </c>
      <c r="C603">
        <v>1.2666999999999999</v>
      </c>
      <c r="D603">
        <v>-2</v>
      </c>
      <c r="F603">
        <v>0.243999999999997</v>
      </c>
      <c r="G603">
        <v>14.446002805049</v>
      </c>
      <c r="H603">
        <v>1</v>
      </c>
      <c r="I603">
        <v>0.54871060000000005</v>
      </c>
      <c r="J603">
        <v>2006</v>
      </c>
      <c r="K603">
        <v>6</v>
      </c>
      <c r="L603">
        <v>22</v>
      </c>
      <c r="M603" t="s">
        <v>90</v>
      </c>
      <c r="N603">
        <v>0</v>
      </c>
      <c r="O603">
        <v>0</v>
      </c>
    </row>
    <row r="604" spans="1:15" x14ac:dyDescent="0.3">
      <c r="A604">
        <v>699</v>
      </c>
      <c r="B604" s="34">
        <v>38891</v>
      </c>
      <c r="C604">
        <v>1.2569999999999999</v>
      </c>
      <c r="D604">
        <v>0</v>
      </c>
      <c r="F604">
        <v>0.243999999999997</v>
      </c>
      <c r="G604">
        <v>14.446002805049</v>
      </c>
      <c r="H604">
        <v>1</v>
      </c>
      <c r="I604">
        <v>0.54935619999999996</v>
      </c>
      <c r="J604">
        <v>2006</v>
      </c>
      <c r="K604">
        <v>6</v>
      </c>
      <c r="L604">
        <v>23</v>
      </c>
      <c r="M604" t="s">
        <v>91</v>
      </c>
      <c r="N604">
        <v>0</v>
      </c>
      <c r="O604">
        <v>0</v>
      </c>
    </row>
    <row r="605" spans="1:15" x14ac:dyDescent="0.3">
      <c r="A605">
        <v>700</v>
      </c>
      <c r="B605" s="34">
        <v>38894</v>
      </c>
      <c r="C605">
        <v>1.2509999999999999</v>
      </c>
      <c r="D605">
        <v>0</v>
      </c>
      <c r="F605">
        <v>0.243999999999997</v>
      </c>
      <c r="G605">
        <v>14.446002805049</v>
      </c>
      <c r="H605">
        <v>0</v>
      </c>
      <c r="I605">
        <v>0.54857140000000004</v>
      </c>
      <c r="J605">
        <v>2006</v>
      </c>
      <c r="K605">
        <v>6</v>
      </c>
      <c r="L605">
        <v>26</v>
      </c>
      <c r="M605" t="s">
        <v>92</v>
      </c>
      <c r="N605">
        <v>0</v>
      </c>
      <c r="O605">
        <v>0</v>
      </c>
    </row>
    <row r="606" spans="1:15" x14ac:dyDescent="0.3">
      <c r="A606">
        <v>701</v>
      </c>
      <c r="B606" s="34">
        <v>38895</v>
      </c>
      <c r="C606">
        <v>1.2589999999999999</v>
      </c>
      <c r="D606">
        <v>0</v>
      </c>
      <c r="F606">
        <v>0.243999999999997</v>
      </c>
      <c r="G606">
        <v>14.446002805049</v>
      </c>
      <c r="H606">
        <v>1</v>
      </c>
      <c r="I606">
        <v>0.54921540000000002</v>
      </c>
      <c r="J606">
        <v>2006</v>
      </c>
      <c r="K606">
        <v>6</v>
      </c>
      <c r="L606">
        <v>27</v>
      </c>
      <c r="M606" t="s">
        <v>93</v>
      </c>
      <c r="N606">
        <v>0</v>
      </c>
      <c r="O606">
        <v>0</v>
      </c>
    </row>
    <row r="607" spans="1:15" x14ac:dyDescent="0.3">
      <c r="A607">
        <v>702</v>
      </c>
      <c r="B607" s="34">
        <v>38896</v>
      </c>
      <c r="C607">
        <v>1.2576000000000001</v>
      </c>
      <c r="D607">
        <v>3</v>
      </c>
      <c r="E607" t="s">
        <v>234</v>
      </c>
      <c r="F607">
        <v>0.241199999999997</v>
      </c>
      <c r="G607">
        <v>15.427769985974701</v>
      </c>
      <c r="H607">
        <v>0</v>
      </c>
      <c r="I607">
        <v>0.54843310000000001</v>
      </c>
      <c r="J607">
        <v>2006</v>
      </c>
      <c r="K607">
        <v>6</v>
      </c>
      <c r="L607">
        <v>28</v>
      </c>
      <c r="M607" t="s">
        <v>89</v>
      </c>
      <c r="N607">
        <v>0</v>
      </c>
      <c r="O607">
        <v>0</v>
      </c>
    </row>
    <row r="608" spans="1:15" x14ac:dyDescent="0.3">
      <c r="A608">
        <v>703</v>
      </c>
      <c r="B608" s="34">
        <v>38897</v>
      </c>
      <c r="C608">
        <v>1.2547999999999999</v>
      </c>
      <c r="D608">
        <v>3</v>
      </c>
      <c r="E608" t="s">
        <v>235</v>
      </c>
      <c r="F608">
        <v>0.25319999999999698</v>
      </c>
      <c r="G608">
        <v>11.2201963534361</v>
      </c>
      <c r="H608">
        <v>0</v>
      </c>
      <c r="I608">
        <v>0.5476529</v>
      </c>
      <c r="J608">
        <v>2006</v>
      </c>
      <c r="K608">
        <v>6</v>
      </c>
      <c r="L608">
        <v>29</v>
      </c>
      <c r="M608" t="s">
        <v>90</v>
      </c>
      <c r="N608">
        <v>0</v>
      </c>
      <c r="O608">
        <v>0</v>
      </c>
    </row>
    <row r="609" spans="1:15" x14ac:dyDescent="0.3">
      <c r="A609">
        <v>704</v>
      </c>
      <c r="B609" s="34">
        <v>38898</v>
      </c>
      <c r="C609">
        <v>1.2667999999999999</v>
      </c>
      <c r="D609">
        <v>0</v>
      </c>
      <c r="F609">
        <v>0.25319999999999698</v>
      </c>
      <c r="G609">
        <v>11.2201963534361</v>
      </c>
      <c r="H609">
        <v>1</v>
      </c>
      <c r="I609">
        <v>0.54829539999999999</v>
      </c>
      <c r="J609">
        <v>2006</v>
      </c>
      <c r="K609">
        <v>6</v>
      </c>
      <c r="L609">
        <v>30</v>
      </c>
      <c r="M609" t="s">
        <v>91</v>
      </c>
      <c r="N609">
        <v>0</v>
      </c>
      <c r="O609">
        <v>0</v>
      </c>
    </row>
    <row r="610" spans="1:15" x14ac:dyDescent="0.3">
      <c r="A610">
        <v>705</v>
      </c>
      <c r="B610" s="34">
        <v>38901</v>
      </c>
      <c r="C610">
        <v>1.2789999999999999</v>
      </c>
      <c r="D610">
        <v>0</v>
      </c>
      <c r="F610">
        <v>0.25319999999999698</v>
      </c>
      <c r="G610">
        <v>11.2201963534361</v>
      </c>
      <c r="H610">
        <v>0</v>
      </c>
      <c r="I610">
        <v>0.5475177</v>
      </c>
      <c r="J610">
        <v>2006</v>
      </c>
      <c r="K610">
        <v>7</v>
      </c>
      <c r="L610">
        <v>3</v>
      </c>
      <c r="M610" t="s">
        <v>92</v>
      </c>
      <c r="N610">
        <v>0</v>
      </c>
      <c r="O610">
        <v>0</v>
      </c>
    </row>
    <row r="611" spans="1:15" x14ac:dyDescent="0.3">
      <c r="A611">
        <v>706</v>
      </c>
      <c r="B611" s="34">
        <v>38902</v>
      </c>
      <c r="C611">
        <v>1.2793000000000001</v>
      </c>
      <c r="D611">
        <v>0</v>
      </c>
      <c r="F611">
        <v>0.25319999999999698</v>
      </c>
      <c r="G611">
        <v>11.2201963534361</v>
      </c>
      <c r="H611">
        <v>0</v>
      </c>
      <c r="I611">
        <v>0.54674219999999996</v>
      </c>
      <c r="J611">
        <v>2006</v>
      </c>
      <c r="K611">
        <v>7</v>
      </c>
      <c r="L611">
        <v>4</v>
      </c>
      <c r="M611" t="s">
        <v>93</v>
      </c>
      <c r="N611">
        <v>0</v>
      </c>
      <c r="O611">
        <v>0</v>
      </c>
    </row>
    <row r="612" spans="1:15" x14ac:dyDescent="0.3">
      <c r="A612">
        <v>707</v>
      </c>
      <c r="B612" s="34">
        <v>38903</v>
      </c>
      <c r="C612">
        <v>1.2789999999999999</v>
      </c>
      <c r="D612">
        <v>2</v>
      </c>
      <c r="E612" t="s">
        <v>236</v>
      </c>
      <c r="F612">
        <v>0.24659999999999699</v>
      </c>
      <c r="G612">
        <v>13.534361851332299</v>
      </c>
      <c r="H612">
        <v>1</v>
      </c>
      <c r="I612">
        <v>0.54738330000000002</v>
      </c>
      <c r="J612">
        <v>2006</v>
      </c>
      <c r="K612">
        <v>7</v>
      </c>
      <c r="L612">
        <v>5</v>
      </c>
      <c r="M612" t="s">
        <v>89</v>
      </c>
      <c r="N612">
        <v>0</v>
      </c>
      <c r="O612">
        <v>0</v>
      </c>
    </row>
    <row r="613" spans="1:15" x14ac:dyDescent="0.3">
      <c r="A613">
        <v>708</v>
      </c>
      <c r="B613" s="34">
        <v>38904</v>
      </c>
      <c r="C613">
        <v>1.2724</v>
      </c>
      <c r="D613">
        <v>17</v>
      </c>
      <c r="E613" t="s">
        <v>237</v>
      </c>
      <c r="F613">
        <v>0.25209999999999699</v>
      </c>
      <c r="G613">
        <v>11.605890603085401</v>
      </c>
      <c r="H613">
        <v>0.5</v>
      </c>
      <c r="I613">
        <v>0.54731640000000004</v>
      </c>
      <c r="J613">
        <v>2006</v>
      </c>
      <c r="K613">
        <v>7</v>
      </c>
      <c r="L613">
        <v>6</v>
      </c>
      <c r="M613" t="s">
        <v>90</v>
      </c>
      <c r="N613">
        <v>0</v>
      </c>
      <c r="O613">
        <v>0</v>
      </c>
    </row>
    <row r="614" spans="1:15" x14ac:dyDescent="0.3">
      <c r="A614">
        <v>709</v>
      </c>
      <c r="B614" s="34">
        <v>38905</v>
      </c>
      <c r="C614">
        <v>1.2779</v>
      </c>
      <c r="D614">
        <v>-5</v>
      </c>
      <c r="F614">
        <v>0.248999999999997</v>
      </c>
      <c r="G614">
        <v>12.6928471248245</v>
      </c>
      <c r="H614">
        <v>1</v>
      </c>
      <c r="I614">
        <v>0.54795490000000002</v>
      </c>
      <c r="J614">
        <v>2006</v>
      </c>
      <c r="K614">
        <v>7</v>
      </c>
      <c r="L614">
        <v>7</v>
      </c>
      <c r="M614" t="s">
        <v>91</v>
      </c>
      <c r="N614">
        <v>0</v>
      </c>
      <c r="O614">
        <v>0</v>
      </c>
    </row>
    <row r="615" spans="1:15" x14ac:dyDescent="0.3">
      <c r="A615">
        <v>710</v>
      </c>
      <c r="B615" s="34">
        <v>38908</v>
      </c>
      <c r="C615">
        <v>1.2809999999999999</v>
      </c>
      <c r="D615">
        <v>-3</v>
      </c>
      <c r="F615">
        <v>0.25599999999999701</v>
      </c>
      <c r="G615">
        <v>10.238429172510401</v>
      </c>
      <c r="H615">
        <v>0</v>
      </c>
      <c r="I615">
        <v>0.54718310000000003</v>
      </c>
      <c r="J615">
        <v>2006</v>
      </c>
      <c r="K615">
        <v>7</v>
      </c>
      <c r="L615">
        <v>10</v>
      </c>
      <c r="M615" t="s">
        <v>92</v>
      </c>
      <c r="N615">
        <v>0</v>
      </c>
      <c r="O615">
        <v>0</v>
      </c>
    </row>
    <row r="616" spans="1:15" x14ac:dyDescent="0.3">
      <c r="A616">
        <v>711</v>
      </c>
      <c r="B616" s="34">
        <v>38909</v>
      </c>
      <c r="C616">
        <v>1.274</v>
      </c>
      <c r="D616">
        <v>0</v>
      </c>
      <c r="F616">
        <v>0.25599999999999701</v>
      </c>
      <c r="G616">
        <v>10.238429172510401</v>
      </c>
      <c r="H616">
        <v>1</v>
      </c>
      <c r="I616">
        <v>0.54781999999999997</v>
      </c>
      <c r="J616">
        <v>2006</v>
      </c>
      <c r="K616">
        <v>7</v>
      </c>
      <c r="L616">
        <v>11</v>
      </c>
      <c r="M616" t="s">
        <v>93</v>
      </c>
      <c r="N616">
        <v>0</v>
      </c>
      <c r="O616">
        <v>0</v>
      </c>
    </row>
    <row r="617" spans="1:15" x14ac:dyDescent="0.3">
      <c r="A617">
        <v>712</v>
      </c>
      <c r="B617" s="34">
        <v>38910</v>
      </c>
      <c r="C617">
        <v>1.2767999999999999</v>
      </c>
      <c r="D617">
        <v>0</v>
      </c>
      <c r="F617">
        <v>0.25599999999999701</v>
      </c>
      <c r="G617">
        <v>10.238429172510401</v>
      </c>
      <c r="H617">
        <v>1</v>
      </c>
      <c r="I617">
        <v>0.54845509999999997</v>
      </c>
      <c r="J617">
        <v>2006</v>
      </c>
      <c r="K617">
        <v>7</v>
      </c>
      <c r="L617">
        <v>12</v>
      </c>
      <c r="M617" t="s">
        <v>89</v>
      </c>
      <c r="N617">
        <v>0</v>
      </c>
      <c r="O617">
        <v>0</v>
      </c>
    </row>
    <row r="618" spans="1:15" x14ac:dyDescent="0.3">
      <c r="A618">
        <v>713</v>
      </c>
      <c r="B618" s="34">
        <v>38911</v>
      </c>
      <c r="C618">
        <v>1.2701</v>
      </c>
      <c r="D618">
        <v>4</v>
      </c>
      <c r="E618" t="s">
        <v>238</v>
      </c>
      <c r="F618">
        <v>0.25529999999999697</v>
      </c>
      <c r="G618">
        <v>10.483870967741799</v>
      </c>
      <c r="H618">
        <v>0</v>
      </c>
      <c r="I618">
        <v>0.54768589999999995</v>
      </c>
      <c r="J618">
        <v>2006</v>
      </c>
      <c r="K618">
        <v>7</v>
      </c>
      <c r="L618">
        <v>13</v>
      </c>
      <c r="M618" t="s">
        <v>90</v>
      </c>
      <c r="N618">
        <v>0</v>
      </c>
      <c r="O618">
        <v>0</v>
      </c>
    </row>
    <row r="619" spans="1:15" x14ac:dyDescent="0.3">
      <c r="A619">
        <v>714</v>
      </c>
      <c r="B619" s="34">
        <v>38912</v>
      </c>
      <c r="C619">
        <v>1.2694000000000001</v>
      </c>
      <c r="D619">
        <v>0</v>
      </c>
      <c r="F619">
        <v>0.25529999999999697</v>
      </c>
      <c r="G619">
        <v>10.483870967741799</v>
      </c>
      <c r="H619">
        <v>0</v>
      </c>
      <c r="I619">
        <v>0.54691869999999998</v>
      </c>
      <c r="J619">
        <v>2006</v>
      </c>
      <c r="K619">
        <v>7</v>
      </c>
      <c r="L619">
        <v>14</v>
      </c>
      <c r="M619" t="s">
        <v>91</v>
      </c>
      <c r="N619">
        <v>0</v>
      </c>
      <c r="O619">
        <v>0</v>
      </c>
    </row>
    <row r="620" spans="1:15" x14ac:dyDescent="0.3">
      <c r="A620">
        <v>715</v>
      </c>
      <c r="B620" s="34">
        <v>38915</v>
      </c>
      <c r="C620">
        <v>1.2649999999999999</v>
      </c>
      <c r="D620">
        <v>1</v>
      </c>
      <c r="E620" t="s">
        <v>239</v>
      </c>
      <c r="F620">
        <v>0.242499999999997</v>
      </c>
      <c r="G620">
        <v>14.9719495091163</v>
      </c>
      <c r="H620">
        <v>0</v>
      </c>
      <c r="I620">
        <v>0.54615380000000002</v>
      </c>
      <c r="J620">
        <v>2006</v>
      </c>
      <c r="K620">
        <v>7</v>
      </c>
      <c r="L620">
        <v>17</v>
      </c>
      <c r="M620" t="s">
        <v>92</v>
      </c>
      <c r="N620">
        <v>0</v>
      </c>
      <c r="O620">
        <v>0</v>
      </c>
    </row>
    <row r="621" spans="1:15" x14ac:dyDescent="0.3">
      <c r="A621">
        <v>716</v>
      </c>
      <c r="B621" s="34">
        <v>38916</v>
      </c>
      <c r="C621">
        <v>1.2522</v>
      </c>
      <c r="D621">
        <v>1</v>
      </c>
      <c r="E621" t="s">
        <v>240</v>
      </c>
      <c r="F621">
        <v>0.24109999999999701</v>
      </c>
      <c r="G621">
        <v>15.4628330995791</v>
      </c>
      <c r="H621">
        <v>0</v>
      </c>
      <c r="I621">
        <v>0.54539110000000002</v>
      </c>
      <c r="J621">
        <v>2006</v>
      </c>
      <c r="K621">
        <v>7</v>
      </c>
      <c r="L621">
        <v>18</v>
      </c>
      <c r="M621" t="s">
        <v>93</v>
      </c>
      <c r="N621">
        <v>0</v>
      </c>
      <c r="O621">
        <v>0</v>
      </c>
    </row>
    <row r="622" spans="1:15" x14ac:dyDescent="0.3">
      <c r="A622">
        <v>717</v>
      </c>
      <c r="B622" s="34">
        <v>38917</v>
      </c>
      <c r="C622">
        <v>1.2507999999999999</v>
      </c>
      <c r="D622">
        <v>0</v>
      </c>
      <c r="F622">
        <v>0.24109999999999701</v>
      </c>
      <c r="G622">
        <v>15.4628330995791</v>
      </c>
      <c r="H622">
        <v>0</v>
      </c>
      <c r="I622">
        <v>0.54463039999999996</v>
      </c>
      <c r="J622">
        <v>2006</v>
      </c>
      <c r="K622">
        <v>7</v>
      </c>
      <c r="L622">
        <v>19</v>
      </c>
      <c r="M622" t="s">
        <v>89</v>
      </c>
      <c r="N622">
        <v>0</v>
      </c>
      <c r="O622">
        <v>0</v>
      </c>
    </row>
    <row r="623" spans="1:15" x14ac:dyDescent="0.3">
      <c r="A623">
        <v>718</v>
      </c>
      <c r="B623" s="34">
        <v>38918</v>
      </c>
      <c r="C623">
        <v>1.2593000000000001</v>
      </c>
      <c r="D623">
        <v>0</v>
      </c>
      <c r="F623">
        <v>0.24109999999999701</v>
      </c>
      <c r="G623">
        <v>15.4628330995791</v>
      </c>
      <c r="H623">
        <v>1</v>
      </c>
      <c r="I623">
        <v>0.54526459999999999</v>
      </c>
      <c r="J623">
        <v>2006</v>
      </c>
      <c r="K623">
        <v>7</v>
      </c>
      <c r="L623">
        <v>20</v>
      </c>
      <c r="M623" t="s">
        <v>90</v>
      </c>
      <c r="N623">
        <v>0</v>
      </c>
      <c r="O623">
        <v>0</v>
      </c>
    </row>
    <row r="624" spans="1:15" x14ac:dyDescent="0.3">
      <c r="A624">
        <v>719</v>
      </c>
      <c r="B624" s="34">
        <v>38919</v>
      </c>
      <c r="C624">
        <v>1.2627999999999999</v>
      </c>
      <c r="D624">
        <v>-1</v>
      </c>
      <c r="F624">
        <v>0.233899999999997</v>
      </c>
      <c r="G624">
        <v>17.987377279102301</v>
      </c>
      <c r="H624">
        <v>0</v>
      </c>
      <c r="I624">
        <v>0.5445063</v>
      </c>
      <c r="J624">
        <v>2006</v>
      </c>
      <c r="K624">
        <v>7</v>
      </c>
      <c r="L624">
        <v>21</v>
      </c>
      <c r="M624" t="s">
        <v>91</v>
      </c>
      <c r="N624">
        <v>0</v>
      </c>
      <c r="O624">
        <v>0</v>
      </c>
    </row>
    <row r="625" spans="1:15" x14ac:dyDescent="0.3">
      <c r="A625">
        <v>720</v>
      </c>
      <c r="B625" s="34">
        <v>38922</v>
      </c>
      <c r="C625">
        <v>1.27</v>
      </c>
      <c r="D625">
        <v>-4</v>
      </c>
      <c r="F625">
        <v>0.24049999999999699</v>
      </c>
      <c r="G625">
        <v>15.673211781206099</v>
      </c>
      <c r="H625">
        <v>0</v>
      </c>
      <c r="I625">
        <v>0.54374999999999996</v>
      </c>
      <c r="J625">
        <v>2006</v>
      </c>
      <c r="K625">
        <v>7</v>
      </c>
      <c r="L625">
        <v>24</v>
      </c>
      <c r="M625" t="s">
        <v>92</v>
      </c>
      <c r="N625">
        <v>0</v>
      </c>
      <c r="O625">
        <v>0</v>
      </c>
    </row>
    <row r="626" spans="1:15" x14ac:dyDescent="0.3">
      <c r="A626">
        <v>721</v>
      </c>
      <c r="B626" s="34">
        <v>38923</v>
      </c>
      <c r="C626">
        <v>1.2634000000000001</v>
      </c>
      <c r="D626">
        <v>0</v>
      </c>
      <c r="F626">
        <v>0.24049999999999699</v>
      </c>
      <c r="G626">
        <v>15.673211781206099</v>
      </c>
      <c r="H626">
        <v>1</v>
      </c>
      <c r="I626">
        <v>0.54438279999999994</v>
      </c>
      <c r="J626">
        <v>2006</v>
      </c>
      <c r="K626">
        <v>7</v>
      </c>
      <c r="L626">
        <v>25</v>
      </c>
      <c r="M626" t="s">
        <v>93</v>
      </c>
      <c r="N626">
        <v>0</v>
      </c>
      <c r="O626">
        <v>0</v>
      </c>
    </row>
    <row r="627" spans="1:15" x14ac:dyDescent="0.3">
      <c r="A627">
        <v>722</v>
      </c>
      <c r="B627" s="34">
        <v>38924</v>
      </c>
      <c r="C627">
        <v>1.2581</v>
      </c>
      <c r="D627">
        <v>17</v>
      </c>
      <c r="E627" t="s">
        <v>241</v>
      </c>
      <c r="F627">
        <v>0.25369999999999698</v>
      </c>
      <c r="G627">
        <v>11.0448807854136</v>
      </c>
      <c r="H627">
        <v>0</v>
      </c>
      <c r="I627">
        <v>0.54362880000000002</v>
      </c>
      <c r="J627">
        <v>2006</v>
      </c>
      <c r="K627">
        <v>7</v>
      </c>
      <c r="L627">
        <v>26</v>
      </c>
      <c r="M627" t="s">
        <v>89</v>
      </c>
      <c r="N627">
        <v>0</v>
      </c>
      <c r="O627">
        <v>0</v>
      </c>
    </row>
    <row r="628" spans="1:15" x14ac:dyDescent="0.3">
      <c r="A628">
        <v>723</v>
      </c>
      <c r="B628" s="34">
        <v>38925</v>
      </c>
      <c r="C628">
        <v>1.2713000000000001</v>
      </c>
      <c r="D628">
        <v>0</v>
      </c>
      <c r="F628">
        <v>0.25369999999999698</v>
      </c>
      <c r="G628">
        <v>11.0448807854136</v>
      </c>
      <c r="H628">
        <v>1</v>
      </c>
      <c r="I628">
        <v>0.54425999999999997</v>
      </c>
      <c r="J628">
        <v>2006</v>
      </c>
      <c r="K628">
        <v>7</v>
      </c>
      <c r="L628">
        <v>27</v>
      </c>
      <c r="M628" t="s">
        <v>90</v>
      </c>
      <c r="N628">
        <v>0</v>
      </c>
      <c r="O628">
        <v>0</v>
      </c>
    </row>
    <row r="629" spans="1:15" x14ac:dyDescent="0.3">
      <c r="A629">
        <v>724</v>
      </c>
      <c r="B629" s="34">
        <v>38926</v>
      </c>
      <c r="C629">
        <v>1.2698</v>
      </c>
      <c r="D629">
        <v>0</v>
      </c>
      <c r="F629">
        <v>0.25369999999999698</v>
      </c>
      <c r="G629">
        <v>11.0448807854136</v>
      </c>
      <c r="H629">
        <v>1</v>
      </c>
      <c r="I629">
        <v>0.54488950000000003</v>
      </c>
      <c r="J629">
        <v>2006</v>
      </c>
      <c r="K629">
        <v>7</v>
      </c>
      <c r="L629">
        <v>28</v>
      </c>
      <c r="M629" t="s">
        <v>91</v>
      </c>
      <c r="N629">
        <v>0</v>
      </c>
      <c r="O629">
        <v>0</v>
      </c>
    </row>
    <row r="630" spans="1:15" x14ac:dyDescent="0.3">
      <c r="A630">
        <v>725</v>
      </c>
      <c r="B630" s="34">
        <v>38929</v>
      </c>
      <c r="C630">
        <v>1.2762</v>
      </c>
      <c r="D630">
        <v>0</v>
      </c>
      <c r="F630">
        <v>0.25369999999999698</v>
      </c>
      <c r="G630">
        <v>11.0448807854136</v>
      </c>
      <c r="H630">
        <v>0</v>
      </c>
      <c r="I630">
        <v>0.54413800000000001</v>
      </c>
      <c r="J630">
        <v>2006</v>
      </c>
      <c r="K630">
        <v>7</v>
      </c>
      <c r="L630">
        <v>31</v>
      </c>
      <c r="M630" t="s">
        <v>92</v>
      </c>
      <c r="N630">
        <v>0</v>
      </c>
      <c r="O630">
        <v>0</v>
      </c>
    </row>
    <row r="631" spans="1:15" x14ac:dyDescent="0.3">
      <c r="A631">
        <v>726</v>
      </c>
      <c r="B631" s="34">
        <v>38930</v>
      </c>
      <c r="C631">
        <v>1.2766999999999999</v>
      </c>
      <c r="D631">
        <v>0</v>
      </c>
      <c r="F631">
        <v>0.25369999999999698</v>
      </c>
      <c r="G631">
        <v>11.0448807854136</v>
      </c>
      <c r="H631">
        <v>0</v>
      </c>
      <c r="I631">
        <v>0.54338839999999999</v>
      </c>
      <c r="J631">
        <v>2006</v>
      </c>
      <c r="K631">
        <v>8</v>
      </c>
      <c r="L631">
        <v>1</v>
      </c>
      <c r="M631" t="s">
        <v>93</v>
      </c>
      <c r="N631">
        <v>0</v>
      </c>
      <c r="O631">
        <v>0</v>
      </c>
    </row>
    <row r="632" spans="1:15" x14ac:dyDescent="0.3">
      <c r="A632">
        <v>727</v>
      </c>
      <c r="B632" s="34">
        <v>38931</v>
      </c>
      <c r="C632">
        <v>1.2822</v>
      </c>
      <c r="D632">
        <v>-4</v>
      </c>
      <c r="F632">
        <v>0.25689999999999702</v>
      </c>
      <c r="G632">
        <v>9.9228611500699895</v>
      </c>
      <c r="H632">
        <v>0</v>
      </c>
      <c r="I632">
        <v>0.54264100000000004</v>
      </c>
      <c r="J632">
        <v>2006</v>
      </c>
      <c r="K632">
        <v>8</v>
      </c>
      <c r="L632">
        <v>2</v>
      </c>
      <c r="M632" t="s">
        <v>89</v>
      </c>
      <c r="N632">
        <v>0</v>
      </c>
      <c r="O632">
        <v>0</v>
      </c>
    </row>
    <row r="633" spans="1:15" x14ac:dyDescent="0.3">
      <c r="A633">
        <v>728</v>
      </c>
      <c r="B633" s="34">
        <v>38932</v>
      </c>
      <c r="C633">
        <v>1.2789999999999999</v>
      </c>
      <c r="D633">
        <v>0</v>
      </c>
      <c r="F633">
        <v>0.25689999999999702</v>
      </c>
      <c r="G633">
        <v>9.9228611500699895</v>
      </c>
      <c r="H633">
        <v>1</v>
      </c>
      <c r="I633">
        <v>0.54326920000000001</v>
      </c>
      <c r="J633">
        <v>2006</v>
      </c>
      <c r="K633">
        <v>8</v>
      </c>
      <c r="L633">
        <v>3</v>
      </c>
      <c r="M633" t="s">
        <v>90</v>
      </c>
      <c r="N633">
        <v>0</v>
      </c>
      <c r="O633">
        <v>0</v>
      </c>
    </row>
    <row r="634" spans="1:15" x14ac:dyDescent="0.3">
      <c r="A634">
        <v>729</v>
      </c>
      <c r="B634" s="34">
        <v>38933</v>
      </c>
      <c r="C634">
        <v>1.2803</v>
      </c>
      <c r="D634">
        <v>-12</v>
      </c>
      <c r="F634">
        <v>0.249799999999997</v>
      </c>
      <c r="G634">
        <v>12.4123422159887</v>
      </c>
      <c r="H634">
        <v>1</v>
      </c>
      <c r="I634">
        <v>0.54389569999999998</v>
      </c>
      <c r="J634">
        <v>2006</v>
      </c>
      <c r="K634">
        <v>8</v>
      </c>
      <c r="L634">
        <v>4</v>
      </c>
      <c r="M634" t="s">
        <v>91</v>
      </c>
      <c r="N634">
        <v>0</v>
      </c>
      <c r="O634">
        <v>0</v>
      </c>
    </row>
    <row r="635" spans="1:15" x14ac:dyDescent="0.3">
      <c r="A635">
        <v>730</v>
      </c>
      <c r="B635" s="34">
        <v>38936</v>
      </c>
      <c r="C635">
        <v>1.2874000000000001</v>
      </c>
      <c r="D635">
        <v>-2</v>
      </c>
      <c r="F635">
        <v>0.25539999999999702</v>
      </c>
      <c r="G635">
        <v>10.4488078541373</v>
      </c>
      <c r="H635">
        <v>0</v>
      </c>
      <c r="I635">
        <v>0.54315069999999999</v>
      </c>
      <c r="J635">
        <v>2006</v>
      </c>
      <c r="K635">
        <v>8</v>
      </c>
      <c r="L635">
        <v>7</v>
      </c>
      <c r="M635" t="s">
        <v>92</v>
      </c>
      <c r="N635">
        <v>0</v>
      </c>
      <c r="O635">
        <v>0</v>
      </c>
    </row>
    <row r="636" spans="1:15" x14ac:dyDescent="0.3">
      <c r="A636">
        <v>731</v>
      </c>
      <c r="B636" s="34">
        <v>38937</v>
      </c>
      <c r="C636">
        <v>1.2818000000000001</v>
      </c>
      <c r="D636">
        <v>0</v>
      </c>
      <c r="F636">
        <v>0.25539999999999702</v>
      </c>
      <c r="G636">
        <v>10.4488078541373</v>
      </c>
      <c r="H636">
        <v>1</v>
      </c>
      <c r="I636">
        <v>0.54377569999999997</v>
      </c>
      <c r="J636">
        <v>2006</v>
      </c>
      <c r="K636">
        <v>8</v>
      </c>
      <c r="L636">
        <v>8</v>
      </c>
      <c r="M636" t="s">
        <v>93</v>
      </c>
      <c r="N636">
        <v>0</v>
      </c>
      <c r="O636">
        <v>0</v>
      </c>
    </row>
    <row r="637" spans="1:15" x14ac:dyDescent="0.3">
      <c r="A637">
        <v>732</v>
      </c>
      <c r="B637" s="34">
        <v>38938</v>
      </c>
      <c r="C637">
        <v>1.2822</v>
      </c>
      <c r="D637">
        <v>-2</v>
      </c>
      <c r="F637">
        <v>0.25119999999999698</v>
      </c>
      <c r="G637">
        <v>11.921458625525799</v>
      </c>
      <c r="H637">
        <v>0</v>
      </c>
      <c r="I637">
        <v>0.54303279999999998</v>
      </c>
      <c r="J637">
        <v>2006</v>
      </c>
      <c r="K637">
        <v>8</v>
      </c>
      <c r="L637">
        <v>9</v>
      </c>
      <c r="M637" t="s">
        <v>89</v>
      </c>
      <c r="N637">
        <v>0</v>
      </c>
      <c r="O637">
        <v>0</v>
      </c>
    </row>
    <row r="638" spans="1:15" x14ac:dyDescent="0.3">
      <c r="A638">
        <v>733</v>
      </c>
      <c r="B638" s="34">
        <v>38939</v>
      </c>
      <c r="C638">
        <v>1.2864</v>
      </c>
      <c r="D638">
        <v>-9</v>
      </c>
      <c r="F638">
        <v>0.25829999999999698</v>
      </c>
      <c r="G638">
        <v>9.4319775596071995</v>
      </c>
      <c r="H638">
        <v>0</v>
      </c>
      <c r="I638">
        <v>0.54229190000000005</v>
      </c>
      <c r="J638">
        <v>2006</v>
      </c>
      <c r="K638">
        <v>8</v>
      </c>
      <c r="L638">
        <v>10</v>
      </c>
      <c r="M638" t="s">
        <v>90</v>
      </c>
      <c r="N638">
        <v>0</v>
      </c>
      <c r="O638">
        <v>0</v>
      </c>
    </row>
    <row r="639" spans="1:15" x14ac:dyDescent="0.3">
      <c r="A639">
        <v>734</v>
      </c>
      <c r="B639" s="34">
        <v>38940</v>
      </c>
      <c r="C639">
        <v>1.2793000000000001</v>
      </c>
      <c r="D639">
        <v>0</v>
      </c>
      <c r="F639">
        <v>0.25829999999999698</v>
      </c>
      <c r="G639">
        <v>9.4319775596071995</v>
      </c>
      <c r="H639">
        <v>1</v>
      </c>
      <c r="I639">
        <v>0.5429155</v>
      </c>
      <c r="J639">
        <v>2006</v>
      </c>
      <c r="K639">
        <v>8</v>
      </c>
      <c r="L639">
        <v>11</v>
      </c>
      <c r="M639" t="s">
        <v>91</v>
      </c>
      <c r="N639">
        <v>0</v>
      </c>
      <c r="O639">
        <v>0</v>
      </c>
    </row>
    <row r="640" spans="1:15" x14ac:dyDescent="0.3">
      <c r="A640">
        <v>735</v>
      </c>
      <c r="B640" s="34">
        <v>38943</v>
      </c>
      <c r="C640">
        <v>1.2721</v>
      </c>
      <c r="D640">
        <v>0</v>
      </c>
      <c r="F640">
        <v>0.25829999999999698</v>
      </c>
      <c r="G640">
        <v>9.4319775596071995</v>
      </c>
      <c r="H640">
        <v>0</v>
      </c>
      <c r="I640">
        <v>0.54217680000000001</v>
      </c>
      <c r="J640">
        <v>2006</v>
      </c>
      <c r="K640">
        <v>8</v>
      </c>
      <c r="L640">
        <v>14</v>
      </c>
      <c r="M640" t="s">
        <v>92</v>
      </c>
      <c r="N640">
        <v>0</v>
      </c>
      <c r="O640">
        <v>0</v>
      </c>
    </row>
    <row r="641" spans="1:15" x14ac:dyDescent="0.3">
      <c r="A641">
        <v>736</v>
      </c>
      <c r="B641" s="34">
        <v>38944</v>
      </c>
      <c r="C641">
        <v>1.2724</v>
      </c>
      <c r="D641">
        <v>0</v>
      </c>
      <c r="F641">
        <v>0.25829999999999698</v>
      </c>
      <c r="G641">
        <v>9.4319775596071995</v>
      </c>
      <c r="H641">
        <v>1</v>
      </c>
      <c r="I641">
        <v>0.54279889999999997</v>
      </c>
      <c r="J641">
        <v>2006</v>
      </c>
      <c r="K641">
        <v>8</v>
      </c>
      <c r="L641">
        <v>15</v>
      </c>
      <c r="M641" t="s">
        <v>93</v>
      </c>
      <c r="N641">
        <v>0</v>
      </c>
      <c r="O641">
        <v>0</v>
      </c>
    </row>
    <row r="642" spans="1:15" x14ac:dyDescent="0.3">
      <c r="A642">
        <v>737</v>
      </c>
      <c r="B642" s="34">
        <v>38945</v>
      </c>
      <c r="C642">
        <v>1.2786</v>
      </c>
      <c r="D642">
        <v>-3</v>
      </c>
      <c r="F642">
        <v>0.252499999999997</v>
      </c>
      <c r="G642">
        <v>11.4656381486675</v>
      </c>
      <c r="H642">
        <v>1</v>
      </c>
      <c r="I642">
        <v>0.54341919999999999</v>
      </c>
      <c r="J642">
        <v>2006</v>
      </c>
      <c r="K642">
        <v>8</v>
      </c>
      <c r="L642">
        <v>16</v>
      </c>
      <c r="M642" t="s">
        <v>89</v>
      </c>
      <c r="N642">
        <v>0</v>
      </c>
      <c r="O642">
        <v>0</v>
      </c>
    </row>
    <row r="643" spans="1:15" x14ac:dyDescent="0.3">
      <c r="A643">
        <v>738</v>
      </c>
      <c r="B643" s="34">
        <v>38946</v>
      </c>
      <c r="C643">
        <v>1.2844</v>
      </c>
      <c r="D643">
        <v>-3</v>
      </c>
      <c r="F643">
        <v>0.25429999999999697</v>
      </c>
      <c r="G643">
        <v>10.834502103786701</v>
      </c>
      <c r="H643">
        <v>1</v>
      </c>
      <c r="I643">
        <v>0.54403789999999996</v>
      </c>
      <c r="J643">
        <v>2006</v>
      </c>
      <c r="K643">
        <v>8</v>
      </c>
      <c r="L643">
        <v>17</v>
      </c>
      <c r="M643" t="s">
        <v>90</v>
      </c>
      <c r="N643">
        <v>0</v>
      </c>
      <c r="O643">
        <v>0</v>
      </c>
    </row>
    <row r="644" spans="1:15" x14ac:dyDescent="0.3">
      <c r="A644">
        <v>739</v>
      </c>
      <c r="B644" s="34">
        <v>38947</v>
      </c>
      <c r="C644">
        <v>1.2826</v>
      </c>
      <c r="D644">
        <v>0</v>
      </c>
      <c r="F644">
        <v>0.25429999999999697</v>
      </c>
      <c r="G644">
        <v>10.834502103786701</v>
      </c>
      <c r="H644">
        <v>1</v>
      </c>
      <c r="I644">
        <v>0.544655</v>
      </c>
      <c r="J644">
        <v>2006</v>
      </c>
      <c r="K644">
        <v>8</v>
      </c>
      <c r="L644">
        <v>18</v>
      </c>
      <c r="M644" t="s">
        <v>91</v>
      </c>
      <c r="N644">
        <v>0</v>
      </c>
      <c r="O644">
        <v>0</v>
      </c>
    </row>
    <row r="645" spans="1:15" x14ac:dyDescent="0.3">
      <c r="A645">
        <v>740</v>
      </c>
      <c r="B645" s="34">
        <v>38950</v>
      </c>
      <c r="C645">
        <v>1.2825</v>
      </c>
      <c r="D645">
        <v>2</v>
      </c>
      <c r="E645" t="s">
        <v>242</v>
      </c>
      <c r="F645">
        <v>0.26039999999999702</v>
      </c>
      <c r="G645">
        <v>8.6956521739129506</v>
      </c>
      <c r="H645">
        <v>1</v>
      </c>
      <c r="I645">
        <v>0.54527029999999999</v>
      </c>
      <c r="J645">
        <v>2006</v>
      </c>
      <c r="K645">
        <v>8</v>
      </c>
      <c r="L645">
        <v>21</v>
      </c>
      <c r="M645" t="s">
        <v>92</v>
      </c>
      <c r="N645">
        <v>0</v>
      </c>
      <c r="O645">
        <v>0</v>
      </c>
    </row>
    <row r="646" spans="1:15" x14ac:dyDescent="0.3">
      <c r="A646">
        <v>741</v>
      </c>
      <c r="B646" s="34">
        <v>38951</v>
      </c>
      <c r="C646">
        <v>1.2886</v>
      </c>
      <c r="D646">
        <v>-7</v>
      </c>
      <c r="F646">
        <v>0.268199999999997</v>
      </c>
      <c r="G646">
        <v>5.9607293127628402</v>
      </c>
      <c r="H646">
        <v>0</v>
      </c>
      <c r="I646">
        <v>0.54453439999999997</v>
      </c>
      <c r="J646">
        <v>2006</v>
      </c>
      <c r="K646">
        <v>8</v>
      </c>
      <c r="L646">
        <v>22</v>
      </c>
      <c r="M646" t="s">
        <v>93</v>
      </c>
      <c r="N646">
        <v>0</v>
      </c>
      <c r="O646">
        <v>0</v>
      </c>
    </row>
    <row r="647" spans="1:15" x14ac:dyDescent="0.3">
      <c r="A647">
        <v>742</v>
      </c>
      <c r="B647" s="34">
        <v>38952</v>
      </c>
      <c r="C647">
        <v>1.2807999999999999</v>
      </c>
      <c r="D647">
        <v>0</v>
      </c>
      <c r="F647">
        <v>0.268199999999997</v>
      </c>
      <c r="G647">
        <v>5.9607293127628402</v>
      </c>
      <c r="H647">
        <v>1</v>
      </c>
      <c r="I647">
        <v>0.54514830000000003</v>
      </c>
      <c r="J647">
        <v>2006</v>
      </c>
      <c r="K647">
        <v>8</v>
      </c>
      <c r="L647">
        <v>23</v>
      </c>
      <c r="M647" t="s">
        <v>89</v>
      </c>
      <c r="N647">
        <v>0</v>
      </c>
      <c r="O647">
        <v>0</v>
      </c>
    </row>
    <row r="648" spans="1:15" x14ac:dyDescent="0.3">
      <c r="A648">
        <v>743</v>
      </c>
      <c r="B648" s="34">
        <v>38953</v>
      </c>
      <c r="C648">
        <v>1.2786999999999999</v>
      </c>
      <c r="D648">
        <v>0</v>
      </c>
      <c r="F648">
        <v>0.268199999999997</v>
      </c>
      <c r="G648">
        <v>5.9607293127628402</v>
      </c>
      <c r="H648">
        <v>0</v>
      </c>
      <c r="I648">
        <v>0.54441450000000002</v>
      </c>
      <c r="J648">
        <v>2006</v>
      </c>
      <c r="K648">
        <v>8</v>
      </c>
      <c r="L648">
        <v>24</v>
      </c>
      <c r="M648" t="s">
        <v>90</v>
      </c>
      <c r="N648">
        <v>0</v>
      </c>
      <c r="O648">
        <v>0</v>
      </c>
    </row>
    <row r="649" spans="1:15" x14ac:dyDescent="0.3">
      <c r="A649">
        <v>744</v>
      </c>
      <c r="B649" s="34">
        <v>38954</v>
      </c>
      <c r="C649">
        <v>1.2765</v>
      </c>
      <c r="D649">
        <v>0</v>
      </c>
      <c r="F649">
        <v>0.268199999999997</v>
      </c>
      <c r="G649">
        <v>5.9607293127628402</v>
      </c>
      <c r="H649">
        <v>0</v>
      </c>
      <c r="I649">
        <v>0.54368280000000002</v>
      </c>
      <c r="J649">
        <v>2006</v>
      </c>
      <c r="K649">
        <v>8</v>
      </c>
      <c r="L649">
        <v>25</v>
      </c>
      <c r="M649" t="s">
        <v>91</v>
      </c>
      <c r="N649">
        <v>0</v>
      </c>
      <c r="O649">
        <v>0</v>
      </c>
    </row>
    <row r="650" spans="1:15" x14ac:dyDescent="0.3">
      <c r="A650">
        <v>745</v>
      </c>
      <c r="B650" s="34">
        <v>38957</v>
      </c>
      <c r="C650">
        <v>1.2754000000000001</v>
      </c>
      <c r="D650">
        <v>0</v>
      </c>
      <c r="F650">
        <v>0.268199999999997</v>
      </c>
      <c r="G650">
        <v>5.9607293127628402</v>
      </c>
      <c r="H650">
        <v>0</v>
      </c>
      <c r="I650">
        <v>0.54295300000000002</v>
      </c>
      <c r="J650">
        <v>2006</v>
      </c>
      <c r="K650">
        <v>8</v>
      </c>
      <c r="L650">
        <v>28</v>
      </c>
      <c r="M650" t="s">
        <v>92</v>
      </c>
      <c r="N650">
        <v>0</v>
      </c>
      <c r="O650">
        <v>0</v>
      </c>
    </row>
    <row r="651" spans="1:15" x14ac:dyDescent="0.3">
      <c r="A651">
        <v>746</v>
      </c>
      <c r="B651" s="34">
        <v>38958</v>
      </c>
      <c r="C651">
        <v>1.2786</v>
      </c>
      <c r="D651">
        <v>-9</v>
      </c>
      <c r="F651">
        <v>0.26379999999999698</v>
      </c>
      <c r="G651">
        <v>7.5035063113603204</v>
      </c>
      <c r="H651">
        <v>1</v>
      </c>
      <c r="I651">
        <v>0.54356570000000004</v>
      </c>
      <c r="J651">
        <v>2006</v>
      </c>
      <c r="K651">
        <v>8</v>
      </c>
      <c r="L651">
        <v>29</v>
      </c>
      <c r="M651" t="s">
        <v>93</v>
      </c>
      <c r="N651">
        <v>0</v>
      </c>
      <c r="O651">
        <v>0</v>
      </c>
    </row>
    <row r="652" spans="1:15" x14ac:dyDescent="0.3">
      <c r="A652">
        <v>747</v>
      </c>
      <c r="B652" s="34">
        <v>38959</v>
      </c>
      <c r="C652">
        <v>1.2829999999999999</v>
      </c>
      <c r="D652">
        <v>-6</v>
      </c>
      <c r="F652">
        <v>0.263099999999997</v>
      </c>
      <c r="G652">
        <v>7.74894810659179</v>
      </c>
      <c r="H652">
        <v>0</v>
      </c>
      <c r="I652">
        <v>0.54283800000000004</v>
      </c>
      <c r="J652">
        <v>2006</v>
      </c>
      <c r="K652">
        <v>8</v>
      </c>
      <c r="L652">
        <v>30</v>
      </c>
      <c r="M652" t="s">
        <v>89</v>
      </c>
      <c r="N652">
        <v>0</v>
      </c>
      <c r="O652">
        <v>0</v>
      </c>
    </row>
    <row r="653" spans="1:15" x14ac:dyDescent="0.3">
      <c r="A653">
        <v>748</v>
      </c>
      <c r="B653" s="34">
        <v>38960</v>
      </c>
      <c r="C653">
        <v>1.2837000000000001</v>
      </c>
      <c r="D653">
        <v>0</v>
      </c>
      <c r="F653">
        <v>0.263099999999997</v>
      </c>
      <c r="G653">
        <v>7.74894810659179</v>
      </c>
      <c r="H653">
        <v>0</v>
      </c>
      <c r="I653">
        <v>0.54211229999999999</v>
      </c>
      <c r="J653">
        <v>2006</v>
      </c>
      <c r="K653">
        <v>8</v>
      </c>
      <c r="L653">
        <v>31</v>
      </c>
      <c r="M653" t="s">
        <v>90</v>
      </c>
      <c r="N653">
        <v>0</v>
      </c>
      <c r="O653">
        <v>0</v>
      </c>
    </row>
    <row r="654" spans="1:15" x14ac:dyDescent="0.3">
      <c r="A654">
        <v>749</v>
      </c>
      <c r="B654" s="34">
        <v>38961</v>
      </c>
      <c r="C654">
        <v>1.2806</v>
      </c>
      <c r="D654">
        <v>1</v>
      </c>
      <c r="E654" t="s">
        <v>243</v>
      </c>
      <c r="F654">
        <v>0.26609999999999701</v>
      </c>
      <c r="G654">
        <v>6.6970546984570998</v>
      </c>
      <c r="H654">
        <v>1</v>
      </c>
      <c r="I654">
        <v>0.54272370000000003</v>
      </c>
      <c r="J654">
        <v>2006</v>
      </c>
      <c r="K654">
        <v>9</v>
      </c>
      <c r="L654">
        <v>1</v>
      </c>
      <c r="M654" t="s">
        <v>91</v>
      </c>
      <c r="N654">
        <v>0</v>
      </c>
      <c r="O654">
        <v>0</v>
      </c>
    </row>
    <row r="655" spans="1:15" x14ac:dyDescent="0.3">
      <c r="A655">
        <v>750</v>
      </c>
      <c r="B655" s="34">
        <v>38964</v>
      </c>
      <c r="C655">
        <v>1.2836000000000001</v>
      </c>
      <c r="D655">
        <v>-5</v>
      </c>
      <c r="F655">
        <v>0.26369999999999699</v>
      </c>
      <c r="G655">
        <v>7.5385694249648001</v>
      </c>
      <c r="H655">
        <v>1</v>
      </c>
      <c r="I655">
        <v>0.54333339999999997</v>
      </c>
      <c r="J655">
        <v>2006</v>
      </c>
      <c r="K655">
        <v>9</v>
      </c>
      <c r="L655">
        <v>4</v>
      </c>
      <c r="M655" t="s">
        <v>92</v>
      </c>
      <c r="N655">
        <v>0</v>
      </c>
      <c r="O655">
        <v>0</v>
      </c>
    </row>
    <row r="656" spans="1:15" x14ac:dyDescent="0.3">
      <c r="A656">
        <v>751</v>
      </c>
      <c r="B656" s="34">
        <v>38965</v>
      </c>
      <c r="C656">
        <v>1.286</v>
      </c>
      <c r="D656">
        <v>0</v>
      </c>
      <c r="F656">
        <v>0.26369999999999699</v>
      </c>
      <c r="G656">
        <v>7.5385694249648001</v>
      </c>
      <c r="H656">
        <v>0</v>
      </c>
      <c r="I656">
        <v>0.54260989999999998</v>
      </c>
      <c r="J656">
        <v>2006</v>
      </c>
      <c r="K656">
        <v>9</v>
      </c>
      <c r="L656">
        <v>5</v>
      </c>
      <c r="M656" t="s">
        <v>93</v>
      </c>
      <c r="N656">
        <v>0</v>
      </c>
      <c r="O656">
        <v>0</v>
      </c>
    </row>
    <row r="657" spans="1:15" x14ac:dyDescent="0.3">
      <c r="A657">
        <v>752</v>
      </c>
      <c r="B657" s="34">
        <v>38966</v>
      </c>
      <c r="C657">
        <v>1.2816000000000001</v>
      </c>
      <c r="D657">
        <v>0</v>
      </c>
      <c r="F657">
        <v>0.26369999999999699</v>
      </c>
      <c r="G657">
        <v>7.5385694249648001</v>
      </c>
      <c r="H657">
        <v>1</v>
      </c>
      <c r="I657">
        <v>0.54321810000000004</v>
      </c>
      <c r="J657">
        <v>2006</v>
      </c>
      <c r="K657">
        <v>9</v>
      </c>
      <c r="L657">
        <v>6</v>
      </c>
      <c r="M657" t="s">
        <v>89</v>
      </c>
      <c r="N657">
        <v>0</v>
      </c>
      <c r="O657">
        <v>0</v>
      </c>
    </row>
    <row r="658" spans="1:15" x14ac:dyDescent="0.3">
      <c r="A658">
        <v>753</v>
      </c>
      <c r="B658" s="34">
        <v>38967</v>
      </c>
      <c r="C658">
        <v>1.2805</v>
      </c>
      <c r="D658">
        <v>5</v>
      </c>
      <c r="E658" t="s">
        <v>244</v>
      </c>
      <c r="F658">
        <v>0.256599999999997</v>
      </c>
      <c r="G658">
        <v>10.0280504908834</v>
      </c>
      <c r="H658">
        <v>0</v>
      </c>
      <c r="I658">
        <v>0.54249670000000005</v>
      </c>
      <c r="J658">
        <v>2006</v>
      </c>
      <c r="K658">
        <v>9</v>
      </c>
      <c r="L658">
        <v>7</v>
      </c>
      <c r="M658" t="s">
        <v>90</v>
      </c>
      <c r="N658">
        <v>0</v>
      </c>
      <c r="O658">
        <v>0</v>
      </c>
    </row>
    <row r="659" spans="1:15" x14ac:dyDescent="0.3">
      <c r="A659">
        <v>754</v>
      </c>
      <c r="B659" s="34">
        <v>38968</v>
      </c>
      <c r="C659">
        <v>1.2734000000000001</v>
      </c>
      <c r="D659">
        <v>0</v>
      </c>
      <c r="F659">
        <v>0.256599999999997</v>
      </c>
      <c r="G659">
        <v>10.0280504908834</v>
      </c>
      <c r="H659">
        <v>0</v>
      </c>
      <c r="I659">
        <v>0.54177719999999996</v>
      </c>
      <c r="J659">
        <v>2006</v>
      </c>
      <c r="K659">
        <v>9</v>
      </c>
      <c r="L659">
        <v>8</v>
      </c>
      <c r="M659" t="s">
        <v>91</v>
      </c>
      <c r="N659">
        <v>0</v>
      </c>
      <c r="O659">
        <v>0</v>
      </c>
    </row>
    <row r="660" spans="1:15" x14ac:dyDescent="0.3">
      <c r="A660">
        <v>755</v>
      </c>
      <c r="B660" s="34">
        <v>38971</v>
      </c>
      <c r="C660">
        <v>1.2674000000000001</v>
      </c>
      <c r="D660">
        <v>0</v>
      </c>
      <c r="F660">
        <v>0.256599999999997</v>
      </c>
      <c r="G660">
        <v>10.0280504908834</v>
      </c>
      <c r="H660">
        <v>0</v>
      </c>
      <c r="I660">
        <v>0.54105959999999997</v>
      </c>
      <c r="J660">
        <v>2006</v>
      </c>
      <c r="K660">
        <v>9</v>
      </c>
      <c r="L660">
        <v>11</v>
      </c>
      <c r="M660" t="s">
        <v>92</v>
      </c>
      <c r="N660">
        <v>0</v>
      </c>
      <c r="O660">
        <v>0</v>
      </c>
    </row>
    <row r="661" spans="1:15" x14ac:dyDescent="0.3">
      <c r="A661">
        <v>756</v>
      </c>
      <c r="B661" s="34">
        <v>38972</v>
      </c>
      <c r="C661">
        <v>1.2702</v>
      </c>
      <c r="D661">
        <v>0</v>
      </c>
      <c r="F661">
        <v>0.256599999999997</v>
      </c>
      <c r="G661">
        <v>10.0280504908834</v>
      </c>
      <c r="H661">
        <v>1</v>
      </c>
      <c r="I661">
        <v>0.54166669999999995</v>
      </c>
      <c r="J661">
        <v>2006</v>
      </c>
      <c r="K661">
        <v>9</v>
      </c>
      <c r="L661">
        <v>12</v>
      </c>
      <c r="M661" t="s">
        <v>93</v>
      </c>
      <c r="N661">
        <v>0</v>
      </c>
      <c r="O661">
        <v>0</v>
      </c>
    </row>
    <row r="662" spans="1:15" x14ac:dyDescent="0.3">
      <c r="A662">
        <v>757</v>
      </c>
      <c r="B662" s="34">
        <v>38973</v>
      </c>
      <c r="C662">
        <v>1.2688999999999999</v>
      </c>
      <c r="D662">
        <v>0</v>
      </c>
      <c r="F662">
        <v>0.256599999999997</v>
      </c>
      <c r="G662">
        <v>10.0280504908834</v>
      </c>
      <c r="H662">
        <v>0</v>
      </c>
      <c r="I662">
        <v>0.54095110000000002</v>
      </c>
      <c r="J662">
        <v>2006</v>
      </c>
      <c r="K662">
        <v>9</v>
      </c>
      <c r="L662">
        <v>13</v>
      </c>
      <c r="M662" t="s">
        <v>89</v>
      </c>
      <c r="N662">
        <v>0</v>
      </c>
      <c r="O662">
        <v>0</v>
      </c>
    </row>
    <row r="663" spans="1:15" x14ac:dyDescent="0.3">
      <c r="A663">
        <v>758</v>
      </c>
      <c r="B663" s="34">
        <v>38974</v>
      </c>
      <c r="C663">
        <v>1.27</v>
      </c>
      <c r="D663">
        <v>-8</v>
      </c>
      <c r="F663">
        <v>0.25429999999999697</v>
      </c>
      <c r="G663">
        <v>10.834502103786599</v>
      </c>
      <c r="H663">
        <v>1</v>
      </c>
      <c r="I663">
        <v>0.5415567</v>
      </c>
      <c r="J663">
        <v>2006</v>
      </c>
      <c r="K663">
        <v>9</v>
      </c>
      <c r="L663">
        <v>14</v>
      </c>
      <c r="M663" t="s">
        <v>90</v>
      </c>
      <c r="N663">
        <v>0</v>
      </c>
      <c r="O663">
        <v>0</v>
      </c>
    </row>
    <row r="664" spans="1:15" x14ac:dyDescent="0.3">
      <c r="A664">
        <v>759</v>
      </c>
      <c r="B664" s="34">
        <v>38975</v>
      </c>
      <c r="C664">
        <v>1.2723</v>
      </c>
      <c r="D664">
        <v>-9</v>
      </c>
      <c r="F664">
        <v>0.26069999999999699</v>
      </c>
      <c r="G664">
        <v>8.5904628330994193</v>
      </c>
      <c r="H664">
        <v>1</v>
      </c>
      <c r="I664">
        <v>0.54216070000000005</v>
      </c>
      <c r="J664">
        <v>2006</v>
      </c>
      <c r="K664">
        <v>9</v>
      </c>
      <c r="L664">
        <v>15</v>
      </c>
      <c r="M664" t="s">
        <v>91</v>
      </c>
      <c r="N664">
        <v>0</v>
      </c>
      <c r="O664">
        <v>0</v>
      </c>
    </row>
    <row r="665" spans="1:15" x14ac:dyDescent="0.3">
      <c r="A665">
        <v>760</v>
      </c>
      <c r="B665" s="34">
        <v>38978</v>
      </c>
      <c r="C665">
        <v>1.2659</v>
      </c>
      <c r="D665">
        <v>0</v>
      </c>
      <c r="F665">
        <v>0.26069999999999699</v>
      </c>
      <c r="G665">
        <v>8.5904628330994193</v>
      </c>
      <c r="H665">
        <v>1</v>
      </c>
      <c r="I665">
        <v>0.5427632</v>
      </c>
      <c r="J665">
        <v>2006</v>
      </c>
      <c r="K665">
        <v>9</v>
      </c>
      <c r="L665">
        <v>18</v>
      </c>
      <c r="M665" t="s">
        <v>92</v>
      </c>
      <c r="N665">
        <v>0</v>
      </c>
      <c r="O665">
        <v>0</v>
      </c>
    </row>
    <row r="666" spans="1:15" x14ac:dyDescent="0.3">
      <c r="A666">
        <v>761</v>
      </c>
      <c r="B666" s="34">
        <v>38979</v>
      </c>
      <c r="C666">
        <v>1.2702</v>
      </c>
      <c r="D666">
        <v>0</v>
      </c>
      <c r="F666">
        <v>0.26069999999999699</v>
      </c>
      <c r="G666">
        <v>8.5904628330994193</v>
      </c>
      <c r="H666">
        <v>1</v>
      </c>
      <c r="I666">
        <v>0.54336399999999996</v>
      </c>
      <c r="J666">
        <v>2006</v>
      </c>
      <c r="K666">
        <v>9</v>
      </c>
      <c r="L666">
        <v>19</v>
      </c>
      <c r="M666" t="s">
        <v>93</v>
      </c>
      <c r="N666">
        <v>0</v>
      </c>
      <c r="O666">
        <v>0</v>
      </c>
    </row>
    <row r="667" spans="1:15" x14ac:dyDescent="0.3">
      <c r="A667">
        <v>762</v>
      </c>
      <c r="B667" s="34">
        <v>38980</v>
      </c>
      <c r="C667">
        <v>1.2670999999999999</v>
      </c>
      <c r="D667">
        <v>5</v>
      </c>
      <c r="E667" t="s">
        <v>245</v>
      </c>
      <c r="F667">
        <v>0.26239999999999702</v>
      </c>
      <c r="G667">
        <v>7.9943899018230997</v>
      </c>
      <c r="H667">
        <v>0</v>
      </c>
      <c r="I667">
        <v>0.54265090000000005</v>
      </c>
      <c r="J667">
        <v>2006</v>
      </c>
      <c r="K667">
        <v>9</v>
      </c>
      <c r="L667">
        <v>20</v>
      </c>
      <c r="M667" t="s">
        <v>89</v>
      </c>
      <c r="N667">
        <v>0</v>
      </c>
      <c r="O667">
        <v>0</v>
      </c>
    </row>
    <row r="668" spans="1:15" x14ac:dyDescent="0.3">
      <c r="A668">
        <v>763</v>
      </c>
      <c r="B668" s="34">
        <v>38981</v>
      </c>
      <c r="C668">
        <v>1.2687999999999999</v>
      </c>
      <c r="D668">
        <v>0</v>
      </c>
      <c r="F668">
        <v>0.26239999999999702</v>
      </c>
      <c r="G668">
        <v>7.9943899018230997</v>
      </c>
      <c r="H668">
        <v>1</v>
      </c>
      <c r="I668">
        <v>0.54325029999999996</v>
      </c>
      <c r="J668">
        <v>2006</v>
      </c>
      <c r="K668">
        <v>9</v>
      </c>
      <c r="L668">
        <v>21</v>
      </c>
      <c r="M668" t="s">
        <v>90</v>
      </c>
      <c r="N668">
        <v>0</v>
      </c>
      <c r="O668">
        <v>0</v>
      </c>
    </row>
    <row r="669" spans="1:15" x14ac:dyDescent="0.3">
      <c r="A669">
        <v>764</v>
      </c>
      <c r="B669" s="34">
        <v>38982</v>
      </c>
      <c r="C669">
        <v>1.278</v>
      </c>
      <c r="D669">
        <v>-7</v>
      </c>
      <c r="F669">
        <v>0.262099999999997</v>
      </c>
      <c r="G669">
        <v>8.09957924263656</v>
      </c>
      <c r="H669">
        <v>1</v>
      </c>
      <c r="I669">
        <v>0.5438482</v>
      </c>
      <c r="J669">
        <v>2006</v>
      </c>
      <c r="K669">
        <v>9</v>
      </c>
      <c r="L669">
        <v>22</v>
      </c>
      <c r="M669" t="s">
        <v>91</v>
      </c>
      <c r="N669">
        <v>0</v>
      </c>
      <c r="O669">
        <v>0</v>
      </c>
    </row>
    <row r="670" spans="1:15" x14ac:dyDescent="0.3">
      <c r="A670">
        <v>765</v>
      </c>
      <c r="B670" s="34">
        <v>38985</v>
      </c>
      <c r="C670">
        <v>1.2783</v>
      </c>
      <c r="D670">
        <v>0</v>
      </c>
      <c r="F670">
        <v>0.262099999999997</v>
      </c>
      <c r="G670">
        <v>8.09957924263656</v>
      </c>
      <c r="H670">
        <v>0</v>
      </c>
      <c r="I670">
        <v>0.54313730000000005</v>
      </c>
      <c r="J670">
        <v>2006</v>
      </c>
      <c r="K670">
        <v>9</v>
      </c>
      <c r="L670">
        <v>25</v>
      </c>
      <c r="M670" t="s">
        <v>92</v>
      </c>
      <c r="N670">
        <v>0</v>
      </c>
      <c r="O670">
        <v>0</v>
      </c>
    </row>
    <row r="671" spans="1:15" x14ac:dyDescent="0.3">
      <c r="A671">
        <v>766</v>
      </c>
      <c r="B671" s="34">
        <v>38986</v>
      </c>
      <c r="C671">
        <v>1.2745</v>
      </c>
      <c r="D671">
        <v>0</v>
      </c>
      <c r="F671">
        <v>0.262099999999997</v>
      </c>
      <c r="G671">
        <v>8.09957924263656</v>
      </c>
      <c r="H671">
        <v>1</v>
      </c>
      <c r="I671">
        <v>0.54373369999999999</v>
      </c>
      <c r="J671">
        <v>2006</v>
      </c>
      <c r="K671">
        <v>9</v>
      </c>
      <c r="L671">
        <v>26</v>
      </c>
      <c r="M671" t="s">
        <v>93</v>
      </c>
      <c r="N671">
        <v>0</v>
      </c>
      <c r="O671">
        <v>0</v>
      </c>
    </row>
    <row r="672" spans="1:15" x14ac:dyDescent="0.3">
      <c r="A672">
        <v>767</v>
      </c>
      <c r="B672" s="34">
        <v>38987</v>
      </c>
      <c r="C672">
        <v>1.2682</v>
      </c>
      <c r="D672">
        <v>0</v>
      </c>
      <c r="F672">
        <v>0.262099999999997</v>
      </c>
      <c r="G672">
        <v>8.09957924263656</v>
      </c>
      <c r="H672">
        <v>0</v>
      </c>
      <c r="I672">
        <v>0.54302479999999997</v>
      </c>
      <c r="J672">
        <v>2006</v>
      </c>
      <c r="K672">
        <v>9</v>
      </c>
      <c r="L672">
        <v>27</v>
      </c>
      <c r="M672" t="s">
        <v>89</v>
      </c>
      <c r="N672">
        <v>0</v>
      </c>
      <c r="O672">
        <v>0</v>
      </c>
    </row>
    <row r="673" spans="1:15" x14ac:dyDescent="0.3">
      <c r="A673">
        <v>768</v>
      </c>
      <c r="B673" s="34">
        <v>38988</v>
      </c>
      <c r="C673">
        <v>1.2701</v>
      </c>
      <c r="D673">
        <v>-1</v>
      </c>
      <c r="F673">
        <v>0.26279999999999698</v>
      </c>
      <c r="G673">
        <v>7.8541374474051597</v>
      </c>
      <c r="H673">
        <v>1</v>
      </c>
      <c r="I673">
        <v>0.54361979999999999</v>
      </c>
      <c r="J673">
        <v>2006</v>
      </c>
      <c r="K673">
        <v>9</v>
      </c>
      <c r="L673">
        <v>28</v>
      </c>
      <c r="M673" t="s">
        <v>90</v>
      </c>
      <c r="N673">
        <v>0</v>
      </c>
      <c r="O673">
        <v>0</v>
      </c>
    </row>
    <row r="674" spans="1:15" x14ac:dyDescent="0.3">
      <c r="A674">
        <v>769</v>
      </c>
      <c r="B674" s="34">
        <v>38989</v>
      </c>
      <c r="C674">
        <v>1.2694000000000001</v>
      </c>
      <c r="D674">
        <v>2</v>
      </c>
      <c r="E674" t="s">
        <v>246</v>
      </c>
      <c r="F674">
        <v>0.26069999999999699</v>
      </c>
      <c r="G674">
        <v>8.5904628330994193</v>
      </c>
      <c r="H674">
        <v>0</v>
      </c>
      <c r="I674">
        <v>0.54291290000000003</v>
      </c>
      <c r="J674">
        <v>2006</v>
      </c>
      <c r="K674">
        <v>9</v>
      </c>
      <c r="L674">
        <v>29</v>
      </c>
      <c r="M674" t="s">
        <v>91</v>
      </c>
      <c r="N674">
        <v>0</v>
      </c>
      <c r="O674">
        <v>0</v>
      </c>
    </row>
    <row r="675" spans="1:15" x14ac:dyDescent="0.3">
      <c r="A675">
        <v>770</v>
      </c>
      <c r="B675" s="34">
        <v>38992</v>
      </c>
      <c r="C675">
        <v>1.2673000000000001</v>
      </c>
      <c r="D675">
        <v>1</v>
      </c>
      <c r="E675" t="s">
        <v>247</v>
      </c>
      <c r="F675">
        <v>0.26699999999999702</v>
      </c>
      <c r="G675">
        <v>6.3814866760166602</v>
      </c>
      <c r="H675">
        <v>0</v>
      </c>
      <c r="I675">
        <v>0.54220780000000002</v>
      </c>
      <c r="J675">
        <v>2006</v>
      </c>
      <c r="K675">
        <v>10</v>
      </c>
      <c r="L675">
        <v>2</v>
      </c>
      <c r="M675" t="s">
        <v>92</v>
      </c>
      <c r="N675">
        <v>0</v>
      </c>
      <c r="O675">
        <v>0</v>
      </c>
    </row>
    <row r="676" spans="1:15" x14ac:dyDescent="0.3">
      <c r="A676">
        <v>771</v>
      </c>
      <c r="B676" s="34">
        <v>38993</v>
      </c>
      <c r="C676">
        <v>1.2736000000000001</v>
      </c>
      <c r="D676">
        <v>0</v>
      </c>
      <c r="F676">
        <v>0.26699999999999702</v>
      </c>
      <c r="G676">
        <v>6.3814866760166602</v>
      </c>
      <c r="H676">
        <v>1</v>
      </c>
      <c r="I676">
        <v>0.5428016</v>
      </c>
      <c r="J676">
        <v>2006</v>
      </c>
      <c r="K676">
        <v>10</v>
      </c>
      <c r="L676">
        <v>3</v>
      </c>
      <c r="M676" t="s">
        <v>93</v>
      </c>
      <c r="N676">
        <v>0</v>
      </c>
      <c r="O676">
        <v>0</v>
      </c>
    </row>
    <row r="677" spans="1:15" x14ac:dyDescent="0.3">
      <c r="A677">
        <v>772</v>
      </c>
      <c r="B677" s="34">
        <v>38994</v>
      </c>
      <c r="C677">
        <v>1.2728999999999999</v>
      </c>
      <c r="D677">
        <v>1</v>
      </c>
      <c r="E677" t="s">
        <v>248</v>
      </c>
      <c r="F677">
        <v>0.26519999999999699</v>
      </c>
      <c r="G677">
        <v>7.0126227208974603</v>
      </c>
      <c r="H677">
        <v>1</v>
      </c>
      <c r="I677">
        <v>0.54339380000000004</v>
      </c>
      <c r="J677">
        <v>2006</v>
      </c>
      <c r="K677">
        <v>10</v>
      </c>
      <c r="L677">
        <v>4</v>
      </c>
      <c r="M677" t="s">
        <v>89</v>
      </c>
      <c r="N677">
        <v>0</v>
      </c>
      <c r="O677">
        <v>0</v>
      </c>
    </row>
    <row r="678" spans="1:15" x14ac:dyDescent="0.3">
      <c r="A678">
        <v>773</v>
      </c>
      <c r="B678" s="34">
        <v>38995</v>
      </c>
      <c r="C678">
        <v>1.2710999999999999</v>
      </c>
      <c r="D678">
        <v>0</v>
      </c>
      <c r="F678">
        <v>0.26519999999999699</v>
      </c>
      <c r="G678">
        <v>7.0126227208974603</v>
      </c>
      <c r="H678">
        <v>1</v>
      </c>
      <c r="I678">
        <v>0.54398449999999998</v>
      </c>
      <c r="J678">
        <v>2006</v>
      </c>
      <c r="K678">
        <v>10</v>
      </c>
      <c r="L678">
        <v>5</v>
      </c>
      <c r="M678" t="s">
        <v>90</v>
      </c>
      <c r="N678">
        <v>0</v>
      </c>
      <c r="O678">
        <v>0</v>
      </c>
    </row>
    <row r="679" spans="1:15" x14ac:dyDescent="0.3">
      <c r="A679">
        <v>774</v>
      </c>
      <c r="B679" s="34">
        <v>38996</v>
      </c>
      <c r="C679">
        <v>1.2692000000000001</v>
      </c>
      <c r="D679">
        <v>1</v>
      </c>
      <c r="E679" t="s">
        <v>249</v>
      </c>
      <c r="F679">
        <v>0.25589999999999702</v>
      </c>
      <c r="G679">
        <v>10.2734922861149</v>
      </c>
      <c r="H679">
        <v>0</v>
      </c>
      <c r="I679">
        <v>0.54328169999999998</v>
      </c>
      <c r="J679">
        <v>2006</v>
      </c>
      <c r="K679">
        <v>10</v>
      </c>
      <c r="L679">
        <v>6</v>
      </c>
      <c r="M679" t="s">
        <v>91</v>
      </c>
      <c r="N679">
        <v>0</v>
      </c>
      <c r="O679">
        <v>0</v>
      </c>
    </row>
    <row r="680" spans="1:15" x14ac:dyDescent="0.3">
      <c r="A680">
        <v>775</v>
      </c>
      <c r="B680" s="34">
        <v>38999</v>
      </c>
      <c r="C680">
        <v>1.2599</v>
      </c>
      <c r="D680">
        <v>4</v>
      </c>
      <c r="E680" t="s">
        <v>250</v>
      </c>
      <c r="F680">
        <v>0.25529999999999697</v>
      </c>
      <c r="G680">
        <v>10.483870967741799</v>
      </c>
      <c r="H680">
        <v>0</v>
      </c>
      <c r="I680">
        <v>0.54258070000000003</v>
      </c>
      <c r="J680">
        <v>2006</v>
      </c>
      <c r="K680">
        <v>10</v>
      </c>
      <c r="L680">
        <v>9</v>
      </c>
      <c r="M680" t="s">
        <v>92</v>
      </c>
      <c r="N680">
        <v>0</v>
      </c>
      <c r="O680">
        <v>0</v>
      </c>
    </row>
    <row r="681" spans="1:15" x14ac:dyDescent="0.3">
      <c r="A681">
        <v>776</v>
      </c>
      <c r="B681" s="34">
        <v>39000</v>
      </c>
      <c r="C681">
        <v>1.2593000000000001</v>
      </c>
      <c r="D681">
        <v>0</v>
      </c>
      <c r="F681">
        <v>0.25529999999999697</v>
      </c>
      <c r="G681">
        <v>10.483870967741799</v>
      </c>
      <c r="H681">
        <v>0</v>
      </c>
      <c r="I681">
        <v>0.54188139999999996</v>
      </c>
      <c r="J681">
        <v>2006</v>
      </c>
      <c r="K681">
        <v>10</v>
      </c>
      <c r="L681">
        <v>10</v>
      </c>
      <c r="M681" t="s">
        <v>93</v>
      </c>
      <c r="N681">
        <v>0</v>
      </c>
      <c r="O681">
        <v>0</v>
      </c>
    </row>
    <row r="682" spans="1:15" x14ac:dyDescent="0.3">
      <c r="A682">
        <v>777</v>
      </c>
      <c r="B682" s="34">
        <v>39001</v>
      </c>
      <c r="C682">
        <v>1.2533000000000001</v>
      </c>
      <c r="D682">
        <v>0</v>
      </c>
      <c r="F682">
        <v>0.25529999999999697</v>
      </c>
      <c r="G682">
        <v>10.483870967741799</v>
      </c>
      <c r="H682">
        <v>0</v>
      </c>
      <c r="I682">
        <v>0.54118409999999995</v>
      </c>
      <c r="J682">
        <v>2006</v>
      </c>
      <c r="K682">
        <v>10</v>
      </c>
      <c r="L682">
        <v>11</v>
      </c>
      <c r="M682" t="s">
        <v>89</v>
      </c>
      <c r="N682">
        <v>0</v>
      </c>
      <c r="O682">
        <v>0</v>
      </c>
    </row>
    <row r="683" spans="1:15" x14ac:dyDescent="0.3">
      <c r="A683">
        <v>778</v>
      </c>
      <c r="B683" s="34">
        <v>39002</v>
      </c>
      <c r="C683">
        <v>1.2523</v>
      </c>
      <c r="D683">
        <v>-1</v>
      </c>
      <c r="F683">
        <v>0.25179999999999703</v>
      </c>
      <c r="G683">
        <v>11.7110799438989</v>
      </c>
      <c r="H683">
        <v>0</v>
      </c>
      <c r="I683">
        <v>0.54048839999999998</v>
      </c>
      <c r="J683">
        <v>2006</v>
      </c>
      <c r="K683">
        <v>10</v>
      </c>
      <c r="L683">
        <v>12</v>
      </c>
      <c r="M683" t="s">
        <v>90</v>
      </c>
      <c r="N683">
        <v>0</v>
      </c>
      <c r="O683">
        <v>0</v>
      </c>
    </row>
    <row r="684" spans="1:15" x14ac:dyDescent="0.3">
      <c r="A684">
        <v>779</v>
      </c>
      <c r="B684" s="34">
        <v>39003</v>
      </c>
      <c r="C684">
        <v>1.2558</v>
      </c>
      <c r="D684">
        <v>-6</v>
      </c>
      <c r="F684">
        <v>0.25639999999999702</v>
      </c>
      <c r="G684">
        <v>10.0981767180924</v>
      </c>
      <c r="H684">
        <v>1</v>
      </c>
      <c r="I684">
        <v>0.54107830000000001</v>
      </c>
      <c r="J684">
        <v>2006</v>
      </c>
      <c r="K684">
        <v>10</v>
      </c>
      <c r="L684">
        <v>13</v>
      </c>
      <c r="M684" t="s">
        <v>91</v>
      </c>
      <c r="N684">
        <v>0</v>
      </c>
      <c r="O684">
        <v>0</v>
      </c>
    </row>
    <row r="685" spans="1:15" x14ac:dyDescent="0.3">
      <c r="A685">
        <v>780</v>
      </c>
      <c r="B685" s="34">
        <v>39006</v>
      </c>
      <c r="C685">
        <v>1.2512000000000001</v>
      </c>
      <c r="D685">
        <v>3</v>
      </c>
      <c r="E685" t="s">
        <v>251</v>
      </c>
      <c r="F685">
        <v>0.25839999999999702</v>
      </c>
      <c r="G685">
        <v>9.3969144460027199</v>
      </c>
      <c r="H685">
        <v>1</v>
      </c>
      <c r="I685">
        <v>0.54166669999999995</v>
      </c>
      <c r="J685">
        <v>2006</v>
      </c>
      <c r="K685">
        <v>10</v>
      </c>
      <c r="L685">
        <v>16</v>
      </c>
      <c r="M685" t="s">
        <v>92</v>
      </c>
      <c r="N685">
        <v>0</v>
      </c>
      <c r="O685">
        <v>0</v>
      </c>
    </row>
    <row r="686" spans="1:15" x14ac:dyDescent="0.3">
      <c r="A686">
        <v>781</v>
      </c>
      <c r="B686" s="34">
        <v>39007</v>
      </c>
      <c r="C686">
        <v>1.2532000000000001</v>
      </c>
      <c r="D686">
        <v>0</v>
      </c>
      <c r="F686">
        <v>0.25839999999999702</v>
      </c>
      <c r="G686">
        <v>9.3969144460027199</v>
      </c>
      <c r="H686">
        <v>1</v>
      </c>
      <c r="I686">
        <v>0.54225350000000005</v>
      </c>
      <c r="J686">
        <v>2006</v>
      </c>
      <c r="K686">
        <v>10</v>
      </c>
      <c r="L686">
        <v>17</v>
      </c>
      <c r="M686" t="s">
        <v>93</v>
      </c>
      <c r="N686">
        <v>0</v>
      </c>
      <c r="O686">
        <v>0</v>
      </c>
    </row>
    <row r="687" spans="1:15" x14ac:dyDescent="0.3">
      <c r="A687">
        <v>782</v>
      </c>
      <c r="B687" s="34">
        <v>39008</v>
      </c>
      <c r="C687">
        <v>1.2536</v>
      </c>
      <c r="D687">
        <v>-18</v>
      </c>
      <c r="F687">
        <v>0.25869999999999699</v>
      </c>
      <c r="G687">
        <v>9.2917251051892702</v>
      </c>
      <c r="H687">
        <v>1</v>
      </c>
      <c r="I687">
        <v>0.54283890000000001</v>
      </c>
      <c r="J687">
        <v>2006</v>
      </c>
      <c r="K687">
        <v>10</v>
      </c>
      <c r="L687">
        <v>18</v>
      </c>
      <c r="M687" t="s">
        <v>89</v>
      </c>
      <c r="N687">
        <v>0</v>
      </c>
      <c r="O687">
        <v>0</v>
      </c>
    </row>
    <row r="688" spans="1:15" x14ac:dyDescent="0.3">
      <c r="A688">
        <v>783</v>
      </c>
      <c r="B688" s="34">
        <v>39009</v>
      </c>
      <c r="C688">
        <v>1.2533000000000001</v>
      </c>
      <c r="D688">
        <v>8</v>
      </c>
      <c r="E688" t="s">
        <v>252</v>
      </c>
      <c r="F688">
        <v>0.26749999999999702</v>
      </c>
      <c r="G688">
        <v>6.2061711079943098</v>
      </c>
      <c r="H688">
        <v>0.5</v>
      </c>
      <c r="I688">
        <v>0.54278420000000005</v>
      </c>
      <c r="J688">
        <v>2006</v>
      </c>
      <c r="K688">
        <v>10</v>
      </c>
      <c r="L688">
        <v>19</v>
      </c>
      <c r="M688" t="s">
        <v>90</v>
      </c>
      <c r="N688">
        <v>0</v>
      </c>
      <c r="O688">
        <v>0</v>
      </c>
    </row>
    <row r="689" spans="1:15" x14ac:dyDescent="0.3">
      <c r="A689">
        <v>784</v>
      </c>
      <c r="B689" s="34">
        <v>39010</v>
      </c>
      <c r="C689">
        <v>1.2621</v>
      </c>
      <c r="D689">
        <v>-11</v>
      </c>
      <c r="F689">
        <v>0.26799999999999702</v>
      </c>
      <c r="G689">
        <v>6.0308555399718902</v>
      </c>
      <c r="H689">
        <v>1</v>
      </c>
      <c r="I689">
        <v>0.5433673</v>
      </c>
      <c r="J689">
        <v>2006</v>
      </c>
      <c r="K689">
        <v>10</v>
      </c>
      <c r="L689">
        <v>20</v>
      </c>
      <c r="M689" t="s">
        <v>91</v>
      </c>
      <c r="N689">
        <v>0</v>
      </c>
      <c r="O689">
        <v>0</v>
      </c>
    </row>
    <row r="690" spans="1:15" x14ac:dyDescent="0.3">
      <c r="A690">
        <v>785</v>
      </c>
      <c r="B690" s="34">
        <v>39013</v>
      </c>
      <c r="C690">
        <v>1.2616000000000001</v>
      </c>
      <c r="D690">
        <v>0</v>
      </c>
      <c r="F690">
        <v>0.26799999999999702</v>
      </c>
      <c r="G690">
        <v>6.0308555399718902</v>
      </c>
      <c r="H690">
        <v>1</v>
      </c>
      <c r="I690">
        <v>0.54394909999999996</v>
      </c>
      <c r="J690">
        <v>2006</v>
      </c>
      <c r="K690">
        <v>10</v>
      </c>
      <c r="L690">
        <v>23</v>
      </c>
      <c r="M690" t="s">
        <v>92</v>
      </c>
      <c r="N690">
        <v>0</v>
      </c>
      <c r="O690">
        <v>0</v>
      </c>
    </row>
    <row r="691" spans="1:15" x14ac:dyDescent="0.3">
      <c r="A691">
        <v>786</v>
      </c>
      <c r="B691" s="34">
        <v>39014</v>
      </c>
      <c r="C691">
        <v>1.2548999999999999</v>
      </c>
      <c r="D691">
        <v>4</v>
      </c>
      <c r="E691" t="s">
        <v>253</v>
      </c>
      <c r="F691">
        <v>0.26839999999999697</v>
      </c>
      <c r="G691">
        <v>5.8906030855538702</v>
      </c>
      <c r="H691">
        <v>0</v>
      </c>
      <c r="I691">
        <v>0.54325699999999999</v>
      </c>
      <c r="J691">
        <v>2006</v>
      </c>
      <c r="K691">
        <v>10</v>
      </c>
      <c r="L691">
        <v>24</v>
      </c>
      <c r="M691" t="s">
        <v>93</v>
      </c>
      <c r="N691">
        <v>0</v>
      </c>
      <c r="O691">
        <v>0</v>
      </c>
    </row>
    <row r="692" spans="1:15" x14ac:dyDescent="0.3">
      <c r="A692">
        <v>787</v>
      </c>
      <c r="B692" s="34">
        <v>39015</v>
      </c>
      <c r="C692">
        <v>1.2553000000000001</v>
      </c>
      <c r="D692">
        <v>-1</v>
      </c>
      <c r="F692">
        <v>0.26289999999999702</v>
      </c>
      <c r="G692">
        <v>7.8190743338006801</v>
      </c>
      <c r="H692">
        <v>1</v>
      </c>
      <c r="I692">
        <v>0.54383740000000003</v>
      </c>
      <c r="J692">
        <v>2006</v>
      </c>
      <c r="K692">
        <v>10</v>
      </c>
      <c r="L692">
        <v>25</v>
      </c>
      <c r="M692" t="s">
        <v>89</v>
      </c>
      <c r="N692">
        <v>0</v>
      </c>
      <c r="O692">
        <v>0</v>
      </c>
    </row>
    <row r="693" spans="1:15" x14ac:dyDescent="0.3">
      <c r="A693">
        <v>788</v>
      </c>
      <c r="B693" s="34">
        <v>39016</v>
      </c>
      <c r="C693">
        <v>1.2607999999999999</v>
      </c>
      <c r="D693">
        <v>-4</v>
      </c>
      <c r="F693">
        <v>0.25499999999999701</v>
      </c>
      <c r="G693">
        <v>10.589060308555201</v>
      </c>
      <c r="H693">
        <v>1</v>
      </c>
      <c r="I693">
        <v>0.54441620000000002</v>
      </c>
      <c r="J693">
        <v>2006</v>
      </c>
      <c r="K693">
        <v>10</v>
      </c>
      <c r="L693">
        <v>26</v>
      </c>
      <c r="M693" t="s">
        <v>90</v>
      </c>
      <c r="N693">
        <v>0</v>
      </c>
      <c r="O693">
        <v>0</v>
      </c>
    </row>
    <row r="694" spans="1:15" x14ac:dyDescent="0.3">
      <c r="A694">
        <v>789</v>
      </c>
      <c r="B694" s="34">
        <v>39017</v>
      </c>
      <c r="C694">
        <v>1.2686999999999999</v>
      </c>
      <c r="D694">
        <v>0</v>
      </c>
      <c r="F694">
        <v>0.25499999999999701</v>
      </c>
      <c r="G694">
        <v>10.589060308555201</v>
      </c>
      <c r="H694">
        <v>0</v>
      </c>
      <c r="I694">
        <v>0.5437263</v>
      </c>
      <c r="J694">
        <v>2006</v>
      </c>
      <c r="K694">
        <v>10</v>
      </c>
      <c r="L694">
        <v>27</v>
      </c>
      <c r="M694" t="s">
        <v>91</v>
      </c>
      <c r="N694">
        <v>0</v>
      </c>
      <c r="O694">
        <v>0</v>
      </c>
    </row>
    <row r="695" spans="1:15" x14ac:dyDescent="0.3">
      <c r="A695">
        <v>790</v>
      </c>
      <c r="B695" s="34">
        <v>39020</v>
      </c>
      <c r="C695">
        <v>1.274</v>
      </c>
      <c r="D695">
        <v>0</v>
      </c>
      <c r="F695">
        <v>0.25499999999999701</v>
      </c>
      <c r="G695">
        <v>10.589060308555201</v>
      </c>
      <c r="H695">
        <v>0</v>
      </c>
      <c r="I695">
        <v>0.54303800000000002</v>
      </c>
      <c r="J695">
        <v>2006</v>
      </c>
      <c r="K695">
        <v>10</v>
      </c>
      <c r="L695">
        <v>30</v>
      </c>
      <c r="M695" t="s">
        <v>92</v>
      </c>
      <c r="N695">
        <v>0</v>
      </c>
      <c r="O695">
        <v>0</v>
      </c>
    </row>
    <row r="696" spans="1:15" x14ac:dyDescent="0.3">
      <c r="A696">
        <v>791</v>
      </c>
      <c r="B696" s="34">
        <v>39021</v>
      </c>
      <c r="C696">
        <v>1.2715000000000001</v>
      </c>
      <c r="D696">
        <v>0</v>
      </c>
      <c r="F696">
        <v>0.25499999999999701</v>
      </c>
      <c r="G696">
        <v>10.589060308555201</v>
      </c>
      <c r="H696">
        <v>1</v>
      </c>
      <c r="I696">
        <v>0.54361570000000003</v>
      </c>
      <c r="J696">
        <v>2006</v>
      </c>
      <c r="K696">
        <v>10</v>
      </c>
      <c r="L696">
        <v>31</v>
      </c>
      <c r="M696" t="s">
        <v>93</v>
      </c>
      <c r="N696">
        <v>0</v>
      </c>
      <c r="O696">
        <v>0</v>
      </c>
    </row>
    <row r="697" spans="1:15" x14ac:dyDescent="0.3">
      <c r="A697">
        <v>792</v>
      </c>
      <c r="B697" s="34">
        <v>39022</v>
      </c>
      <c r="C697">
        <v>1.2765</v>
      </c>
      <c r="D697">
        <v>-4</v>
      </c>
      <c r="F697">
        <v>0.256099999999997</v>
      </c>
      <c r="G697">
        <v>10.2033660589059</v>
      </c>
      <c r="H697">
        <v>1</v>
      </c>
      <c r="I697">
        <v>0.54419189999999995</v>
      </c>
      <c r="J697">
        <v>2006</v>
      </c>
      <c r="K697">
        <v>11</v>
      </c>
      <c r="L697">
        <v>1</v>
      </c>
      <c r="M697" t="s">
        <v>89</v>
      </c>
      <c r="N697">
        <v>0</v>
      </c>
      <c r="O697">
        <v>0</v>
      </c>
    </row>
    <row r="698" spans="1:15" x14ac:dyDescent="0.3">
      <c r="A698">
        <v>793</v>
      </c>
      <c r="B698" s="34">
        <v>39023</v>
      </c>
      <c r="C698">
        <v>1.2754000000000001</v>
      </c>
      <c r="D698">
        <v>0</v>
      </c>
      <c r="F698">
        <v>0.256099999999997</v>
      </c>
      <c r="G698">
        <v>10.2033660589059</v>
      </c>
      <c r="H698">
        <v>1</v>
      </c>
      <c r="I698">
        <v>0.54476670000000005</v>
      </c>
      <c r="J698">
        <v>2006</v>
      </c>
      <c r="K698">
        <v>11</v>
      </c>
      <c r="L698">
        <v>2</v>
      </c>
      <c r="M698" t="s">
        <v>90</v>
      </c>
      <c r="N698">
        <v>0</v>
      </c>
      <c r="O698">
        <v>0</v>
      </c>
    </row>
    <row r="699" spans="1:15" x14ac:dyDescent="0.3">
      <c r="A699">
        <v>794</v>
      </c>
      <c r="B699" s="34">
        <v>39024</v>
      </c>
      <c r="C699">
        <v>1.2778</v>
      </c>
      <c r="D699">
        <v>-9</v>
      </c>
      <c r="F699">
        <v>0.26229999999999698</v>
      </c>
      <c r="G699">
        <v>8.02945301542767</v>
      </c>
      <c r="H699">
        <v>1</v>
      </c>
      <c r="I699">
        <v>0.54534009999999999</v>
      </c>
      <c r="J699">
        <v>2006</v>
      </c>
      <c r="K699">
        <v>11</v>
      </c>
      <c r="L699">
        <v>3</v>
      </c>
      <c r="M699" t="s">
        <v>91</v>
      </c>
      <c r="N699">
        <v>0</v>
      </c>
      <c r="O699">
        <v>0</v>
      </c>
    </row>
    <row r="700" spans="1:15" x14ac:dyDescent="0.3">
      <c r="A700">
        <v>795</v>
      </c>
      <c r="B700" s="34">
        <v>39027</v>
      </c>
      <c r="C700">
        <v>1.2716000000000001</v>
      </c>
      <c r="D700">
        <v>0</v>
      </c>
      <c r="F700">
        <v>0.26229999999999698</v>
      </c>
      <c r="G700">
        <v>8.02945301542767</v>
      </c>
      <c r="H700">
        <v>1</v>
      </c>
      <c r="I700">
        <v>0.54591199999999995</v>
      </c>
      <c r="J700">
        <v>2006</v>
      </c>
      <c r="K700">
        <v>11</v>
      </c>
      <c r="L700">
        <v>6</v>
      </c>
      <c r="M700" t="s">
        <v>92</v>
      </c>
      <c r="N700">
        <v>0</v>
      </c>
      <c r="O700">
        <v>0</v>
      </c>
    </row>
    <row r="701" spans="1:15" x14ac:dyDescent="0.3">
      <c r="A701">
        <v>796</v>
      </c>
      <c r="B701" s="34">
        <v>39028</v>
      </c>
      <c r="C701">
        <v>1.2732000000000001</v>
      </c>
      <c r="D701">
        <v>-2</v>
      </c>
      <c r="F701">
        <v>0.25719999999999699</v>
      </c>
      <c r="G701">
        <v>9.8176718092565398</v>
      </c>
      <c r="H701">
        <v>1</v>
      </c>
      <c r="I701">
        <v>0.54648240000000003</v>
      </c>
      <c r="J701">
        <v>2006</v>
      </c>
      <c r="K701">
        <v>11</v>
      </c>
      <c r="L701">
        <v>7</v>
      </c>
      <c r="M701" t="s">
        <v>93</v>
      </c>
      <c r="N701">
        <v>0</v>
      </c>
      <c r="O701">
        <v>0</v>
      </c>
    </row>
    <row r="702" spans="1:15" x14ac:dyDescent="0.3">
      <c r="A702">
        <v>797</v>
      </c>
      <c r="B702" s="34">
        <v>39029</v>
      </c>
      <c r="C702">
        <v>1.2783</v>
      </c>
      <c r="D702">
        <v>-2</v>
      </c>
      <c r="F702">
        <v>0.25979999999999698</v>
      </c>
      <c r="G702">
        <v>8.9060308555398606</v>
      </c>
      <c r="H702">
        <v>1</v>
      </c>
      <c r="I702">
        <v>0.54705139999999997</v>
      </c>
      <c r="J702">
        <v>2006</v>
      </c>
      <c r="K702">
        <v>11</v>
      </c>
      <c r="L702">
        <v>8</v>
      </c>
      <c r="M702" t="s">
        <v>89</v>
      </c>
      <c r="N702">
        <v>0</v>
      </c>
      <c r="O702">
        <v>0</v>
      </c>
    </row>
    <row r="703" spans="1:15" x14ac:dyDescent="0.3">
      <c r="A703">
        <v>798</v>
      </c>
      <c r="B703" s="34">
        <v>39030</v>
      </c>
      <c r="C703">
        <v>1.2757000000000001</v>
      </c>
      <c r="D703">
        <v>0</v>
      </c>
      <c r="F703">
        <v>0.25979999999999698</v>
      </c>
      <c r="G703">
        <v>8.9060308555398606</v>
      </c>
      <c r="H703">
        <v>1</v>
      </c>
      <c r="I703">
        <v>0.54761899999999997</v>
      </c>
      <c r="J703">
        <v>2006</v>
      </c>
      <c r="K703">
        <v>11</v>
      </c>
      <c r="L703">
        <v>9</v>
      </c>
      <c r="M703" t="s">
        <v>90</v>
      </c>
      <c r="N703">
        <v>0</v>
      </c>
      <c r="O703">
        <v>0</v>
      </c>
    </row>
    <row r="704" spans="1:15" x14ac:dyDescent="0.3">
      <c r="A704">
        <v>799</v>
      </c>
      <c r="B704" s="34">
        <v>39031</v>
      </c>
      <c r="C704">
        <v>1.2837000000000001</v>
      </c>
      <c r="D704">
        <v>-30</v>
      </c>
      <c r="F704">
        <v>0.25949999999999701</v>
      </c>
      <c r="G704">
        <v>9.0112201963533103</v>
      </c>
      <c r="H704">
        <v>1</v>
      </c>
      <c r="I704">
        <v>0.54818520000000004</v>
      </c>
      <c r="J704">
        <v>2006</v>
      </c>
      <c r="K704">
        <v>11</v>
      </c>
      <c r="L704">
        <v>10</v>
      </c>
      <c r="M704" t="s">
        <v>91</v>
      </c>
      <c r="N704">
        <v>0</v>
      </c>
      <c r="O704">
        <v>0</v>
      </c>
    </row>
    <row r="705" spans="1:15" x14ac:dyDescent="0.3">
      <c r="A705">
        <v>800</v>
      </c>
      <c r="B705" s="34">
        <v>39034</v>
      </c>
      <c r="C705">
        <v>1.284</v>
      </c>
      <c r="D705">
        <v>0</v>
      </c>
      <c r="F705">
        <v>0.25949999999999701</v>
      </c>
      <c r="G705">
        <v>9.0112201963533103</v>
      </c>
      <c r="H705">
        <v>0</v>
      </c>
      <c r="I705">
        <v>0.54749999999999999</v>
      </c>
      <c r="J705">
        <v>2006</v>
      </c>
      <c r="K705">
        <v>11</v>
      </c>
      <c r="L705">
        <v>13</v>
      </c>
      <c r="M705" t="s">
        <v>92</v>
      </c>
      <c r="N705">
        <v>0</v>
      </c>
      <c r="O705">
        <v>0</v>
      </c>
    </row>
    <row r="706" spans="1:15" x14ac:dyDescent="0.3">
      <c r="A706">
        <v>801</v>
      </c>
      <c r="B706" s="34">
        <v>39035</v>
      </c>
      <c r="C706">
        <v>1.2806</v>
      </c>
      <c r="D706">
        <v>0</v>
      </c>
      <c r="F706">
        <v>0.25949999999999701</v>
      </c>
      <c r="G706">
        <v>9.0112201963533103</v>
      </c>
      <c r="H706">
        <v>1</v>
      </c>
      <c r="I706">
        <v>0.54806489999999997</v>
      </c>
      <c r="J706">
        <v>2006</v>
      </c>
      <c r="K706">
        <v>11</v>
      </c>
      <c r="L706">
        <v>14</v>
      </c>
      <c r="M706" t="s">
        <v>93</v>
      </c>
      <c r="N706">
        <v>0</v>
      </c>
      <c r="O706">
        <v>0</v>
      </c>
    </row>
    <row r="707" spans="1:15" x14ac:dyDescent="0.3">
      <c r="A707">
        <v>802</v>
      </c>
      <c r="B707" s="34">
        <v>39036</v>
      </c>
      <c r="C707">
        <v>1.2809999999999999</v>
      </c>
      <c r="D707">
        <v>-3</v>
      </c>
      <c r="F707">
        <v>0.25749999999999701</v>
      </c>
      <c r="G707">
        <v>9.7124824684430795</v>
      </c>
      <c r="H707">
        <v>1</v>
      </c>
      <c r="I707">
        <v>0.54862840000000002</v>
      </c>
      <c r="J707">
        <v>2006</v>
      </c>
      <c r="K707">
        <v>11</v>
      </c>
      <c r="L707">
        <v>15</v>
      </c>
      <c r="M707" t="s">
        <v>89</v>
      </c>
      <c r="N707">
        <v>0</v>
      </c>
      <c r="O707">
        <v>0</v>
      </c>
    </row>
    <row r="708" spans="1:15" x14ac:dyDescent="0.3">
      <c r="A708">
        <v>803</v>
      </c>
      <c r="B708" s="34">
        <v>39037</v>
      </c>
      <c r="C708">
        <v>1.2829999999999999</v>
      </c>
      <c r="D708">
        <v>-7</v>
      </c>
      <c r="F708">
        <v>0.26079999999999698</v>
      </c>
      <c r="G708">
        <v>8.5553997194950107</v>
      </c>
      <c r="H708">
        <v>0</v>
      </c>
      <c r="I708">
        <v>0.54794520000000002</v>
      </c>
      <c r="J708">
        <v>2006</v>
      </c>
      <c r="K708">
        <v>11</v>
      </c>
      <c r="L708">
        <v>16</v>
      </c>
      <c r="M708" t="s">
        <v>90</v>
      </c>
      <c r="N708">
        <v>0</v>
      </c>
      <c r="O708">
        <v>0</v>
      </c>
    </row>
    <row r="709" spans="1:15" x14ac:dyDescent="0.3">
      <c r="A709">
        <v>804</v>
      </c>
      <c r="B709" s="34">
        <v>39038</v>
      </c>
      <c r="C709">
        <v>1.2797000000000001</v>
      </c>
      <c r="D709">
        <v>0</v>
      </c>
      <c r="F709">
        <v>0.26079999999999698</v>
      </c>
      <c r="G709">
        <v>8.5553997194950107</v>
      </c>
      <c r="H709">
        <v>1</v>
      </c>
      <c r="I709">
        <v>0.54850750000000004</v>
      </c>
      <c r="J709">
        <v>2006</v>
      </c>
      <c r="K709">
        <v>11</v>
      </c>
      <c r="L709">
        <v>17</v>
      </c>
      <c r="M709" t="s">
        <v>91</v>
      </c>
      <c r="N709">
        <v>0</v>
      </c>
      <c r="O709">
        <v>0</v>
      </c>
    </row>
    <row r="710" spans="1:15" x14ac:dyDescent="0.3">
      <c r="A710">
        <v>805</v>
      </c>
      <c r="B710" s="34">
        <v>39041</v>
      </c>
      <c r="C710">
        <v>1.2827999999999999</v>
      </c>
      <c r="D710">
        <v>-1</v>
      </c>
      <c r="F710">
        <v>0.26169999999999699</v>
      </c>
      <c r="G710">
        <v>8.2398316970546492</v>
      </c>
      <c r="H710">
        <v>1</v>
      </c>
      <c r="I710">
        <v>0.54906829999999995</v>
      </c>
      <c r="J710">
        <v>2006</v>
      </c>
      <c r="K710">
        <v>11</v>
      </c>
      <c r="L710">
        <v>20</v>
      </c>
      <c r="M710" t="s">
        <v>92</v>
      </c>
      <c r="N710">
        <v>0</v>
      </c>
      <c r="O710">
        <v>0</v>
      </c>
    </row>
    <row r="711" spans="1:15" x14ac:dyDescent="0.3">
      <c r="A711">
        <v>806</v>
      </c>
      <c r="B711" s="34">
        <v>39042</v>
      </c>
      <c r="C711">
        <v>1.2819</v>
      </c>
      <c r="D711">
        <v>0</v>
      </c>
      <c r="F711">
        <v>0.26169999999999699</v>
      </c>
      <c r="G711">
        <v>8.2398316970546492</v>
      </c>
      <c r="H711">
        <v>1</v>
      </c>
      <c r="I711">
        <v>0.5496278</v>
      </c>
      <c r="J711">
        <v>2006</v>
      </c>
      <c r="K711">
        <v>11</v>
      </c>
      <c r="L711">
        <v>21</v>
      </c>
      <c r="M711" t="s">
        <v>93</v>
      </c>
      <c r="N711">
        <v>0</v>
      </c>
      <c r="O711">
        <v>0</v>
      </c>
    </row>
    <row r="712" spans="1:15" x14ac:dyDescent="0.3">
      <c r="A712">
        <v>807</v>
      </c>
      <c r="B712" s="34">
        <v>39043</v>
      </c>
      <c r="C712">
        <v>1.2847</v>
      </c>
      <c r="D712">
        <v>-12</v>
      </c>
      <c r="F712">
        <v>0.25219999999999698</v>
      </c>
      <c r="G712">
        <v>11.570827489480999</v>
      </c>
      <c r="H712">
        <v>1</v>
      </c>
      <c r="I712">
        <v>0.55018590000000001</v>
      </c>
      <c r="J712">
        <v>2006</v>
      </c>
      <c r="K712">
        <v>11</v>
      </c>
      <c r="L712">
        <v>22</v>
      </c>
      <c r="M712" t="s">
        <v>89</v>
      </c>
      <c r="N712">
        <v>0</v>
      </c>
      <c r="O712">
        <v>0</v>
      </c>
    </row>
    <row r="713" spans="1:15" x14ac:dyDescent="0.3">
      <c r="A713">
        <v>808</v>
      </c>
      <c r="B713" s="34">
        <v>39044</v>
      </c>
      <c r="C713">
        <v>1.2942</v>
      </c>
      <c r="D713">
        <v>0</v>
      </c>
      <c r="F713">
        <v>0.25219999999999698</v>
      </c>
      <c r="G713">
        <v>11.570827489480999</v>
      </c>
      <c r="H713">
        <v>0</v>
      </c>
      <c r="I713">
        <v>0.54950489999999996</v>
      </c>
      <c r="J713">
        <v>2006</v>
      </c>
      <c r="K713">
        <v>11</v>
      </c>
      <c r="L713">
        <v>23</v>
      </c>
      <c r="M713" t="s">
        <v>90</v>
      </c>
      <c r="N713">
        <v>0</v>
      </c>
      <c r="O713">
        <v>0</v>
      </c>
    </row>
    <row r="714" spans="1:15" x14ac:dyDescent="0.3">
      <c r="A714">
        <v>809</v>
      </c>
      <c r="B714" s="34">
        <v>39045</v>
      </c>
      <c r="C714">
        <v>1.2948</v>
      </c>
      <c r="D714">
        <v>0</v>
      </c>
      <c r="F714">
        <v>0.25219999999999698</v>
      </c>
      <c r="G714">
        <v>11.570827489480999</v>
      </c>
      <c r="H714">
        <v>0</v>
      </c>
      <c r="I714">
        <v>0.54882569999999997</v>
      </c>
      <c r="J714">
        <v>2006</v>
      </c>
      <c r="K714">
        <v>11</v>
      </c>
      <c r="L714">
        <v>24</v>
      </c>
      <c r="M714" t="s">
        <v>91</v>
      </c>
      <c r="N714">
        <v>0</v>
      </c>
      <c r="O714">
        <v>0</v>
      </c>
    </row>
    <row r="715" spans="1:15" x14ac:dyDescent="0.3">
      <c r="A715">
        <v>810</v>
      </c>
      <c r="B715" s="34">
        <v>39048</v>
      </c>
      <c r="C715">
        <v>1.3092999999999999</v>
      </c>
      <c r="D715">
        <v>-4</v>
      </c>
      <c r="F715">
        <v>0.248299999999997</v>
      </c>
      <c r="G715">
        <v>12.938288920056101</v>
      </c>
      <c r="H715">
        <v>1</v>
      </c>
      <c r="I715">
        <v>0.5493827</v>
      </c>
      <c r="J715">
        <v>2006</v>
      </c>
      <c r="K715">
        <v>11</v>
      </c>
      <c r="L715">
        <v>27</v>
      </c>
      <c r="M715" t="s">
        <v>92</v>
      </c>
      <c r="N715">
        <v>0</v>
      </c>
      <c r="O715">
        <v>0</v>
      </c>
    </row>
    <row r="716" spans="1:15" x14ac:dyDescent="0.3">
      <c r="A716">
        <v>811</v>
      </c>
      <c r="B716" s="34">
        <v>39049</v>
      </c>
      <c r="C716">
        <v>1.3131999999999999</v>
      </c>
      <c r="D716">
        <v>0</v>
      </c>
      <c r="F716">
        <v>0.248299999999997</v>
      </c>
      <c r="G716">
        <v>12.938288920056101</v>
      </c>
      <c r="H716">
        <v>0</v>
      </c>
      <c r="I716">
        <v>0.54870529999999995</v>
      </c>
      <c r="J716">
        <v>2006</v>
      </c>
      <c r="K716">
        <v>11</v>
      </c>
      <c r="L716">
        <v>28</v>
      </c>
      <c r="M716" t="s">
        <v>93</v>
      </c>
      <c r="N716">
        <v>0</v>
      </c>
      <c r="O716">
        <v>0</v>
      </c>
    </row>
    <row r="717" spans="1:15" x14ac:dyDescent="0.3">
      <c r="A717">
        <v>812</v>
      </c>
      <c r="B717" s="34">
        <v>39050</v>
      </c>
      <c r="C717">
        <v>1.3191999999999999</v>
      </c>
      <c r="D717">
        <v>-1</v>
      </c>
      <c r="F717">
        <v>0.25229999999999703</v>
      </c>
      <c r="G717">
        <v>11.5357643758765</v>
      </c>
      <c r="H717">
        <v>0</v>
      </c>
      <c r="I717">
        <v>0.54802949999999995</v>
      </c>
      <c r="J717">
        <v>2006</v>
      </c>
      <c r="K717">
        <v>11</v>
      </c>
      <c r="L717">
        <v>29</v>
      </c>
      <c r="M717" t="s">
        <v>89</v>
      </c>
      <c r="N717">
        <v>0</v>
      </c>
      <c r="O717">
        <v>0</v>
      </c>
    </row>
    <row r="718" spans="1:15" x14ac:dyDescent="0.3">
      <c r="A718">
        <v>813</v>
      </c>
      <c r="B718" s="34">
        <v>39051</v>
      </c>
      <c r="C718">
        <v>1.3151999999999999</v>
      </c>
      <c r="D718">
        <v>1</v>
      </c>
      <c r="E718" t="s">
        <v>254</v>
      </c>
      <c r="F718">
        <v>0.26089999999999702</v>
      </c>
      <c r="G718">
        <v>8.5203366058905292</v>
      </c>
      <c r="H718">
        <v>1</v>
      </c>
      <c r="I718">
        <v>0.54858549999999995</v>
      </c>
      <c r="J718">
        <v>2006</v>
      </c>
      <c r="K718">
        <v>11</v>
      </c>
      <c r="L718">
        <v>30</v>
      </c>
      <c r="M718" t="s">
        <v>90</v>
      </c>
      <c r="N718">
        <v>0</v>
      </c>
      <c r="O718">
        <v>0</v>
      </c>
    </row>
    <row r="719" spans="1:15" x14ac:dyDescent="0.3">
      <c r="A719">
        <v>814</v>
      </c>
      <c r="B719" s="34">
        <v>39052</v>
      </c>
      <c r="C719">
        <v>1.3238000000000001</v>
      </c>
      <c r="D719">
        <v>-8</v>
      </c>
      <c r="F719">
        <v>0.25109999999999699</v>
      </c>
      <c r="G719">
        <v>11.9565217391303</v>
      </c>
      <c r="H719">
        <v>1</v>
      </c>
      <c r="I719">
        <v>0.54913999999999996</v>
      </c>
      <c r="J719">
        <v>2006</v>
      </c>
      <c r="K719">
        <v>12</v>
      </c>
      <c r="L719">
        <v>1</v>
      </c>
      <c r="M719" t="s">
        <v>91</v>
      </c>
      <c r="N719">
        <v>0</v>
      </c>
      <c r="O719">
        <v>0</v>
      </c>
    </row>
    <row r="720" spans="1:15" x14ac:dyDescent="0.3">
      <c r="A720">
        <v>815</v>
      </c>
      <c r="B720" s="34">
        <v>39055</v>
      </c>
      <c r="C720">
        <v>1.3335999999999999</v>
      </c>
      <c r="D720">
        <v>0</v>
      </c>
      <c r="F720">
        <v>0.25109999999999699</v>
      </c>
      <c r="G720">
        <v>11.9565217391303</v>
      </c>
      <c r="H720">
        <v>0</v>
      </c>
      <c r="I720">
        <v>0.54846629999999996</v>
      </c>
      <c r="J720">
        <v>2006</v>
      </c>
      <c r="K720">
        <v>12</v>
      </c>
      <c r="L720">
        <v>4</v>
      </c>
      <c r="M720" t="s">
        <v>92</v>
      </c>
      <c r="N720">
        <v>0</v>
      </c>
      <c r="O720">
        <v>0</v>
      </c>
    </row>
    <row r="721" spans="1:15" x14ac:dyDescent="0.3">
      <c r="A721">
        <v>816</v>
      </c>
      <c r="B721" s="34">
        <v>39056</v>
      </c>
      <c r="C721">
        <v>1.3340000000000001</v>
      </c>
      <c r="D721">
        <v>0</v>
      </c>
      <c r="F721">
        <v>0.25109999999999699</v>
      </c>
      <c r="G721">
        <v>11.9565217391303</v>
      </c>
      <c r="H721">
        <v>0</v>
      </c>
      <c r="I721">
        <v>0.54779409999999995</v>
      </c>
      <c r="J721">
        <v>2006</v>
      </c>
      <c r="K721">
        <v>12</v>
      </c>
      <c r="L721">
        <v>5</v>
      </c>
      <c r="M721" t="s">
        <v>93</v>
      </c>
      <c r="N721">
        <v>0</v>
      </c>
      <c r="O721">
        <v>0</v>
      </c>
    </row>
    <row r="722" spans="1:15" x14ac:dyDescent="0.3">
      <c r="A722">
        <v>817</v>
      </c>
      <c r="B722" s="34">
        <v>39057</v>
      </c>
      <c r="C722">
        <v>1.3314999999999999</v>
      </c>
      <c r="D722">
        <v>1</v>
      </c>
      <c r="E722" t="s">
        <v>255</v>
      </c>
      <c r="F722">
        <v>0.247499999999997</v>
      </c>
      <c r="G722">
        <v>13.218793828891799</v>
      </c>
      <c r="H722">
        <v>1</v>
      </c>
      <c r="I722">
        <v>0.54834760000000005</v>
      </c>
      <c r="J722">
        <v>2006</v>
      </c>
      <c r="K722">
        <v>12</v>
      </c>
      <c r="L722">
        <v>6</v>
      </c>
      <c r="M722" t="s">
        <v>89</v>
      </c>
      <c r="N722">
        <v>0</v>
      </c>
      <c r="O722">
        <v>0</v>
      </c>
    </row>
    <row r="723" spans="1:15" x14ac:dyDescent="0.3">
      <c r="A723">
        <v>818</v>
      </c>
      <c r="B723" s="34">
        <v>39058</v>
      </c>
      <c r="C723">
        <v>1.3279000000000001</v>
      </c>
      <c r="D723">
        <v>8</v>
      </c>
      <c r="E723" t="s">
        <v>256</v>
      </c>
      <c r="F723">
        <v>0.24789999999999701</v>
      </c>
      <c r="G723">
        <v>13.0785413744739</v>
      </c>
      <c r="H723">
        <v>0</v>
      </c>
      <c r="I723">
        <v>0.54767730000000003</v>
      </c>
      <c r="J723">
        <v>2006</v>
      </c>
      <c r="K723">
        <v>12</v>
      </c>
      <c r="L723">
        <v>7</v>
      </c>
      <c r="M723" t="s">
        <v>90</v>
      </c>
      <c r="N723">
        <v>0</v>
      </c>
      <c r="O723">
        <v>0</v>
      </c>
    </row>
    <row r="724" spans="1:15" x14ac:dyDescent="0.3">
      <c r="A724">
        <v>819</v>
      </c>
      <c r="B724" s="34">
        <v>39059</v>
      </c>
      <c r="C724">
        <v>1.3283</v>
      </c>
      <c r="D724">
        <v>-3</v>
      </c>
      <c r="F724">
        <v>0.25599999999999701</v>
      </c>
      <c r="G724">
        <v>10.238429172510299</v>
      </c>
      <c r="H724">
        <v>1</v>
      </c>
      <c r="I724">
        <v>0.54822959999999998</v>
      </c>
      <c r="J724">
        <v>2006</v>
      </c>
      <c r="K724">
        <v>12</v>
      </c>
      <c r="L724">
        <v>8</v>
      </c>
      <c r="M724" t="s">
        <v>91</v>
      </c>
      <c r="N724">
        <v>0</v>
      </c>
      <c r="O724">
        <v>0</v>
      </c>
    </row>
    <row r="725" spans="1:15" x14ac:dyDescent="0.3">
      <c r="A725">
        <v>820</v>
      </c>
      <c r="B725" s="34">
        <v>39062</v>
      </c>
      <c r="C725">
        <v>1.3202</v>
      </c>
      <c r="D725">
        <v>0</v>
      </c>
      <c r="F725">
        <v>0.25599999999999701</v>
      </c>
      <c r="G725">
        <v>10.238429172510299</v>
      </c>
      <c r="H725">
        <v>0</v>
      </c>
      <c r="I725">
        <v>0.54756099999999996</v>
      </c>
      <c r="J725">
        <v>2006</v>
      </c>
      <c r="K725">
        <v>12</v>
      </c>
      <c r="L725">
        <v>11</v>
      </c>
      <c r="M725" t="s">
        <v>92</v>
      </c>
      <c r="N725">
        <v>0</v>
      </c>
      <c r="O725">
        <v>0</v>
      </c>
    </row>
    <row r="726" spans="1:15" x14ac:dyDescent="0.3">
      <c r="A726">
        <v>821</v>
      </c>
      <c r="B726" s="34">
        <v>39063</v>
      </c>
      <c r="C726">
        <v>1.325</v>
      </c>
      <c r="D726">
        <v>0</v>
      </c>
      <c r="F726">
        <v>0.25599999999999701</v>
      </c>
      <c r="G726">
        <v>10.238429172510299</v>
      </c>
      <c r="H726">
        <v>1</v>
      </c>
      <c r="I726">
        <v>0.54811200000000004</v>
      </c>
      <c r="J726">
        <v>2006</v>
      </c>
      <c r="K726">
        <v>12</v>
      </c>
      <c r="L726">
        <v>12</v>
      </c>
      <c r="M726" t="s">
        <v>93</v>
      </c>
      <c r="N726">
        <v>0</v>
      </c>
      <c r="O726">
        <v>0</v>
      </c>
    </row>
    <row r="727" spans="1:15" x14ac:dyDescent="0.3">
      <c r="A727">
        <v>822</v>
      </c>
      <c r="B727" s="34">
        <v>39064</v>
      </c>
      <c r="C727">
        <v>1.3282</v>
      </c>
      <c r="D727">
        <v>-5</v>
      </c>
      <c r="F727">
        <v>0.26349999999999701</v>
      </c>
      <c r="G727">
        <v>7.6086956521736999</v>
      </c>
      <c r="H727">
        <v>0</v>
      </c>
      <c r="I727">
        <v>0.54744519999999997</v>
      </c>
      <c r="J727">
        <v>2006</v>
      </c>
      <c r="K727">
        <v>12</v>
      </c>
      <c r="L727">
        <v>13</v>
      </c>
      <c r="M727" t="s">
        <v>89</v>
      </c>
      <c r="N727">
        <v>0</v>
      </c>
      <c r="O727">
        <v>0</v>
      </c>
    </row>
    <row r="728" spans="1:15" x14ac:dyDescent="0.3">
      <c r="A728">
        <v>823</v>
      </c>
      <c r="B728" s="34">
        <v>39065</v>
      </c>
      <c r="C728">
        <v>1.3207</v>
      </c>
      <c r="D728">
        <v>5</v>
      </c>
      <c r="E728" t="s">
        <v>257</v>
      </c>
      <c r="F728">
        <v>0.25799999999999701</v>
      </c>
      <c r="G728">
        <v>9.5371669004205799</v>
      </c>
      <c r="H728">
        <v>1</v>
      </c>
      <c r="I728">
        <v>0.54799520000000002</v>
      </c>
      <c r="J728">
        <v>2006</v>
      </c>
      <c r="K728">
        <v>12</v>
      </c>
      <c r="L728">
        <v>14</v>
      </c>
      <c r="M728" t="s">
        <v>90</v>
      </c>
      <c r="N728">
        <v>0</v>
      </c>
      <c r="O728">
        <v>0</v>
      </c>
    </row>
    <row r="729" spans="1:15" x14ac:dyDescent="0.3">
      <c r="A729">
        <v>824</v>
      </c>
      <c r="B729" s="34">
        <v>39066</v>
      </c>
      <c r="C729">
        <v>1.3151999999999999</v>
      </c>
      <c r="D729">
        <v>0</v>
      </c>
      <c r="F729">
        <v>0.25799999999999701</v>
      </c>
      <c r="G729">
        <v>9.5371669004205799</v>
      </c>
      <c r="H729">
        <v>0</v>
      </c>
      <c r="I729">
        <v>0.54733010000000004</v>
      </c>
      <c r="J729">
        <v>2006</v>
      </c>
      <c r="K729">
        <v>12</v>
      </c>
      <c r="L729">
        <v>15</v>
      </c>
      <c r="M729" t="s">
        <v>91</v>
      </c>
      <c r="N729">
        <v>0</v>
      </c>
      <c r="O729">
        <v>0</v>
      </c>
    </row>
    <row r="730" spans="1:15" x14ac:dyDescent="0.3">
      <c r="A730">
        <v>825</v>
      </c>
      <c r="B730" s="34">
        <v>39069</v>
      </c>
      <c r="C730">
        <v>1.3079000000000001</v>
      </c>
      <c r="D730">
        <v>0</v>
      </c>
      <c r="F730">
        <v>0.25799999999999701</v>
      </c>
      <c r="G730">
        <v>9.5371669004205799</v>
      </c>
      <c r="H730">
        <v>0</v>
      </c>
      <c r="I730">
        <v>0.54666669999999995</v>
      </c>
      <c r="J730">
        <v>2006</v>
      </c>
      <c r="K730">
        <v>12</v>
      </c>
      <c r="L730">
        <v>18</v>
      </c>
      <c r="M730" t="s">
        <v>92</v>
      </c>
      <c r="N730">
        <v>0</v>
      </c>
      <c r="O730">
        <v>0</v>
      </c>
    </row>
    <row r="731" spans="1:15" x14ac:dyDescent="0.3">
      <c r="A731">
        <v>826</v>
      </c>
      <c r="B731" s="34">
        <v>39070</v>
      </c>
      <c r="C731">
        <v>1.3096000000000001</v>
      </c>
      <c r="D731">
        <v>0</v>
      </c>
      <c r="F731">
        <v>0.25799999999999701</v>
      </c>
      <c r="G731">
        <v>9.5371669004205799</v>
      </c>
      <c r="H731">
        <v>1</v>
      </c>
      <c r="I731">
        <v>0.54721549999999997</v>
      </c>
      <c r="J731">
        <v>2006</v>
      </c>
      <c r="K731">
        <v>12</v>
      </c>
      <c r="L731">
        <v>19</v>
      </c>
      <c r="M731" t="s">
        <v>93</v>
      </c>
      <c r="N731">
        <v>0</v>
      </c>
      <c r="O731">
        <v>0</v>
      </c>
    </row>
    <row r="732" spans="1:15" x14ac:dyDescent="0.3">
      <c r="A732">
        <v>827</v>
      </c>
      <c r="B732" s="34">
        <v>39071</v>
      </c>
      <c r="C732">
        <v>1.3196000000000001</v>
      </c>
      <c r="D732">
        <v>-2</v>
      </c>
      <c r="F732">
        <v>0.260099999999998</v>
      </c>
      <c r="G732">
        <v>8.8008415147262493</v>
      </c>
      <c r="H732">
        <v>1</v>
      </c>
      <c r="I732">
        <v>0.547763</v>
      </c>
      <c r="J732">
        <v>2006</v>
      </c>
      <c r="K732">
        <v>12</v>
      </c>
      <c r="L732">
        <v>20</v>
      </c>
      <c r="M732" t="s">
        <v>89</v>
      </c>
      <c r="N732">
        <v>0</v>
      </c>
      <c r="O732">
        <v>0</v>
      </c>
    </row>
    <row r="733" spans="1:15" x14ac:dyDescent="0.3">
      <c r="A733">
        <v>828</v>
      </c>
      <c r="B733" s="34">
        <v>39072</v>
      </c>
      <c r="C733">
        <v>1.3174999999999999</v>
      </c>
      <c r="D733">
        <v>0</v>
      </c>
      <c r="F733">
        <v>0.260099999999998</v>
      </c>
      <c r="G733">
        <v>8.8008415147262493</v>
      </c>
      <c r="H733">
        <v>1</v>
      </c>
      <c r="I733">
        <v>0.54830920000000005</v>
      </c>
      <c r="J733">
        <v>2006</v>
      </c>
      <c r="K733">
        <v>12</v>
      </c>
      <c r="L733">
        <v>21</v>
      </c>
      <c r="M733" t="s">
        <v>90</v>
      </c>
      <c r="N733">
        <v>0</v>
      </c>
      <c r="O733">
        <v>0</v>
      </c>
    </row>
    <row r="734" spans="1:15" x14ac:dyDescent="0.3">
      <c r="A734">
        <v>829</v>
      </c>
      <c r="B734" s="34">
        <v>39073</v>
      </c>
      <c r="C734">
        <v>1.3180000000000001</v>
      </c>
      <c r="D734">
        <v>2</v>
      </c>
      <c r="E734" t="s">
        <v>258</v>
      </c>
      <c r="F734">
        <v>0.25489999999999702</v>
      </c>
      <c r="G734">
        <v>10.624123422159601</v>
      </c>
      <c r="H734">
        <v>0</v>
      </c>
      <c r="I734">
        <v>0.54764780000000002</v>
      </c>
      <c r="J734">
        <v>2006</v>
      </c>
      <c r="K734">
        <v>12</v>
      </c>
      <c r="L734">
        <v>22</v>
      </c>
      <c r="M734" t="s">
        <v>91</v>
      </c>
      <c r="N734">
        <v>0</v>
      </c>
      <c r="O734">
        <v>0</v>
      </c>
    </row>
    <row r="735" spans="1:15" x14ac:dyDescent="0.3">
      <c r="A735">
        <v>830</v>
      </c>
      <c r="B735" s="34">
        <v>39077</v>
      </c>
      <c r="C735">
        <v>1.3128</v>
      </c>
      <c r="D735">
        <v>4</v>
      </c>
      <c r="E735" t="s">
        <v>259</v>
      </c>
      <c r="F735">
        <v>0.25219999999999798</v>
      </c>
      <c r="G735">
        <v>11.5708274894808</v>
      </c>
      <c r="H735">
        <v>1</v>
      </c>
      <c r="I735">
        <v>0.54819280000000004</v>
      </c>
      <c r="J735">
        <v>2006</v>
      </c>
      <c r="K735">
        <v>12</v>
      </c>
      <c r="L735">
        <v>26</v>
      </c>
      <c r="M735" t="s">
        <v>93</v>
      </c>
      <c r="N735">
        <v>0</v>
      </c>
      <c r="O735">
        <v>0</v>
      </c>
    </row>
    <row r="736" spans="1:15" x14ac:dyDescent="0.3">
      <c r="A736">
        <v>831</v>
      </c>
      <c r="B736" s="34">
        <v>39078</v>
      </c>
      <c r="C736">
        <v>1.3101</v>
      </c>
      <c r="D736">
        <v>2</v>
      </c>
      <c r="E736" t="s">
        <v>260</v>
      </c>
      <c r="F736">
        <v>0.254599999999997</v>
      </c>
      <c r="G736">
        <v>10.7293127629731</v>
      </c>
      <c r="H736">
        <v>0</v>
      </c>
      <c r="I736">
        <v>0.54753309999999999</v>
      </c>
      <c r="J736">
        <v>2006</v>
      </c>
      <c r="K736">
        <v>12</v>
      </c>
      <c r="L736">
        <v>27</v>
      </c>
      <c r="M736" t="s">
        <v>89</v>
      </c>
      <c r="N736">
        <v>0</v>
      </c>
      <c r="O736">
        <v>0</v>
      </c>
    </row>
    <row r="737" spans="1:15" x14ac:dyDescent="0.3">
      <c r="A737">
        <v>832</v>
      </c>
      <c r="B737" s="34">
        <v>39079</v>
      </c>
      <c r="C737">
        <v>1.3125</v>
      </c>
      <c r="D737">
        <v>0</v>
      </c>
      <c r="F737">
        <v>0.254599999999997</v>
      </c>
      <c r="G737">
        <v>10.7293127629731</v>
      </c>
      <c r="H737">
        <v>1</v>
      </c>
      <c r="I737">
        <v>0.54807689999999998</v>
      </c>
      <c r="J737">
        <v>2006</v>
      </c>
      <c r="K737">
        <v>12</v>
      </c>
      <c r="L737">
        <v>28</v>
      </c>
      <c r="M737" t="s">
        <v>90</v>
      </c>
      <c r="N737">
        <v>0</v>
      </c>
      <c r="O737">
        <v>0</v>
      </c>
    </row>
    <row r="738" spans="1:15" x14ac:dyDescent="0.3">
      <c r="A738">
        <v>833</v>
      </c>
      <c r="B738" s="34">
        <v>39080</v>
      </c>
      <c r="C738">
        <v>1.3145</v>
      </c>
      <c r="D738">
        <v>-5</v>
      </c>
      <c r="F738">
        <v>0.24869999999999701</v>
      </c>
      <c r="G738">
        <v>12.7980364656379</v>
      </c>
      <c r="H738">
        <v>1</v>
      </c>
      <c r="I738">
        <v>0.54861939999999998</v>
      </c>
      <c r="J738">
        <v>2006</v>
      </c>
      <c r="K738">
        <v>12</v>
      </c>
      <c r="L738">
        <v>29</v>
      </c>
      <c r="M738" t="s">
        <v>91</v>
      </c>
      <c r="N738">
        <v>0</v>
      </c>
      <c r="O738">
        <v>0</v>
      </c>
    </row>
    <row r="739" spans="1:15" x14ac:dyDescent="0.3">
      <c r="A739">
        <v>834</v>
      </c>
      <c r="B739" s="34">
        <v>39083</v>
      </c>
      <c r="C739">
        <v>1.3204</v>
      </c>
      <c r="D739">
        <v>-4</v>
      </c>
      <c r="F739">
        <v>0.25019999999999798</v>
      </c>
      <c r="G739">
        <v>12.2720897615706</v>
      </c>
      <c r="H739">
        <v>1</v>
      </c>
      <c r="I739">
        <v>0.54916069999999995</v>
      </c>
      <c r="J739">
        <v>2007</v>
      </c>
      <c r="K739">
        <v>1</v>
      </c>
      <c r="L739">
        <v>1</v>
      </c>
      <c r="M739" t="s">
        <v>92</v>
      </c>
      <c r="N739">
        <v>0</v>
      </c>
      <c r="O739">
        <v>0</v>
      </c>
    </row>
    <row r="740" spans="1:15" x14ac:dyDescent="0.3">
      <c r="A740">
        <v>835</v>
      </c>
      <c r="B740" s="34">
        <v>39084</v>
      </c>
      <c r="C740">
        <v>1.3189</v>
      </c>
      <c r="D740">
        <v>1</v>
      </c>
      <c r="E740" t="s">
        <v>261</v>
      </c>
      <c r="F740">
        <v>0.25899999999999801</v>
      </c>
      <c r="G740">
        <v>9.1865357643755807</v>
      </c>
      <c r="H740">
        <v>1</v>
      </c>
      <c r="I740">
        <v>0.54970059999999998</v>
      </c>
      <c r="J740">
        <v>2007</v>
      </c>
      <c r="K740">
        <v>1</v>
      </c>
      <c r="L740">
        <v>2</v>
      </c>
      <c r="M740" t="s">
        <v>93</v>
      </c>
      <c r="N740">
        <v>0</v>
      </c>
      <c r="O740">
        <v>0</v>
      </c>
    </row>
    <row r="741" spans="1:15" x14ac:dyDescent="0.3">
      <c r="A741">
        <v>836</v>
      </c>
      <c r="B741" s="34">
        <v>39085</v>
      </c>
      <c r="C741">
        <v>1.3277000000000001</v>
      </c>
      <c r="D741">
        <v>-6</v>
      </c>
      <c r="F741">
        <v>0.27039999999999798</v>
      </c>
      <c r="G741">
        <v>5.1893408134638701</v>
      </c>
      <c r="H741">
        <v>0</v>
      </c>
      <c r="I741">
        <v>0.54904310000000001</v>
      </c>
      <c r="J741">
        <v>2007</v>
      </c>
      <c r="K741">
        <v>1</v>
      </c>
      <c r="L741">
        <v>3</v>
      </c>
      <c r="M741" t="s">
        <v>89</v>
      </c>
      <c r="N741">
        <v>0</v>
      </c>
      <c r="O741">
        <v>0</v>
      </c>
    </row>
    <row r="742" spans="1:15" x14ac:dyDescent="0.3">
      <c r="A742">
        <v>837</v>
      </c>
      <c r="B742" s="34">
        <v>39086</v>
      </c>
      <c r="C742">
        <v>1.3163</v>
      </c>
      <c r="D742">
        <v>0</v>
      </c>
      <c r="F742">
        <v>0.27039999999999798</v>
      </c>
      <c r="G742">
        <v>5.1893408134638701</v>
      </c>
      <c r="H742">
        <v>1</v>
      </c>
      <c r="I742">
        <v>0.54958180000000001</v>
      </c>
      <c r="J742">
        <v>2007</v>
      </c>
      <c r="K742">
        <v>1</v>
      </c>
      <c r="L742">
        <v>4</v>
      </c>
      <c r="M742" t="s">
        <v>90</v>
      </c>
      <c r="N742">
        <v>0</v>
      </c>
      <c r="O742">
        <v>0</v>
      </c>
    </row>
    <row r="743" spans="1:15" x14ac:dyDescent="0.3">
      <c r="A743">
        <v>838</v>
      </c>
      <c r="B743" s="34">
        <v>39087</v>
      </c>
      <c r="C743">
        <v>1.3089999999999999</v>
      </c>
      <c r="D743">
        <v>1</v>
      </c>
      <c r="E743" t="s">
        <v>262</v>
      </c>
      <c r="F743">
        <v>0.26149999999999801</v>
      </c>
      <c r="G743">
        <v>8.3099579242633101</v>
      </c>
      <c r="H743">
        <v>0</v>
      </c>
      <c r="I743">
        <v>0.54892600000000003</v>
      </c>
      <c r="J743">
        <v>2007</v>
      </c>
      <c r="K743">
        <v>1</v>
      </c>
      <c r="L743">
        <v>5</v>
      </c>
      <c r="M743" t="s">
        <v>91</v>
      </c>
      <c r="N743">
        <v>0</v>
      </c>
      <c r="O743">
        <v>0</v>
      </c>
    </row>
    <row r="744" spans="1:15" x14ac:dyDescent="0.3">
      <c r="A744">
        <v>839</v>
      </c>
      <c r="B744" s="34">
        <v>39090</v>
      </c>
      <c r="C744">
        <v>1.3001</v>
      </c>
      <c r="D744">
        <v>0</v>
      </c>
      <c r="F744">
        <v>0.26149999999999801</v>
      </c>
      <c r="G744">
        <v>8.3099579242633101</v>
      </c>
      <c r="H744">
        <v>0</v>
      </c>
      <c r="I744">
        <v>0.54827179999999998</v>
      </c>
      <c r="J744">
        <v>2007</v>
      </c>
      <c r="K744">
        <v>1</v>
      </c>
      <c r="L744">
        <v>8</v>
      </c>
      <c r="M744" t="s">
        <v>92</v>
      </c>
      <c r="N744">
        <v>0</v>
      </c>
      <c r="O744">
        <v>0</v>
      </c>
    </row>
    <row r="745" spans="1:15" x14ac:dyDescent="0.3">
      <c r="A745">
        <v>840</v>
      </c>
      <c r="B745" s="34">
        <v>39091</v>
      </c>
      <c r="C745">
        <v>1.3028999999999999</v>
      </c>
      <c r="D745">
        <v>0</v>
      </c>
      <c r="F745">
        <v>0.26149999999999801</v>
      </c>
      <c r="G745">
        <v>8.3099579242633101</v>
      </c>
      <c r="H745">
        <v>1</v>
      </c>
      <c r="I745">
        <v>0.54880949999999995</v>
      </c>
      <c r="J745">
        <v>2007</v>
      </c>
      <c r="K745">
        <v>1</v>
      </c>
      <c r="L745">
        <v>9</v>
      </c>
      <c r="M745" t="s">
        <v>93</v>
      </c>
      <c r="N745">
        <v>0</v>
      </c>
      <c r="O745">
        <v>0</v>
      </c>
    </row>
    <row r="746" spans="1:15" x14ac:dyDescent="0.3">
      <c r="A746">
        <v>841</v>
      </c>
      <c r="B746" s="34">
        <v>39092</v>
      </c>
      <c r="C746">
        <v>1.2991999999999999</v>
      </c>
      <c r="D746">
        <v>7</v>
      </c>
      <c r="E746" t="s">
        <v>263</v>
      </c>
      <c r="F746">
        <v>0.25619999999999798</v>
      </c>
      <c r="G746">
        <v>10.1683029453011</v>
      </c>
      <c r="H746">
        <v>0</v>
      </c>
      <c r="I746">
        <v>0.54815700000000001</v>
      </c>
      <c r="J746">
        <v>2007</v>
      </c>
      <c r="K746">
        <v>1</v>
      </c>
      <c r="L746">
        <v>10</v>
      </c>
      <c r="M746" t="s">
        <v>89</v>
      </c>
      <c r="N746">
        <v>0</v>
      </c>
      <c r="O746">
        <v>0</v>
      </c>
    </row>
    <row r="747" spans="1:15" x14ac:dyDescent="0.3">
      <c r="A747">
        <v>842</v>
      </c>
      <c r="B747" s="34">
        <v>39093</v>
      </c>
      <c r="C747">
        <v>1.2939000000000001</v>
      </c>
      <c r="D747">
        <v>3</v>
      </c>
      <c r="E747" t="s">
        <v>264</v>
      </c>
      <c r="F747">
        <v>0.25159999999999799</v>
      </c>
      <c r="G747">
        <v>11.7812061711076</v>
      </c>
      <c r="H747">
        <v>0.5</v>
      </c>
      <c r="I747">
        <v>0.54809980000000003</v>
      </c>
      <c r="J747">
        <v>2007</v>
      </c>
      <c r="K747">
        <v>1</v>
      </c>
      <c r="L747">
        <v>11</v>
      </c>
      <c r="M747" t="s">
        <v>90</v>
      </c>
      <c r="N747">
        <v>0</v>
      </c>
      <c r="O747">
        <v>0</v>
      </c>
    </row>
    <row r="748" spans="1:15" x14ac:dyDescent="0.3">
      <c r="A748">
        <v>843</v>
      </c>
      <c r="B748" s="34">
        <v>39094</v>
      </c>
      <c r="C748">
        <v>1.2892999999999999</v>
      </c>
      <c r="D748">
        <v>1</v>
      </c>
      <c r="E748" t="s">
        <v>265</v>
      </c>
      <c r="F748">
        <v>0.25449999999999801</v>
      </c>
      <c r="G748">
        <v>10.7643758765774</v>
      </c>
      <c r="H748">
        <v>0</v>
      </c>
      <c r="I748">
        <v>0.54744959999999998</v>
      </c>
      <c r="J748">
        <v>2007</v>
      </c>
      <c r="K748">
        <v>1</v>
      </c>
      <c r="L748">
        <v>12</v>
      </c>
      <c r="M748" t="s">
        <v>91</v>
      </c>
      <c r="N748">
        <v>0</v>
      </c>
      <c r="O748">
        <v>0</v>
      </c>
    </row>
    <row r="749" spans="1:15" x14ac:dyDescent="0.3">
      <c r="A749">
        <v>844</v>
      </c>
      <c r="B749" s="34">
        <v>39097</v>
      </c>
      <c r="C749">
        <v>1.2922</v>
      </c>
      <c r="D749">
        <v>0</v>
      </c>
      <c r="F749">
        <v>0.25449999999999801</v>
      </c>
      <c r="G749">
        <v>10.7643758765774</v>
      </c>
      <c r="H749">
        <v>1</v>
      </c>
      <c r="I749">
        <v>0.54798579999999997</v>
      </c>
      <c r="J749">
        <v>2007</v>
      </c>
      <c r="K749">
        <v>1</v>
      </c>
      <c r="L749">
        <v>15</v>
      </c>
      <c r="M749" t="s">
        <v>92</v>
      </c>
      <c r="N749">
        <v>0</v>
      </c>
      <c r="O749">
        <v>0</v>
      </c>
    </row>
    <row r="750" spans="1:15" x14ac:dyDescent="0.3">
      <c r="A750">
        <v>845</v>
      </c>
      <c r="B750" s="34">
        <v>39098</v>
      </c>
      <c r="C750">
        <v>1.2934000000000001</v>
      </c>
      <c r="D750">
        <v>-9</v>
      </c>
      <c r="F750">
        <v>0.25629999999999797</v>
      </c>
      <c r="G750">
        <v>10.133239831696599</v>
      </c>
      <c r="H750">
        <v>1</v>
      </c>
      <c r="I750">
        <v>0.54852069999999997</v>
      </c>
      <c r="J750">
        <v>2007</v>
      </c>
      <c r="K750">
        <v>1</v>
      </c>
      <c r="L750">
        <v>16</v>
      </c>
      <c r="M750" t="s">
        <v>93</v>
      </c>
      <c r="N750">
        <v>0</v>
      </c>
      <c r="O750">
        <v>0</v>
      </c>
    </row>
    <row r="751" spans="1:15" x14ac:dyDescent="0.3">
      <c r="A751">
        <v>846</v>
      </c>
      <c r="B751" s="34">
        <v>39099</v>
      </c>
      <c r="C751">
        <v>1.2916000000000001</v>
      </c>
      <c r="D751">
        <v>10</v>
      </c>
      <c r="E751" t="s">
        <v>266</v>
      </c>
      <c r="F751">
        <v>0.25849999999999801</v>
      </c>
      <c r="G751">
        <v>9.3618513323979293</v>
      </c>
      <c r="H751">
        <v>0.5</v>
      </c>
      <c r="I751">
        <v>0.54846329999999999</v>
      </c>
      <c r="J751">
        <v>2007</v>
      </c>
      <c r="K751">
        <v>1</v>
      </c>
      <c r="L751">
        <v>17</v>
      </c>
      <c r="M751" t="s">
        <v>89</v>
      </c>
      <c r="N751">
        <v>0</v>
      </c>
      <c r="O751">
        <v>0</v>
      </c>
    </row>
    <row r="752" spans="1:15" x14ac:dyDescent="0.3">
      <c r="A752">
        <v>847</v>
      </c>
      <c r="B752" s="34">
        <v>39100</v>
      </c>
      <c r="C752">
        <v>1.2938000000000001</v>
      </c>
      <c r="D752">
        <v>-1</v>
      </c>
      <c r="F752">
        <v>0.25649999999999801</v>
      </c>
      <c r="G752">
        <v>10.063113604487601</v>
      </c>
      <c r="H752">
        <v>1</v>
      </c>
      <c r="I752">
        <v>0.54899640000000005</v>
      </c>
      <c r="J752">
        <v>2007</v>
      </c>
      <c r="K752">
        <v>1</v>
      </c>
      <c r="L752">
        <v>18</v>
      </c>
      <c r="M752" t="s">
        <v>90</v>
      </c>
      <c r="N752">
        <v>0</v>
      </c>
      <c r="O752">
        <v>0</v>
      </c>
    </row>
    <row r="753" spans="1:15" x14ac:dyDescent="0.3">
      <c r="A753">
        <v>848</v>
      </c>
      <c r="B753" s="34">
        <v>39101</v>
      </c>
      <c r="C753">
        <v>1.2958000000000001</v>
      </c>
      <c r="D753">
        <v>-3</v>
      </c>
      <c r="F753">
        <v>0.25629999999999797</v>
      </c>
      <c r="G753">
        <v>10.133239831696599</v>
      </c>
      <c r="H753">
        <v>0</v>
      </c>
      <c r="I753">
        <v>0.54834910000000003</v>
      </c>
      <c r="J753">
        <v>2007</v>
      </c>
      <c r="K753">
        <v>1</v>
      </c>
      <c r="L753">
        <v>19</v>
      </c>
      <c r="M753" t="s">
        <v>91</v>
      </c>
      <c r="N753">
        <v>0</v>
      </c>
      <c r="O753">
        <v>0</v>
      </c>
    </row>
    <row r="754" spans="1:15" x14ac:dyDescent="0.3">
      <c r="A754">
        <v>849</v>
      </c>
      <c r="B754" s="34">
        <v>39104</v>
      </c>
      <c r="C754">
        <v>1.296</v>
      </c>
      <c r="D754">
        <v>0</v>
      </c>
      <c r="F754">
        <v>0.25629999999999797</v>
      </c>
      <c r="G754">
        <v>10.133239831696599</v>
      </c>
      <c r="H754">
        <v>0</v>
      </c>
      <c r="I754">
        <v>0.54770319999999995</v>
      </c>
      <c r="J754">
        <v>2007</v>
      </c>
      <c r="K754">
        <v>1</v>
      </c>
      <c r="L754">
        <v>22</v>
      </c>
      <c r="M754" t="s">
        <v>92</v>
      </c>
      <c r="N754">
        <v>0</v>
      </c>
      <c r="O754">
        <v>0</v>
      </c>
    </row>
    <row r="755" spans="1:15" x14ac:dyDescent="0.3">
      <c r="A755">
        <v>850</v>
      </c>
      <c r="B755" s="34">
        <v>39105</v>
      </c>
      <c r="C755">
        <v>1.2941</v>
      </c>
      <c r="D755">
        <v>6</v>
      </c>
      <c r="E755" t="s">
        <v>267</v>
      </c>
      <c r="F755">
        <v>0.264099999999998</v>
      </c>
      <c r="G755">
        <v>7.3983169705465501</v>
      </c>
      <c r="H755">
        <v>1</v>
      </c>
      <c r="I755">
        <v>0.54823529999999998</v>
      </c>
      <c r="J755">
        <v>2007</v>
      </c>
      <c r="K755">
        <v>1</v>
      </c>
      <c r="L755">
        <v>23</v>
      </c>
      <c r="M755" t="s">
        <v>93</v>
      </c>
      <c r="N755">
        <v>0</v>
      </c>
      <c r="O755">
        <v>0</v>
      </c>
    </row>
    <row r="756" spans="1:15" x14ac:dyDescent="0.3">
      <c r="A756">
        <v>851</v>
      </c>
      <c r="B756" s="34">
        <v>39106</v>
      </c>
      <c r="C756">
        <v>1.3019000000000001</v>
      </c>
      <c r="D756">
        <v>-4</v>
      </c>
      <c r="F756">
        <v>0.26979999999999799</v>
      </c>
      <c r="G756">
        <v>5.3997194950907001</v>
      </c>
      <c r="H756">
        <v>1</v>
      </c>
      <c r="I756">
        <v>0.54876610000000003</v>
      </c>
      <c r="J756">
        <v>2007</v>
      </c>
      <c r="K756">
        <v>1</v>
      </c>
      <c r="L756">
        <v>24</v>
      </c>
      <c r="M756" t="s">
        <v>89</v>
      </c>
      <c r="N756">
        <v>0</v>
      </c>
      <c r="O756">
        <v>0</v>
      </c>
    </row>
    <row r="757" spans="1:15" x14ac:dyDescent="0.3">
      <c r="A757">
        <v>852</v>
      </c>
      <c r="B757" s="34">
        <v>39107</v>
      </c>
      <c r="C757">
        <v>1.2962</v>
      </c>
      <c r="D757">
        <v>0</v>
      </c>
      <c r="F757">
        <v>0.26979999999999799</v>
      </c>
      <c r="G757">
        <v>5.3997194950907001</v>
      </c>
      <c r="H757">
        <v>1</v>
      </c>
      <c r="I757">
        <v>0.5492958</v>
      </c>
      <c r="J757">
        <v>2007</v>
      </c>
      <c r="K757">
        <v>1</v>
      </c>
      <c r="L757">
        <v>25</v>
      </c>
      <c r="M757" t="s">
        <v>90</v>
      </c>
      <c r="N757">
        <v>0</v>
      </c>
      <c r="O757">
        <v>0</v>
      </c>
    </row>
    <row r="758" spans="1:15" x14ac:dyDescent="0.3">
      <c r="A758">
        <v>853</v>
      </c>
      <c r="B758" s="34">
        <v>39108</v>
      </c>
      <c r="C758">
        <v>1.2925</v>
      </c>
      <c r="D758">
        <v>4</v>
      </c>
      <c r="E758" t="s">
        <v>268</v>
      </c>
      <c r="F758">
        <v>0.268699999999998</v>
      </c>
      <c r="G758">
        <v>5.7854137447400298</v>
      </c>
      <c r="H758">
        <v>0</v>
      </c>
      <c r="I758">
        <v>0.54865180000000002</v>
      </c>
      <c r="J758">
        <v>2007</v>
      </c>
      <c r="K758">
        <v>1</v>
      </c>
      <c r="L758">
        <v>26</v>
      </c>
      <c r="M758" t="s">
        <v>91</v>
      </c>
      <c r="N758">
        <v>0</v>
      </c>
      <c r="O758">
        <v>0</v>
      </c>
    </row>
    <row r="759" spans="1:15" x14ac:dyDescent="0.3">
      <c r="A759">
        <v>854</v>
      </c>
      <c r="B759" s="34">
        <v>39111</v>
      </c>
      <c r="C759">
        <v>1.2914000000000001</v>
      </c>
      <c r="D759">
        <v>0</v>
      </c>
      <c r="F759">
        <v>0.268699999999998</v>
      </c>
      <c r="G759">
        <v>5.7854137447400298</v>
      </c>
      <c r="H759">
        <v>0</v>
      </c>
      <c r="I759">
        <v>0.54800939999999998</v>
      </c>
      <c r="J759">
        <v>2007</v>
      </c>
      <c r="K759">
        <v>1</v>
      </c>
      <c r="L759">
        <v>29</v>
      </c>
      <c r="M759" t="s">
        <v>92</v>
      </c>
      <c r="N759">
        <v>0</v>
      </c>
      <c r="O759">
        <v>0</v>
      </c>
    </row>
    <row r="760" spans="1:15" x14ac:dyDescent="0.3">
      <c r="A760">
        <v>855</v>
      </c>
      <c r="B760" s="34">
        <v>39112</v>
      </c>
      <c r="C760">
        <v>1.2957000000000001</v>
      </c>
      <c r="D760">
        <v>0</v>
      </c>
      <c r="F760">
        <v>0.268699999999998</v>
      </c>
      <c r="G760">
        <v>5.7854137447400298</v>
      </c>
      <c r="H760">
        <v>1</v>
      </c>
      <c r="I760">
        <v>0.54853799999999997</v>
      </c>
      <c r="J760">
        <v>2007</v>
      </c>
      <c r="K760">
        <v>1</v>
      </c>
      <c r="L760">
        <v>30</v>
      </c>
      <c r="M760" t="s">
        <v>93</v>
      </c>
      <c r="N760">
        <v>0</v>
      </c>
      <c r="O760">
        <v>0</v>
      </c>
    </row>
    <row r="761" spans="1:15" x14ac:dyDescent="0.3">
      <c r="A761">
        <v>856</v>
      </c>
      <c r="B761" s="34">
        <v>39113</v>
      </c>
      <c r="C761">
        <v>1.2964</v>
      </c>
      <c r="D761">
        <v>-5</v>
      </c>
      <c r="F761">
        <v>0.26299999999999801</v>
      </c>
      <c r="G761">
        <v>7.7840112201958798</v>
      </c>
      <c r="H761">
        <v>1</v>
      </c>
      <c r="I761">
        <v>0.54906540000000004</v>
      </c>
      <c r="J761">
        <v>2007</v>
      </c>
      <c r="K761">
        <v>1</v>
      </c>
      <c r="L761">
        <v>31</v>
      </c>
      <c r="M761" t="s">
        <v>89</v>
      </c>
      <c r="N761">
        <v>0</v>
      </c>
      <c r="O761">
        <v>0</v>
      </c>
    </row>
    <row r="762" spans="1:15" x14ac:dyDescent="0.3">
      <c r="A762">
        <v>857</v>
      </c>
      <c r="B762" s="34">
        <v>39114</v>
      </c>
      <c r="C762">
        <v>1.3021</v>
      </c>
      <c r="D762">
        <v>-1</v>
      </c>
      <c r="F762">
        <v>0.26299999999999801</v>
      </c>
      <c r="G762">
        <v>7.7840112201958798</v>
      </c>
      <c r="H762">
        <v>1</v>
      </c>
      <c r="I762">
        <v>0.54959159999999996</v>
      </c>
      <c r="J762">
        <v>2007</v>
      </c>
      <c r="K762">
        <v>2</v>
      </c>
      <c r="L762">
        <v>1</v>
      </c>
      <c r="M762" t="s">
        <v>90</v>
      </c>
      <c r="N762">
        <v>0</v>
      </c>
      <c r="O762">
        <v>0</v>
      </c>
    </row>
    <row r="763" spans="1:15" x14ac:dyDescent="0.3">
      <c r="A763">
        <v>858</v>
      </c>
      <c r="B763" s="34">
        <v>39115</v>
      </c>
      <c r="C763">
        <v>1.3021</v>
      </c>
      <c r="D763">
        <v>-64</v>
      </c>
      <c r="F763">
        <v>0.269199999999998</v>
      </c>
      <c r="G763">
        <v>5.6100981767176101</v>
      </c>
      <c r="H763">
        <v>0.5</v>
      </c>
      <c r="I763">
        <v>0.54953379999999996</v>
      </c>
      <c r="J763">
        <v>2007</v>
      </c>
      <c r="K763">
        <v>2</v>
      </c>
      <c r="L763">
        <v>2</v>
      </c>
      <c r="M763" t="s">
        <v>91</v>
      </c>
      <c r="N763">
        <v>0</v>
      </c>
      <c r="O763">
        <v>0</v>
      </c>
    </row>
    <row r="764" spans="1:15" x14ac:dyDescent="0.3">
      <c r="A764">
        <v>859</v>
      </c>
      <c r="B764" s="34">
        <v>39118</v>
      </c>
      <c r="C764">
        <v>1.2959000000000001</v>
      </c>
      <c r="D764">
        <v>32</v>
      </c>
      <c r="E764" t="s">
        <v>269</v>
      </c>
      <c r="F764">
        <v>0.266099999999998</v>
      </c>
      <c r="G764">
        <v>6.69705469845678</v>
      </c>
      <c r="H764">
        <v>1</v>
      </c>
      <c r="I764">
        <v>0.55005820000000005</v>
      </c>
      <c r="J764">
        <v>2007</v>
      </c>
      <c r="K764">
        <v>2</v>
      </c>
      <c r="L764">
        <v>5</v>
      </c>
      <c r="M764" t="s">
        <v>92</v>
      </c>
      <c r="N764">
        <v>0</v>
      </c>
      <c r="O764">
        <v>0</v>
      </c>
    </row>
    <row r="765" spans="1:15" x14ac:dyDescent="0.3">
      <c r="A765">
        <v>860</v>
      </c>
      <c r="B765" s="34">
        <v>39119</v>
      </c>
      <c r="C765">
        <v>1.2927999999999999</v>
      </c>
      <c r="D765">
        <v>0</v>
      </c>
      <c r="F765">
        <v>0.266099999999998</v>
      </c>
      <c r="G765">
        <v>6.69705469845678</v>
      </c>
      <c r="H765">
        <v>0</v>
      </c>
      <c r="I765">
        <v>0.54941859999999998</v>
      </c>
      <c r="J765">
        <v>2007</v>
      </c>
      <c r="K765">
        <v>2</v>
      </c>
      <c r="L765">
        <v>6</v>
      </c>
      <c r="M765" t="s">
        <v>93</v>
      </c>
      <c r="N765">
        <v>0</v>
      </c>
      <c r="O765">
        <v>0</v>
      </c>
    </row>
    <row r="766" spans="1:15" x14ac:dyDescent="0.3">
      <c r="A766">
        <v>861</v>
      </c>
      <c r="B766" s="34">
        <v>39120</v>
      </c>
      <c r="C766">
        <v>1.2983</v>
      </c>
      <c r="D766">
        <v>0</v>
      </c>
      <c r="F766">
        <v>0.266099999999998</v>
      </c>
      <c r="G766">
        <v>6.69705469845678</v>
      </c>
      <c r="H766">
        <v>1</v>
      </c>
      <c r="I766">
        <v>0.54994200000000004</v>
      </c>
      <c r="J766">
        <v>2007</v>
      </c>
      <c r="K766">
        <v>2</v>
      </c>
      <c r="L766">
        <v>7</v>
      </c>
      <c r="M766" t="s">
        <v>89</v>
      </c>
      <c r="N766">
        <v>0</v>
      </c>
      <c r="O766">
        <v>0</v>
      </c>
    </row>
    <row r="767" spans="1:15" x14ac:dyDescent="0.3">
      <c r="A767">
        <v>862</v>
      </c>
      <c r="B767" s="34">
        <v>39121</v>
      </c>
      <c r="C767">
        <v>1.3013999999999999</v>
      </c>
      <c r="D767">
        <v>-3</v>
      </c>
      <c r="F767">
        <v>0.26389999999999803</v>
      </c>
      <c r="G767">
        <v>7.4684431977556001</v>
      </c>
      <c r="H767">
        <v>1</v>
      </c>
      <c r="I767">
        <v>0.55046399999999995</v>
      </c>
      <c r="J767">
        <v>2007</v>
      </c>
      <c r="K767">
        <v>2</v>
      </c>
      <c r="L767">
        <v>8</v>
      </c>
      <c r="M767" t="s">
        <v>90</v>
      </c>
      <c r="N767">
        <v>0</v>
      </c>
      <c r="O767">
        <v>0</v>
      </c>
    </row>
    <row r="768" spans="1:15" x14ac:dyDescent="0.3">
      <c r="A768">
        <v>863</v>
      </c>
      <c r="B768" s="34">
        <v>39122</v>
      </c>
      <c r="C768">
        <v>1.3036000000000001</v>
      </c>
      <c r="D768">
        <v>0</v>
      </c>
      <c r="F768">
        <v>0.26389999999999803</v>
      </c>
      <c r="G768">
        <v>7.4684431977556001</v>
      </c>
      <c r="H768">
        <v>0</v>
      </c>
      <c r="I768">
        <v>0.54982620000000004</v>
      </c>
      <c r="J768">
        <v>2007</v>
      </c>
      <c r="K768">
        <v>2</v>
      </c>
      <c r="L768">
        <v>9</v>
      </c>
      <c r="M768" t="s">
        <v>91</v>
      </c>
      <c r="N768">
        <v>0</v>
      </c>
      <c r="O768">
        <v>0</v>
      </c>
    </row>
    <row r="769" spans="1:15" x14ac:dyDescent="0.3">
      <c r="A769">
        <v>864</v>
      </c>
      <c r="B769" s="34">
        <v>39125</v>
      </c>
      <c r="C769">
        <v>1.3006</v>
      </c>
      <c r="D769">
        <v>0</v>
      </c>
      <c r="F769">
        <v>0.26389999999999803</v>
      </c>
      <c r="G769">
        <v>7.4684431977556001</v>
      </c>
      <c r="H769">
        <v>1</v>
      </c>
      <c r="I769">
        <v>0.55034720000000004</v>
      </c>
      <c r="J769">
        <v>2007</v>
      </c>
      <c r="K769">
        <v>2</v>
      </c>
      <c r="L769">
        <v>12</v>
      </c>
      <c r="M769" t="s">
        <v>92</v>
      </c>
      <c r="N769">
        <v>0</v>
      </c>
      <c r="O769">
        <v>0</v>
      </c>
    </row>
    <row r="770" spans="1:15" x14ac:dyDescent="0.3">
      <c r="A770">
        <v>865</v>
      </c>
      <c r="B770" s="34">
        <v>39126</v>
      </c>
      <c r="C770">
        <v>1.296</v>
      </c>
      <c r="D770">
        <v>8</v>
      </c>
      <c r="E770" t="s">
        <v>270</v>
      </c>
      <c r="F770">
        <v>0.27129999999999799</v>
      </c>
      <c r="G770">
        <v>4.8737727910235096</v>
      </c>
      <c r="H770">
        <v>0</v>
      </c>
      <c r="I770">
        <v>0.54971099999999995</v>
      </c>
      <c r="J770">
        <v>2007</v>
      </c>
      <c r="K770">
        <v>2</v>
      </c>
      <c r="L770">
        <v>13</v>
      </c>
      <c r="M770" t="s">
        <v>93</v>
      </c>
      <c r="N770">
        <v>0</v>
      </c>
      <c r="O770">
        <v>0</v>
      </c>
    </row>
    <row r="771" spans="1:15" x14ac:dyDescent="0.3">
      <c r="A771">
        <v>866</v>
      </c>
      <c r="B771" s="34">
        <v>39127</v>
      </c>
      <c r="C771">
        <v>1.3033999999999999</v>
      </c>
      <c r="D771">
        <v>0</v>
      </c>
      <c r="F771">
        <v>0.27129999999999799</v>
      </c>
      <c r="G771">
        <v>4.8737727910235096</v>
      </c>
      <c r="H771">
        <v>1</v>
      </c>
      <c r="I771">
        <v>0.55023089999999997</v>
      </c>
      <c r="J771">
        <v>2007</v>
      </c>
      <c r="K771">
        <v>2</v>
      </c>
      <c r="L771">
        <v>14</v>
      </c>
      <c r="M771" t="s">
        <v>89</v>
      </c>
      <c r="N771">
        <v>0</v>
      </c>
      <c r="O771">
        <v>0</v>
      </c>
    </row>
    <row r="772" spans="1:15" x14ac:dyDescent="0.3">
      <c r="A772">
        <v>867</v>
      </c>
      <c r="B772" s="34">
        <v>39128</v>
      </c>
      <c r="C772">
        <v>1.3130999999999999</v>
      </c>
      <c r="D772">
        <v>0</v>
      </c>
      <c r="F772">
        <v>0.27129999999999799</v>
      </c>
      <c r="G772">
        <v>4.8737727910235096</v>
      </c>
      <c r="H772">
        <v>0</v>
      </c>
      <c r="I772">
        <v>0.54959630000000004</v>
      </c>
      <c r="J772">
        <v>2007</v>
      </c>
      <c r="K772">
        <v>2</v>
      </c>
      <c r="L772">
        <v>15</v>
      </c>
      <c r="M772" t="s">
        <v>90</v>
      </c>
      <c r="N772">
        <v>0</v>
      </c>
      <c r="O772">
        <v>0</v>
      </c>
    </row>
    <row r="773" spans="1:15" x14ac:dyDescent="0.3">
      <c r="A773">
        <v>868</v>
      </c>
      <c r="B773" s="34">
        <v>39129</v>
      </c>
      <c r="C773">
        <v>1.3134999999999999</v>
      </c>
      <c r="D773">
        <v>0</v>
      </c>
      <c r="F773">
        <v>0.27129999999999799</v>
      </c>
      <c r="G773">
        <v>4.8737727910235096</v>
      </c>
      <c r="H773">
        <v>0</v>
      </c>
      <c r="I773">
        <v>0.54896310000000004</v>
      </c>
      <c r="J773">
        <v>2007</v>
      </c>
      <c r="K773">
        <v>2</v>
      </c>
      <c r="L773">
        <v>16</v>
      </c>
      <c r="M773" t="s">
        <v>91</v>
      </c>
      <c r="N773">
        <v>0</v>
      </c>
      <c r="O773">
        <v>0</v>
      </c>
    </row>
    <row r="774" spans="1:15" x14ac:dyDescent="0.3">
      <c r="A774">
        <v>869</v>
      </c>
      <c r="B774" s="34">
        <v>39132</v>
      </c>
      <c r="C774">
        <v>1.3136000000000001</v>
      </c>
      <c r="D774">
        <v>1</v>
      </c>
      <c r="E774" t="s">
        <v>271</v>
      </c>
      <c r="F774">
        <v>0.27259999999999701</v>
      </c>
      <c r="G774">
        <v>4.4179523141652099</v>
      </c>
      <c r="H774">
        <v>0</v>
      </c>
      <c r="I774">
        <v>0.54833140000000002</v>
      </c>
      <c r="J774">
        <v>2007</v>
      </c>
      <c r="K774">
        <v>2</v>
      </c>
      <c r="L774">
        <v>19</v>
      </c>
      <c r="M774" t="s">
        <v>92</v>
      </c>
      <c r="N774">
        <v>0</v>
      </c>
      <c r="O774">
        <v>0</v>
      </c>
    </row>
    <row r="775" spans="1:15" x14ac:dyDescent="0.3">
      <c r="A775">
        <v>870</v>
      </c>
      <c r="B775" s="34">
        <v>39133</v>
      </c>
      <c r="C775">
        <v>1.3149</v>
      </c>
      <c r="D775">
        <v>-16</v>
      </c>
      <c r="F775">
        <v>0.27399999999999802</v>
      </c>
      <c r="G775">
        <v>3.9270687237023498</v>
      </c>
      <c r="H775">
        <v>0.5</v>
      </c>
      <c r="I775">
        <v>0.54827590000000004</v>
      </c>
      <c r="J775">
        <v>2007</v>
      </c>
      <c r="K775">
        <v>2</v>
      </c>
      <c r="L775">
        <v>20</v>
      </c>
      <c r="M775" t="s">
        <v>93</v>
      </c>
      <c r="N775">
        <v>0</v>
      </c>
      <c r="O775">
        <v>0</v>
      </c>
    </row>
    <row r="776" spans="1:15" x14ac:dyDescent="0.3">
      <c r="A776">
        <v>871</v>
      </c>
      <c r="B776" s="34">
        <v>39134</v>
      </c>
      <c r="C776">
        <v>1.3134999999999999</v>
      </c>
      <c r="D776">
        <v>4</v>
      </c>
      <c r="E776" t="s">
        <v>272</v>
      </c>
      <c r="F776">
        <v>0.27459999999999801</v>
      </c>
      <c r="G776">
        <v>3.7166900420753599</v>
      </c>
      <c r="H776">
        <v>1</v>
      </c>
      <c r="I776">
        <v>0.54879449999999996</v>
      </c>
      <c r="J776">
        <v>2007</v>
      </c>
      <c r="K776">
        <v>2</v>
      </c>
      <c r="L776">
        <v>21</v>
      </c>
      <c r="M776" t="s">
        <v>89</v>
      </c>
      <c r="N776">
        <v>0</v>
      </c>
      <c r="O776">
        <v>0</v>
      </c>
    </row>
    <row r="777" spans="1:15" x14ac:dyDescent="0.3">
      <c r="A777">
        <v>872</v>
      </c>
      <c r="B777" s="34">
        <v>39135</v>
      </c>
      <c r="C777">
        <v>1.3141</v>
      </c>
      <c r="D777">
        <v>-5</v>
      </c>
      <c r="F777">
        <v>0.276199999999998</v>
      </c>
      <c r="G777">
        <v>3.1556802244035298</v>
      </c>
      <c r="H777">
        <v>1</v>
      </c>
      <c r="I777">
        <v>0.54931189999999996</v>
      </c>
      <c r="J777">
        <v>2007</v>
      </c>
      <c r="K777">
        <v>2</v>
      </c>
      <c r="L777">
        <v>22</v>
      </c>
      <c r="M777" t="s">
        <v>90</v>
      </c>
      <c r="N777">
        <v>0</v>
      </c>
      <c r="O777">
        <v>0</v>
      </c>
    </row>
    <row r="778" spans="1:15" x14ac:dyDescent="0.3">
      <c r="A778">
        <v>873</v>
      </c>
      <c r="B778" s="34">
        <v>39136</v>
      </c>
      <c r="C778">
        <v>1.3125</v>
      </c>
      <c r="D778">
        <v>15</v>
      </c>
      <c r="E778" t="s">
        <v>273</v>
      </c>
      <c r="F778">
        <v>0.28039999999999798</v>
      </c>
      <c r="G778">
        <v>1.68302945301502</v>
      </c>
      <c r="H778">
        <v>1</v>
      </c>
      <c r="I778">
        <v>0.54982819999999999</v>
      </c>
      <c r="J778">
        <v>2007</v>
      </c>
      <c r="K778">
        <v>2</v>
      </c>
      <c r="L778">
        <v>23</v>
      </c>
      <c r="M778" t="s">
        <v>91</v>
      </c>
      <c r="N778">
        <v>0</v>
      </c>
      <c r="O778">
        <v>0</v>
      </c>
    </row>
    <row r="779" spans="1:15" x14ac:dyDescent="0.3">
      <c r="A779">
        <v>874</v>
      </c>
      <c r="B779" s="34">
        <v>39139</v>
      </c>
      <c r="C779">
        <v>1.3167</v>
      </c>
      <c r="D779">
        <v>0</v>
      </c>
      <c r="F779">
        <v>0.28039999999999798</v>
      </c>
      <c r="G779">
        <v>1.68302945301502</v>
      </c>
      <c r="H779">
        <v>1</v>
      </c>
      <c r="I779">
        <v>0.55034329999999998</v>
      </c>
      <c r="J779">
        <v>2007</v>
      </c>
      <c r="K779">
        <v>2</v>
      </c>
      <c r="L779">
        <v>26</v>
      </c>
      <c r="M779" t="s">
        <v>92</v>
      </c>
      <c r="N779">
        <v>0</v>
      </c>
      <c r="O779">
        <v>0</v>
      </c>
    </row>
    <row r="780" spans="1:15" x14ac:dyDescent="0.3">
      <c r="A780">
        <v>875</v>
      </c>
      <c r="B780" s="34">
        <v>39140</v>
      </c>
      <c r="C780">
        <v>1.3188</v>
      </c>
      <c r="D780">
        <v>0</v>
      </c>
      <c r="F780">
        <v>0.28039999999999798</v>
      </c>
      <c r="G780">
        <v>1.68302945301502</v>
      </c>
      <c r="H780">
        <v>0</v>
      </c>
      <c r="I780">
        <v>0.54971429999999999</v>
      </c>
      <c r="J780">
        <v>2007</v>
      </c>
      <c r="K780">
        <v>2</v>
      </c>
      <c r="L780">
        <v>27</v>
      </c>
      <c r="M780" t="s">
        <v>93</v>
      </c>
      <c r="N780">
        <v>0</v>
      </c>
      <c r="O780">
        <v>0</v>
      </c>
    </row>
    <row r="781" spans="1:15" x14ac:dyDescent="0.3">
      <c r="A781">
        <v>876</v>
      </c>
      <c r="B781" s="34">
        <v>39141</v>
      </c>
      <c r="C781">
        <v>1.3238000000000001</v>
      </c>
      <c r="D781">
        <v>0</v>
      </c>
      <c r="F781">
        <v>0.28039999999999798</v>
      </c>
      <c r="G781">
        <v>1.68302945301502</v>
      </c>
      <c r="H781">
        <v>0</v>
      </c>
      <c r="I781">
        <v>0.54908670000000004</v>
      </c>
      <c r="J781">
        <v>2007</v>
      </c>
      <c r="K781">
        <v>2</v>
      </c>
      <c r="L781">
        <v>28</v>
      </c>
      <c r="M781" t="s">
        <v>89</v>
      </c>
      <c r="N781">
        <v>0</v>
      </c>
      <c r="O781">
        <v>0</v>
      </c>
    </row>
    <row r="782" spans="1:15" x14ac:dyDescent="0.3">
      <c r="A782">
        <v>877</v>
      </c>
      <c r="B782" s="34">
        <v>39142</v>
      </c>
      <c r="C782">
        <v>1.3223</v>
      </c>
      <c r="D782">
        <v>0</v>
      </c>
      <c r="F782">
        <v>0.28039999999999798</v>
      </c>
      <c r="G782">
        <v>1.68302945301502</v>
      </c>
      <c r="H782">
        <v>1</v>
      </c>
      <c r="I782">
        <v>0.54960089999999995</v>
      </c>
      <c r="J782">
        <v>2007</v>
      </c>
      <c r="K782">
        <v>3</v>
      </c>
      <c r="L782">
        <v>1</v>
      </c>
      <c r="M782" t="s">
        <v>90</v>
      </c>
      <c r="N782">
        <v>0</v>
      </c>
      <c r="O782">
        <v>0</v>
      </c>
    </row>
    <row r="783" spans="1:15" x14ac:dyDescent="0.3">
      <c r="A783">
        <v>878</v>
      </c>
      <c r="B783" s="34">
        <v>39143</v>
      </c>
      <c r="C783">
        <v>1.3172999999999999</v>
      </c>
      <c r="D783">
        <v>5</v>
      </c>
      <c r="E783" t="s">
        <v>274</v>
      </c>
      <c r="F783">
        <v>0.28209999999999802</v>
      </c>
      <c r="G783">
        <v>1.08695652173871</v>
      </c>
      <c r="H783">
        <v>1</v>
      </c>
      <c r="I783">
        <v>0.55011390000000004</v>
      </c>
      <c r="J783">
        <v>2007</v>
      </c>
      <c r="K783">
        <v>3</v>
      </c>
      <c r="L783">
        <v>2</v>
      </c>
      <c r="M783" t="s">
        <v>91</v>
      </c>
      <c r="N783">
        <v>0</v>
      </c>
      <c r="O783">
        <v>0</v>
      </c>
    </row>
    <row r="784" spans="1:15" x14ac:dyDescent="0.3">
      <c r="A784">
        <v>879</v>
      </c>
      <c r="B784" s="34">
        <v>39146</v>
      </c>
      <c r="C784">
        <v>1.319</v>
      </c>
      <c r="D784">
        <v>-4</v>
      </c>
      <c r="F784">
        <v>0.29309999999999797</v>
      </c>
      <c r="G784">
        <v>0</v>
      </c>
      <c r="H784">
        <v>0</v>
      </c>
      <c r="I784">
        <v>0.54948810000000003</v>
      </c>
      <c r="J784">
        <v>2007</v>
      </c>
      <c r="K784">
        <v>3</v>
      </c>
      <c r="L784">
        <v>5</v>
      </c>
      <c r="M784" t="s">
        <v>92</v>
      </c>
      <c r="N784">
        <v>0</v>
      </c>
      <c r="O784">
        <v>0</v>
      </c>
    </row>
    <row r="785" spans="1:15" x14ac:dyDescent="0.3">
      <c r="A785">
        <v>880</v>
      </c>
      <c r="B785" s="34">
        <v>39147</v>
      </c>
      <c r="C785">
        <v>1.3080000000000001</v>
      </c>
      <c r="D785">
        <v>4</v>
      </c>
      <c r="E785" t="s">
        <v>275</v>
      </c>
      <c r="F785">
        <v>0.29779999999999801</v>
      </c>
      <c r="G785">
        <v>0</v>
      </c>
      <c r="H785">
        <v>1</v>
      </c>
      <c r="I785">
        <v>0.55000000000000004</v>
      </c>
      <c r="J785">
        <v>2007</v>
      </c>
      <c r="K785">
        <v>3</v>
      </c>
      <c r="L785">
        <v>6</v>
      </c>
      <c r="M785" t="s">
        <v>93</v>
      </c>
      <c r="N785">
        <v>0</v>
      </c>
      <c r="O785">
        <v>0</v>
      </c>
    </row>
    <row r="786" spans="1:15" x14ac:dyDescent="0.3">
      <c r="A786">
        <v>881</v>
      </c>
      <c r="B786" s="34">
        <v>39148</v>
      </c>
      <c r="C786">
        <v>1.3127</v>
      </c>
      <c r="D786">
        <v>0</v>
      </c>
      <c r="F786">
        <v>0.29779999999999801</v>
      </c>
      <c r="G786">
        <v>0</v>
      </c>
      <c r="H786">
        <v>1</v>
      </c>
      <c r="I786">
        <v>0.55051079999999997</v>
      </c>
      <c r="J786">
        <v>2007</v>
      </c>
      <c r="K786">
        <v>3</v>
      </c>
      <c r="L786">
        <v>7</v>
      </c>
      <c r="M786" t="s">
        <v>89</v>
      </c>
      <c r="N786">
        <v>0</v>
      </c>
      <c r="O786">
        <v>0</v>
      </c>
    </row>
    <row r="787" spans="1:15" x14ac:dyDescent="0.3">
      <c r="A787">
        <v>882</v>
      </c>
      <c r="B787" s="34">
        <v>39149</v>
      </c>
      <c r="C787">
        <v>1.3179000000000001</v>
      </c>
      <c r="D787">
        <v>-4</v>
      </c>
      <c r="F787">
        <v>0.30229999999999801</v>
      </c>
      <c r="G787">
        <v>0</v>
      </c>
      <c r="H787">
        <v>1</v>
      </c>
      <c r="I787">
        <v>0.55102039999999997</v>
      </c>
      <c r="J787">
        <v>2007</v>
      </c>
      <c r="K787">
        <v>3</v>
      </c>
      <c r="L787">
        <v>8</v>
      </c>
      <c r="M787" t="s">
        <v>90</v>
      </c>
      <c r="N787">
        <v>0</v>
      </c>
      <c r="O787">
        <v>0</v>
      </c>
    </row>
    <row r="788" spans="1:15" x14ac:dyDescent="0.3">
      <c r="A788">
        <v>883</v>
      </c>
      <c r="B788" s="34">
        <v>39150</v>
      </c>
      <c r="C788">
        <v>1.3133999999999999</v>
      </c>
      <c r="D788">
        <v>6</v>
      </c>
      <c r="E788" t="s">
        <v>276</v>
      </c>
      <c r="F788">
        <v>0.30049999999999799</v>
      </c>
      <c r="G788">
        <v>0.59543499834595104</v>
      </c>
      <c r="H788">
        <v>1</v>
      </c>
      <c r="I788">
        <v>0.55152889999999999</v>
      </c>
      <c r="J788">
        <v>2007</v>
      </c>
      <c r="K788">
        <v>3</v>
      </c>
      <c r="L788">
        <v>9</v>
      </c>
      <c r="M788" t="s">
        <v>91</v>
      </c>
      <c r="N788">
        <v>0</v>
      </c>
      <c r="O788">
        <v>0</v>
      </c>
    </row>
    <row r="789" spans="1:15" x14ac:dyDescent="0.3">
      <c r="A789">
        <v>884</v>
      </c>
      <c r="B789" s="34">
        <v>39153</v>
      </c>
      <c r="C789">
        <v>1.3116000000000001</v>
      </c>
      <c r="D789">
        <v>1</v>
      </c>
      <c r="E789" t="s">
        <v>277</v>
      </c>
      <c r="F789">
        <v>0.30779999999999802</v>
      </c>
      <c r="G789">
        <v>0</v>
      </c>
      <c r="H789">
        <v>0</v>
      </c>
      <c r="I789">
        <v>0.55090499999999998</v>
      </c>
      <c r="J789">
        <v>2007</v>
      </c>
      <c r="K789">
        <v>3</v>
      </c>
      <c r="L789">
        <v>12</v>
      </c>
      <c r="M789" t="s">
        <v>92</v>
      </c>
      <c r="N789">
        <v>0</v>
      </c>
      <c r="O789">
        <v>0</v>
      </c>
    </row>
    <row r="790" spans="1:15" x14ac:dyDescent="0.3">
      <c r="A790">
        <v>885</v>
      </c>
      <c r="B790" s="34">
        <v>39154</v>
      </c>
      <c r="C790">
        <v>1.3189</v>
      </c>
      <c r="D790">
        <v>0</v>
      </c>
      <c r="F790">
        <v>0.30779999999999802</v>
      </c>
      <c r="G790">
        <v>0</v>
      </c>
      <c r="H790">
        <v>1</v>
      </c>
      <c r="I790">
        <v>0.55141240000000002</v>
      </c>
      <c r="J790">
        <v>2007</v>
      </c>
      <c r="K790">
        <v>3</v>
      </c>
      <c r="L790">
        <v>13</v>
      </c>
      <c r="M790" t="s">
        <v>93</v>
      </c>
      <c r="N790">
        <v>0</v>
      </c>
      <c r="O790">
        <v>0</v>
      </c>
    </row>
    <row r="791" spans="1:15" x14ac:dyDescent="0.3">
      <c r="A791">
        <v>886</v>
      </c>
      <c r="B791" s="34">
        <v>39155</v>
      </c>
      <c r="C791">
        <v>1.3190999999999999</v>
      </c>
      <c r="D791">
        <v>0</v>
      </c>
      <c r="F791">
        <v>0.30779999999999802</v>
      </c>
      <c r="G791">
        <v>0</v>
      </c>
      <c r="H791">
        <v>0</v>
      </c>
      <c r="I791">
        <v>0.55079009999999995</v>
      </c>
      <c r="J791">
        <v>2007</v>
      </c>
      <c r="K791">
        <v>3</v>
      </c>
      <c r="L791">
        <v>14</v>
      </c>
      <c r="M791" t="s">
        <v>89</v>
      </c>
      <c r="N791">
        <v>0</v>
      </c>
      <c r="O791">
        <v>0</v>
      </c>
    </row>
    <row r="792" spans="1:15" x14ac:dyDescent="0.3">
      <c r="A792">
        <v>887</v>
      </c>
      <c r="B792" s="34">
        <v>39156</v>
      </c>
      <c r="C792">
        <v>1.3214999999999999</v>
      </c>
      <c r="D792">
        <v>0</v>
      </c>
      <c r="F792">
        <v>0.30779999999999802</v>
      </c>
      <c r="G792">
        <v>0</v>
      </c>
      <c r="H792">
        <v>0</v>
      </c>
      <c r="I792">
        <v>0.55016909999999997</v>
      </c>
      <c r="J792">
        <v>2007</v>
      </c>
      <c r="K792">
        <v>3</v>
      </c>
      <c r="L792">
        <v>15</v>
      </c>
      <c r="M792" t="s">
        <v>90</v>
      </c>
      <c r="N792">
        <v>0</v>
      </c>
      <c r="O792">
        <v>0</v>
      </c>
    </row>
    <row r="793" spans="1:15" x14ac:dyDescent="0.3">
      <c r="A793">
        <v>888</v>
      </c>
      <c r="B793" s="34">
        <v>39157</v>
      </c>
      <c r="C793">
        <v>1.3239000000000001</v>
      </c>
      <c r="D793">
        <v>0</v>
      </c>
      <c r="F793">
        <v>0.30779999999999802</v>
      </c>
      <c r="G793">
        <v>0</v>
      </c>
      <c r="H793">
        <v>0</v>
      </c>
      <c r="I793">
        <v>0.54954950000000002</v>
      </c>
      <c r="J793">
        <v>2007</v>
      </c>
      <c r="K793">
        <v>3</v>
      </c>
      <c r="L793">
        <v>16</v>
      </c>
      <c r="M793" t="s">
        <v>91</v>
      </c>
      <c r="N793">
        <v>0</v>
      </c>
      <c r="O793">
        <v>0</v>
      </c>
    </row>
    <row r="794" spans="1:15" x14ac:dyDescent="0.3">
      <c r="A794">
        <v>889</v>
      </c>
      <c r="B794" s="34">
        <v>39160</v>
      </c>
      <c r="C794">
        <v>1.3315999999999999</v>
      </c>
      <c r="D794">
        <v>-1</v>
      </c>
      <c r="F794">
        <v>0.30879999999999802</v>
      </c>
      <c r="G794">
        <v>0</v>
      </c>
      <c r="H794">
        <v>0</v>
      </c>
      <c r="I794">
        <v>0.54893139999999996</v>
      </c>
      <c r="J794">
        <v>2007</v>
      </c>
      <c r="K794">
        <v>3</v>
      </c>
      <c r="L794">
        <v>19</v>
      </c>
      <c r="M794" t="s">
        <v>92</v>
      </c>
      <c r="N794">
        <v>0</v>
      </c>
      <c r="O794">
        <v>0</v>
      </c>
    </row>
    <row r="795" spans="1:15" x14ac:dyDescent="0.3">
      <c r="A795">
        <v>890</v>
      </c>
      <c r="B795" s="34">
        <v>39161</v>
      </c>
      <c r="C795">
        <v>1.3306</v>
      </c>
      <c r="D795">
        <v>0</v>
      </c>
      <c r="F795">
        <v>0.30879999999999802</v>
      </c>
      <c r="G795">
        <v>0</v>
      </c>
      <c r="H795">
        <v>1</v>
      </c>
      <c r="I795">
        <v>0.54943819999999999</v>
      </c>
      <c r="J795">
        <v>2007</v>
      </c>
      <c r="K795">
        <v>3</v>
      </c>
      <c r="L795">
        <v>20</v>
      </c>
      <c r="M795" t="s">
        <v>93</v>
      </c>
      <c r="N795">
        <v>0</v>
      </c>
      <c r="O795">
        <v>0</v>
      </c>
    </row>
    <row r="796" spans="1:15" x14ac:dyDescent="0.3">
      <c r="A796">
        <v>891</v>
      </c>
      <c r="B796" s="34">
        <v>39162</v>
      </c>
      <c r="C796">
        <v>1.3317000000000001</v>
      </c>
      <c r="D796">
        <v>-3</v>
      </c>
      <c r="F796">
        <v>0.30169999999999803</v>
      </c>
      <c r="G796">
        <v>2.2992227979274298</v>
      </c>
      <c r="H796">
        <v>0</v>
      </c>
      <c r="I796">
        <v>0.54882160000000002</v>
      </c>
      <c r="J796">
        <v>2007</v>
      </c>
      <c r="K796">
        <v>3</v>
      </c>
      <c r="L796">
        <v>21</v>
      </c>
      <c r="M796" t="s">
        <v>89</v>
      </c>
      <c r="N796">
        <v>0</v>
      </c>
      <c r="O796">
        <v>0</v>
      </c>
    </row>
    <row r="797" spans="1:15" x14ac:dyDescent="0.3">
      <c r="A797">
        <v>892</v>
      </c>
      <c r="B797" s="34">
        <v>39163</v>
      </c>
      <c r="C797">
        <v>1.3388</v>
      </c>
      <c r="D797">
        <v>-5</v>
      </c>
      <c r="F797">
        <v>0.307999999999998</v>
      </c>
      <c r="G797">
        <v>0.25906735751292598</v>
      </c>
      <c r="H797">
        <v>0</v>
      </c>
      <c r="I797">
        <v>0.54820630000000004</v>
      </c>
      <c r="J797">
        <v>2007</v>
      </c>
      <c r="K797">
        <v>3</v>
      </c>
      <c r="L797">
        <v>22</v>
      </c>
      <c r="M797" t="s">
        <v>90</v>
      </c>
      <c r="N797">
        <v>0</v>
      </c>
      <c r="O797">
        <v>0</v>
      </c>
    </row>
    <row r="798" spans="1:15" x14ac:dyDescent="0.3">
      <c r="A798">
        <v>893</v>
      </c>
      <c r="B798" s="34">
        <v>39164</v>
      </c>
      <c r="C798">
        <v>1.3325</v>
      </c>
      <c r="D798">
        <v>0</v>
      </c>
      <c r="F798">
        <v>0.307999999999998</v>
      </c>
      <c r="G798">
        <v>0.25906735751292598</v>
      </c>
      <c r="H798">
        <v>1</v>
      </c>
      <c r="I798">
        <v>0.54871219999999998</v>
      </c>
      <c r="J798">
        <v>2007</v>
      </c>
      <c r="K798">
        <v>3</v>
      </c>
      <c r="L798">
        <v>23</v>
      </c>
      <c r="M798" t="s">
        <v>91</v>
      </c>
      <c r="N798">
        <v>0</v>
      </c>
      <c r="O798">
        <v>0</v>
      </c>
    </row>
    <row r="799" spans="1:15" x14ac:dyDescent="0.3">
      <c r="A799">
        <v>894</v>
      </c>
      <c r="B799" s="34">
        <v>39167</v>
      </c>
      <c r="C799">
        <v>1.3282</v>
      </c>
      <c r="D799">
        <v>3</v>
      </c>
      <c r="E799" t="s">
        <v>278</v>
      </c>
      <c r="F799">
        <v>0.31279999999999802</v>
      </c>
      <c r="G799">
        <v>0</v>
      </c>
      <c r="H799">
        <v>0</v>
      </c>
      <c r="I799">
        <v>0.54809839999999999</v>
      </c>
      <c r="J799">
        <v>2007</v>
      </c>
      <c r="K799">
        <v>3</v>
      </c>
      <c r="L799">
        <v>26</v>
      </c>
      <c r="M799" t="s">
        <v>92</v>
      </c>
      <c r="N799">
        <v>0</v>
      </c>
      <c r="O799">
        <v>0</v>
      </c>
    </row>
    <row r="800" spans="1:15" x14ac:dyDescent="0.3">
      <c r="A800">
        <v>895</v>
      </c>
      <c r="B800" s="34">
        <v>39168</v>
      </c>
      <c r="C800">
        <v>1.333</v>
      </c>
      <c r="D800">
        <v>-2</v>
      </c>
      <c r="F800">
        <v>0.309999999999998</v>
      </c>
      <c r="G800">
        <v>0.89514066496168498</v>
      </c>
      <c r="H800">
        <v>1</v>
      </c>
      <c r="I800">
        <v>0.54860339999999996</v>
      </c>
      <c r="J800">
        <v>2007</v>
      </c>
      <c r="K800">
        <v>3</v>
      </c>
      <c r="L800">
        <v>27</v>
      </c>
      <c r="M800" t="s">
        <v>93</v>
      </c>
      <c r="N800">
        <v>0</v>
      </c>
      <c r="O800">
        <v>0</v>
      </c>
    </row>
    <row r="801" spans="1:15" x14ac:dyDescent="0.3">
      <c r="A801">
        <v>896</v>
      </c>
      <c r="B801" s="34">
        <v>39169</v>
      </c>
      <c r="C801">
        <v>1.3358000000000001</v>
      </c>
      <c r="D801">
        <v>-1</v>
      </c>
      <c r="F801">
        <v>0.314499999999998</v>
      </c>
      <c r="G801">
        <v>0</v>
      </c>
      <c r="H801">
        <v>0</v>
      </c>
      <c r="I801">
        <v>0.54799109999999995</v>
      </c>
      <c r="J801">
        <v>2007</v>
      </c>
      <c r="K801">
        <v>3</v>
      </c>
      <c r="L801">
        <v>28</v>
      </c>
      <c r="M801" t="s">
        <v>89</v>
      </c>
      <c r="N801">
        <v>0</v>
      </c>
      <c r="O801">
        <v>0</v>
      </c>
    </row>
    <row r="802" spans="1:15" x14ac:dyDescent="0.3">
      <c r="A802">
        <v>897</v>
      </c>
      <c r="B802" s="34">
        <v>39170</v>
      </c>
      <c r="C802">
        <v>1.3312999999999999</v>
      </c>
      <c r="D802">
        <v>0</v>
      </c>
      <c r="F802">
        <v>0.314499999999998</v>
      </c>
      <c r="G802">
        <v>0</v>
      </c>
      <c r="H802">
        <v>1</v>
      </c>
      <c r="I802">
        <v>0.54849499999999995</v>
      </c>
      <c r="J802">
        <v>2007</v>
      </c>
      <c r="K802">
        <v>3</v>
      </c>
      <c r="L802">
        <v>29</v>
      </c>
      <c r="M802" t="s">
        <v>90</v>
      </c>
      <c r="N802">
        <v>0</v>
      </c>
      <c r="O802">
        <v>0</v>
      </c>
    </row>
    <row r="803" spans="1:15" x14ac:dyDescent="0.3">
      <c r="A803">
        <v>898</v>
      </c>
      <c r="B803" s="34">
        <v>39171</v>
      </c>
      <c r="C803">
        <v>1.3331</v>
      </c>
      <c r="D803">
        <v>-2</v>
      </c>
      <c r="F803">
        <v>0.31219999999999798</v>
      </c>
      <c r="G803">
        <v>0.73131955484896005</v>
      </c>
      <c r="H803">
        <v>1</v>
      </c>
      <c r="I803">
        <v>0.54899779999999998</v>
      </c>
      <c r="J803">
        <v>2007</v>
      </c>
      <c r="K803">
        <v>3</v>
      </c>
      <c r="L803">
        <v>30</v>
      </c>
      <c r="M803" t="s">
        <v>91</v>
      </c>
      <c r="N803">
        <v>0</v>
      </c>
      <c r="O803">
        <v>0</v>
      </c>
    </row>
    <row r="804" spans="1:15" x14ac:dyDescent="0.3">
      <c r="A804">
        <v>899</v>
      </c>
      <c r="B804" s="34">
        <v>39174</v>
      </c>
      <c r="C804">
        <v>1.3353999999999999</v>
      </c>
      <c r="D804">
        <v>-6</v>
      </c>
      <c r="F804">
        <v>0.310999999999998</v>
      </c>
      <c r="G804">
        <v>1.11287758346584</v>
      </c>
      <c r="H804">
        <v>0</v>
      </c>
      <c r="I804">
        <v>0.54838710000000002</v>
      </c>
      <c r="J804">
        <v>2007</v>
      </c>
      <c r="K804">
        <v>4</v>
      </c>
      <c r="L804">
        <v>2</v>
      </c>
      <c r="M804" t="s">
        <v>92</v>
      </c>
      <c r="N804">
        <v>0</v>
      </c>
      <c r="O804">
        <v>0</v>
      </c>
    </row>
    <row r="805" spans="1:15" x14ac:dyDescent="0.3">
      <c r="A805">
        <v>900</v>
      </c>
      <c r="B805" s="34">
        <v>39175</v>
      </c>
      <c r="C805">
        <v>1.3366</v>
      </c>
      <c r="D805">
        <v>0</v>
      </c>
      <c r="F805">
        <v>0.310999999999998</v>
      </c>
      <c r="G805">
        <v>1.11287758346584</v>
      </c>
      <c r="H805">
        <v>0</v>
      </c>
      <c r="I805">
        <v>0.54777779999999998</v>
      </c>
      <c r="J805">
        <v>2007</v>
      </c>
      <c r="K805">
        <v>4</v>
      </c>
      <c r="L805">
        <v>3</v>
      </c>
      <c r="M805" t="s">
        <v>93</v>
      </c>
      <c r="N805">
        <v>0</v>
      </c>
      <c r="O805">
        <v>0</v>
      </c>
    </row>
    <row r="806" spans="1:15" x14ac:dyDescent="0.3">
      <c r="A806">
        <v>901</v>
      </c>
      <c r="B806" s="34">
        <v>39176</v>
      </c>
      <c r="C806">
        <v>1.3328</v>
      </c>
      <c r="D806">
        <v>0</v>
      </c>
      <c r="F806">
        <v>0.310999999999998</v>
      </c>
      <c r="G806">
        <v>1.11287758346584</v>
      </c>
      <c r="H806">
        <v>1</v>
      </c>
      <c r="I806">
        <v>0.54827970000000004</v>
      </c>
      <c r="J806">
        <v>2007</v>
      </c>
      <c r="K806">
        <v>4</v>
      </c>
      <c r="L806">
        <v>4</v>
      </c>
      <c r="M806" t="s">
        <v>89</v>
      </c>
      <c r="N806">
        <v>0</v>
      </c>
      <c r="O806">
        <v>0</v>
      </c>
    </row>
    <row r="807" spans="1:15" x14ac:dyDescent="0.3">
      <c r="A807">
        <v>902</v>
      </c>
      <c r="B807" s="34">
        <v>39177</v>
      </c>
      <c r="C807">
        <v>1.3369</v>
      </c>
      <c r="D807">
        <v>-2</v>
      </c>
      <c r="F807">
        <v>0.30499999999999799</v>
      </c>
      <c r="G807">
        <v>3.0206677265501098</v>
      </c>
      <c r="H807">
        <v>1</v>
      </c>
      <c r="I807">
        <v>0.5487805</v>
      </c>
      <c r="J807">
        <v>2007</v>
      </c>
      <c r="K807">
        <v>4</v>
      </c>
      <c r="L807">
        <v>5</v>
      </c>
      <c r="M807" t="s">
        <v>90</v>
      </c>
      <c r="N807">
        <v>0</v>
      </c>
      <c r="O807">
        <v>0</v>
      </c>
    </row>
    <row r="808" spans="1:15" x14ac:dyDescent="0.3">
      <c r="A808">
        <v>903</v>
      </c>
      <c r="B808" s="34">
        <v>39178</v>
      </c>
      <c r="C808">
        <v>1.3429</v>
      </c>
      <c r="D808">
        <v>0</v>
      </c>
      <c r="F808">
        <v>0.30499999999999799</v>
      </c>
      <c r="G808">
        <v>3.0206677265501098</v>
      </c>
      <c r="H808">
        <v>0</v>
      </c>
      <c r="I808">
        <v>0.54817280000000002</v>
      </c>
      <c r="J808">
        <v>2007</v>
      </c>
      <c r="K808">
        <v>4</v>
      </c>
      <c r="L808">
        <v>6</v>
      </c>
      <c r="M808" t="s">
        <v>91</v>
      </c>
      <c r="N808">
        <v>0</v>
      </c>
      <c r="O808">
        <v>0</v>
      </c>
    </row>
    <row r="809" spans="1:15" x14ac:dyDescent="0.3">
      <c r="A809">
        <v>904</v>
      </c>
      <c r="B809" s="34">
        <v>39181</v>
      </c>
      <c r="C809">
        <v>1.3378000000000001</v>
      </c>
      <c r="D809">
        <v>0</v>
      </c>
      <c r="F809">
        <v>0.30499999999999799</v>
      </c>
      <c r="G809">
        <v>3.0206677265501098</v>
      </c>
      <c r="H809">
        <v>1</v>
      </c>
      <c r="I809">
        <v>0.54867259999999995</v>
      </c>
      <c r="J809">
        <v>2007</v>
      </c>
      <c r="K809">
        <v>4</v>
      </c>
      <c r="L809">
        <v>9</v>
      </c>
      <c r="M809" t="s">
        <v>92</v>
      </c>
      <c r="N809">
        <v>0</v>
      </c>
      <c r="O809">
        <v>0</v>
      </c>
    </row>
    <row r="810" spans="1:15" x14ac:dyDescent="0.3">
      <c r="A810">
        <v>905</v>
      </c>
      <c r="B810" s="34">
        <v>39182</v>
      </c>
      <c r="C810">
        <v>1.3355999999999999</v>
      </c>
      <c r="D810">
        <v>3</v>
      </c>
      <c r="E810" t="s">
        <v>279</v>
      </c>
      <c r="F810">
        <v>0.31259999999999799</v>
      </c>
      <c r="G810">
        <v>0.60413354531002295</v>
      </c>
      <c r="H810">
        <v>1</v>
      </c>
      <c r="I810">
        <v>0.54917130000000003</v>
      </c>
      <c r="J810">
        <v>2007</v>
      </c>
      <c r="K810">
        <v>4</v>
      </c>
      <c r="L810">
        <v>10</v>
      </c>
      <c r="M810" t="s">
        <v>93</v>
      </c>
      <c r="N810">
        <v>0</v>
      </c>
      <c r="O810">
        <v>0</v>
      </c>
    </row>
    <row r="811" spans="1:15" x14ac:dyDescent="0.3">
      <c r="A811">
        <v>906</v>
      </c>
      <c r="B811" s="34">
        <v>39183</v>
      </c>
      <c r="C811">
        <v>1.3431999999999999</v>
      </c>
      <c r="D811">
        <v>-7</v>
      </c>
      <c r="F811">
        <v>0.31239999999999801</v>
      </c>
      <c r="G811">
        <v>0.667726550079492</v>
      </c>
      <c r="H811">
        <v>0</v>
      </c>
      <c r="I811">
        <v>0.54856510000000003</v>
      </c>
      <c r="J811">
        <v>2007</v>
      </c>
      <c r="K811">
        <v>4</v>
      </c>
      <c r="L811">
        <v>11</v>
      </c>
      <c r="M811" t="s">
        <v>89</v>
      </c>
      <c r="N811">
        <v>0</v>
      </c>
      <c r="O811">
        <v>0</v>
      </c>
    </row>
    <row r="812" spans="1:15" x14ac:dyDescent="0.3">
      <c r="A812">
        <v>907</v>
      </c>
      <c r="B812" s="34">
        <v>39184</v>
      </c>
      <c r="C812">
        <v>1.3433999999999999</v>
      </c>
      <c r="D812">
        <v>0</v>
      </c>
      <c r="F812">
        <v>0.31239999999999801</v>
      </c>
      <c r="G812">
        <v>0.667726550079492</v>
      </c>
      <c r="H812">
        <v>0</v>
      </c>
      <c r="I812">
        <v>0.54796029999999996</v>
      </c>
      <c r="J812">
        <v>2007</v>
      </c>
      <c r="K812">
        <v>4</v>
      </c>
      <c r="L812">
        <v>12</v>
      </c>
      <c r="M812" t="s">
        <v>90</v>
      </c>
      <c r="N812">
        <v>0</v>
      </c>
      <c r="O812">
        <v>0</v>
      </c>
    </row>
    <row r="813" spans="1:15" x14ac:dyDescent="0.3">
      <c r="A813">
        <v>908</v>
      </c>
      <c r="B813" s="34">
        <v>39185</v>
      </c>
      <c r="C813">
        <v>1.3486</v>
      </c>
      <c r="D813">
        <v>-1</v>
      </c>
      <c r="F813">
        <v>0.30829999999999802</v>
      </c>
      <c r="G813">
        <v>1.97138314785374</v>
      </c>
      <c r="H813">
        <v>0</v>
      </c>
      <c r="I813">
        <v>0.54735679999999998</v>
      </c>
      <c r="J813">
        <v>2007</v>
      </c>
      <c r="K813">
        <v>4</v>
      </c>
      <c r="L813">
        <v>13</v>
      </c>
      <c r="M813" t="s">
        <v>91</v>
      </c>
      <c r="N813">
        <v>0</v>
      </c>
      <c r="O813">
        <v>0</v>
      </c>
    </row>
    <row r="814" spans="1:15" x14ac:dyDescent="0.3">
      <c r="A814">
        <v>909</v>
      </c>
      <c r="B814" s="34">
        <v>39188</v>
      </c>
      <c r="C814">
        <v>1.3527</v>
      </c>
      <c r="D814">
        <v>0</v>
      </c>
      <c r="F814">
        <v>0.30829999999999802</v>
      </c>
      <c r="G814">
        <v>1.97138314785374</v>
      </c>
      <c r="H814">
        <v>0</v>
      </c>
      <c r="I814">
        <v>0.54675470000000004</v>
      </c>
      <c r="J814">
        <v>2007</v>
      </c>
      <c r="K814">
        <v>4</v>
      </c>
      <c r="L814">
        <v>16</v>
      </c>
      <c r="M814" t="s">
        <v>92</v>
      </c>
      <c r="N814">
        <v>0</v>
      </c>
      <c r="O814">
        <v>0</v>
      </c>
    </row>
    <row r="815" spans="1:15" x14ac:dyDescent="0.3">
      <c r="A815">
        <v>910</v>
      </c>
      <c r="B815" s="34">
        <v>39189</v>
      </c>
      <c r="C815">
        <v>1.3529</v>
      </c>
      <c r="D815">
        <v>0</v>
      </c>
      <c r="F815">
        <v>0.30829999999999802</v>
      </c>
      <c r="G815">
        <v>1.97138314785374</v>
      </c>
      <c r="H815">
        <v>0</v>
      </c>
      <c r="I815">
        <v>0.54615380000000002</v>
      </c>
      <c r="J815">
        <v>2007</v>
      </c>
      <c r="K815">
        <v>4</v>
      </c>
      <c r="L815">
        <v>17</v>
      </c>
      <c r="M815" t="s">
        <v>93</v>
      </c>
      <c r="N815">
        <v>0</v>
      </c>
      <c r="O815">
        <v>0</v>
      </c>
    </row>
    <row r="816" spans="1:15" x14ac:dyDescent="0.3">
      <c r="A816">
        <v>911</v>
      </c>
      <c r="B816" s="34">
        <v>39190</v>
      </c>
      <c r="C816">
        <v>1.3573999999999999</v>
      </c>
      <c r="D816">
        <v>-5</v>
      </c>
      <c r="F816">
        <v>0.30459999999999798</v>
      </c>
      <c r="G816">
        <v>3.1478537360890502</v>
      </c>
      <c r="H816">
        <v>0</v>
      </c>
      <c r="I816">
        <v>0.54555430000000005</v>
      </c>
      <c r="J816">
        <v>2007</v>
      </c>
      <c r="K816">
        <v>4</v>
      </c>
      <c r="L816">
        <v>18</v>
      </c>
      <c r="M816" t="s">
        <v>89</v>
      </c>
      <c r="N816">
        <v>0</v>
      </c>
      <c r="O816">
        <v>0</v>
      </c>
    </row>
    <row r="817" spans="1:15" x14ac:dyDescent="0.3">
      <c r="A817">
        <v>912</v>
      </c>
      <c r="B817" s="34">
        <v>39191</v>
      </c>
      <c r="C817">
        <v>1.3611</v>
      </c>
      <c r="D817">
        <v>0</v>
      </c>
      <c r="F817">
        <v>0.30459999999999798</v>
      </c>
      <c r="G817">
        <v>3.1478537360890502</v>
      </c>
      <c r="H817">
        <v>0</v>
      </c>
      <c r="I817">
        <v>0.54495610000000005</v>
      </c>
      <c r="J817">
        <v>2007</v>
      </c>
      <c r="K817">
        <v>4</v>
      </c>
      <c r="L817">
        <v>19</v>
      </c>
      <c r="M817" t="s">
        <v>90</v>
      </c>
      <c r="N817">
        <v>0</v>
      </c>
      <c r="O817">
        <v>0</v>
      </c>
    </row>
    <row r="818" spans="1:15" x14ac:dyDescent="0.3">
      <c r="A818">
        <v>913</v>
      </c>
      <c r="B818" s="34">
        <v>39192</v>
      </c>
      <c r="C818">
        <v>1.3617999999999999</v>
      </c>
      <c r="D818">
        <v>1</v>
      </c>
      <c r="E818" t="s">
        <v>280</v>
      </c>
      <c r="F818">
        <v>0.30179999999999801</v>
      </c>
      <c r="G818">
        <v>4.03815580286168</v>
      </c>
      <c r="H818">
        <v>0</v>
      </c>
      <c r="I818">
        <v>0.54435929999999999</v>
      </c>
      <c r="J818">
        <v>2007</v>
      </c>
      <c r="K818">
        <v>4</v>
      </c>
      <c r="L818">
        <v>20</v>
      </c>
      <c r="M818" t="s">
        <v>91</v>
      </c>
      <c r="N818">
        <v>0</v>
      </c>
      <c r="O818">
        <v>0</v>
      </c>
    </row>
    <row r="819" spans="1:15" x14ac:dyDescent="0.3">
      <c r="A819">
        <v>914</v>
      </c>
      <c r="B819" s="34">
        <v>39195</v>
      </c>
      <c r="C819">
        <v>1.359</v>
      </c>
      <c r="D819">
        <v>6</v>
      </c>
      <c r="E819" t="s">
        <v>281</v>
      </c>
      <c r="F819">
        <v>0.30049999999999799</v>
      </c>
      <c r="G819">
        <v>4.4515103338633004</v>
      </c>
      <c r="H819">
        <v>1</v>
      </c>
      <c r="I819">
        <v>0.5448577</v>
      </c>
      <c r="J819">
        <v>2007</v>
      </c>
      <c r="K819">
        <v>4</v>
      </c>
      <c r="L819">
        <v>23</v>
      </c>
      <c r="M819" t="s">
        <v>92</v>
      </c>
      <c r="N819">
        <v>0</v>
      </c>
      <c r="O819">
        <v>0</v>
      </c>
    </row>
    <row r="820" spans="1:15" x14ac:dyDescent="0.3">
      <c r="A820">
        <v>915</v>
      </c>
      <c r="B820" s="34">
        <v>39196</v>
      </c>
      <c r="C820">
        <v>1.3576999999999999</v>
      </c>
      <c r="D820">
        <v>4</v>
      </c>
      <c r="E820" t="s">
        <v>282</v>
      </c>
      <c r="F820">
        <v>0.306499999999998</v>
      </c>
      <c r="G820">
        <v>2.5437201907790299</v>
      </c>
      <c r="H820">
        <v>0</v>
      </c>
      <c r="I820">
        <v>0.54426229999999998</v>
      </c>
      <c r="J820">
        <v>2007</v>
      </c>
      <c r="K820">
        <v>4</v>
      </c>
      <c r="L820">
        <v>24</v>
      </c>
      <c r="M820" t="s">
        <v>93</v>
      </c>
      <c r="N820">
        <v>0</v>
      </c>
      <c r="O820">
        <v>0</v>
      </c>
    </row>
    <row r="821" spans="1:15" x14ac:dyDescent="0.3">
      <c r="A821">
        <v>916</v>
      </c>
      <c r="B821" s="34">
        <v>39197</v>
      </c>
      <c r="C821">
        <v>1.3636999999999999</v>
      </c>
      <c r="D821">
        <v>-1</v>
      </c>
      <c r="F821">
        <v>0.30589999999999801</v>
      </c>
      <c r="G821">
        <v>2.7344992050874999</v>
      </c>
      <c r="H821">
        <v>1</v>
      </c>
      <c r="I821">
        <v>0.54475980000000002</v>
      </c>
      <c r="J821">
        <v>2007</v>
      </c>
      <c r="K821">
        <v>4</v>
      </c>
      <c r="L821">
        <v>25</v>
      </c>
      <c r="M821" t="s">
        <v>89</v>
      </c>
      <c r="N821">
        <v>0</v>
      </c>
      <c r="O821">
        <v>0</v>
      </c>
    </row>
    <row r="822" spans="1:15" x14ac:dyDescent="0.3">
      <c r="A822">
        <v>917</v>
      </c>
      <c r="B822" s="34">
        <v>39198</v>
      </c>
      <c r="C822">
        <v>1.3643000000000001</v>
      </c>
      <c r="D822">
        <v>0</v>
      </c>
      <c r="F822">
        <v>0.30589999999999801</v>
      </c>
      <c r="G822">
        <v>2.7344992050874999</v>
      </c>
      <c r="H822">
        <v>0</v>
      </c>
      <c r="I822">
        <v>0.54416569999999997</v>
      </c>
      <c r="J822">
        <v>2007</v>
      </c>
      <c r="K822">
        <v>4</v>
      </c>
      <c r="L822">
        <v>26</v>
      </c>
      <c r="M822" t="s">
        <v>90</v>
      </c>
      <c r="N822">
        <v>0</v>
      </c>
      <c r="O822">
        <v>0</v>
      </c>
    </row>
    <row r="823" spans="1:15" x14ac:dyDescent="0.3">
      <c r="A823">
        <v>918</v>
      </c>
      <c r="B823" s="34">
        <v>39199</v>
      </c>
      <c r="C823">
        <v>1.3591</v>
      </c>
      <c r="D823">
        <v>0</v>
      </c>
      <c r="F823">
        <v>0.30589999999999801</v>
      </c>
      <c r="G823">
        <v>2.7344992050874999</v>
      </c>
      <c r="H823">
        <v>1</v>
      </c>
      <c r="I823">
        <v>0.54466230000000004</v>
      </c>
      <c r="J823">
        <v>2007</v>
      </c>
      <c r="K823">
        <v>4</v>
      </c>
      <c r="L823">
        <v>27</v>
      </c>
      <c r="M823" t="s">
        <v>91</v>
      </c>
      <c r="N823">
        <v>0</v>
      </c>
      <c r="O823">
        <v>0</v>
      </c>
    </row>
    <row r="824" spans="1:15" x14ac:dyDescent="0.3">
      <c r="A824">
        <v>919</v>
      </c>
      <c r="B824" s="34">
        <v>39202</v>
      </c>
      <c r="C824">
        <v>1.3651</v>
      </c>
      <c r="D824">
        <v>-1</v>
      </c>
      <c r="F824">
        <v>0.30679999999999702</v>
      </c>
      <c r="G824">
        <v>2.4483306836248899</v>
      </c>
      <c r="H824">
        <v>1</v>
      </c>
      <c r="I824">
        <v>0.54515780000000003</v>
      </c>
      <c r="J824">
        <v>2007</v>
      </c>
      <c r="K824">
        <v>4</v>
      </c>
      <c r="L824">
        <v>30</v>
      </c>
      <c r="M824" t="s">
        <v>92</v>
      </c>
      <c r="N824">
        <v>0</v>
      </c>
      <c r="O824">
        <v>0</v>
      </c>
    </row>
    <row r="825" spans="1:15" x14ac:dyDescent="0.3">
      <c r="A825">
        <v>920</v>
      </c>
      <c r="B825" s="34">
        <v>39203</v>
      </c>
      <c r="C825">
        <v>1.3642000000000001</v>
      </c>
      <c r="D825">
        <v>0</v>
      </c>
      <c r="F825">
        <v>0.30679999999999702</v>
      </c>
      <c r="G825">
        <v>2.4483306836248899</v>
      </c>
      <c r="H825">
        <v>1</v>
      </c>
      <c r="I825">
        <v>0.54565220000000003</v>
      </c>
      <c r="J825">
        <v>2007</v>
      </c>
      <c r="K825">
        <v>5</v>
      </c>
      <c r="L825">
        <v>1</v>
      </c>
      <c r="M825" t="s">
        <v>93</v>
      </c>
      <c r="N825">
        <v>0</v>
      </c>
      <c r="O825">
        <v>0</v>
      </c>
    </row>
    <row r="826" spans="1:15" x14ac:dyDescent="0.3">
      <c r="A826">
        <v>921</v>
      </c>
      <c r="B826" s="34">
        <v>39204</v>
      </c>
      <c r="C826">
        <v>1.3605</v>
      </c>
      <c r="D826">
        <v>0</v>
      </c>
      <c r="F826">
        <v>0.30679999999999702</v>
      </c>
      <c r="G826">
        <v>2.4483306836248899</v>
      </c>
      <c r="H826">
        <v>1</v>
      </c>
      <c r="I826">
        <v>0.54614549999999995</v>
      </c>
      <c r="J826">
        <v>2007</v>
      </c>
      <c r="K826">
        <v>5</v>
      </c>
      <c r="L826">
        <v>2</v>
      </c>
      <c r="M826" t="s">
        <v>89</v>
      </c>
      <c r="N826">
        <v>0</v>
      </c>
      <c r="O826">
        <v>0</v>
      </c>
    </row>
    <row r="827" spans="1:15" x14ac:dyDescent="0.3">
      <c r="A827">
        <v>922</v>
      </c>
      <c r="B827" s="34">
        <v>39205</v>
      </c>
      <c r="C827">
        <v>1.3582000000000001</v>
      </c>
      <c r="D827">
        <v>1</v>
      </c>
      <c r="E827" t="s">
        <v>283</v>
      </c>
      <c r="F827">
        <v>0.30369999999999697</v>
      </c>
      <c r="G827">
        <v>3.4340222575518</v>
      </c>
      <c r="H827">
        <v>0</v>
      </c>
      <c r="I827">
        <v>0.54555310000000001</v>
      </c>
      <c r="J827">
        <v>2007</v>
      </c>
      <c r="K827">
        <v>5</v>
      </c>
      <c r="L827">
        <v>3</v>
      </c>
      <c r="M827" t="s">
        <v>90</v>
      </c>
      <c r="N827">
        <v>0</v>
      </c>
      <c r="O827">
        <v>0</v>
      </c>
    </row>
    <row r="828" spans="1:15" x14ac:dyDescent="0.3">
      <c r="A828">
        <v>923</v>
      </c>
      <c r="B828" s="34">
        <v>39206</v>
      </c>
      <c r="C828">
        <v>1.3551</v>
      </c>
      <c r="D828">
        <v>0</v>
      </c>
      <c r="F828">
        <v>0.30369999999999697</v>
      </c>
      <c r="G828">
        <v>3.4340222575518</v>
      </c>
      <c r="H828">
        <v>0</v>
      </c>
      <c r="I828">
        <v>0.5449621</v>
      </c>
      <c r="J828">
        <v>2007</v>
      </c>
      <c r="K828">
        <v>5</v>
      </c>
      <c r="L828">
        <v>4</v>
      </c>
      <c r="M828" t="s">
        <v>91</v>
      </c>
      <c r="N828">
        <v>0</v>
      </c>
      <c r="O828">
        <v>0</v>
      </c>
    </row>
    <row r="829" spans="1:15" x14ac:dyDescent="0.3">
      <c r="A829">
        <v>924</v>
      </c>
      <c r="B829" s="34">
        <v>39209</v>
      </c>
      <c r="C829">
        <v>1.3591</v>
      </c>
      <c r="D829">
        <v>0</v>
      </c>
      <c r="F829">
        <v>0.30369999999999697</v>
      </c>
      <c r="G829">
        <v>3.4340222575518</v>
      </c>
      <c r="H829">
        <v>1</v>
      </c>
      <c r="I829">
        <v>0.54545460000000001</v>
      </c>
      <c r="J829">
        <v>2007</v>
      </c>
      <c r="K829">
        <v>5</v>
      </c>
      <c r="L829">
        <v>7</v>
      </c>
      <c r="M829" t="s">
        <v>92</v>
      </c>
      <c r="N829">
        <v>0</v>
      </c>
      <c r="O829">
        <v>0</v>
      </c>
    </row>
    <row r="830" spans="1:15" x14ac:dyDescent="0.3">
      <c r="A830">
        <v>925</v>
      </c>
      <c r="B830" s="34">
        <v>39210</v>
      </c>
      <c r="C830">
        <v>1.3596999999999999</v>
      </c>
      <c r="D830">
        <v>-8</v>
      </c>
      <c r="F830">
        <v>0.30909999999999699</v>
      </c>
      <c r="G830">
        <v>1.7170111287759999</v>
      </c>
      <c r="H830">
        <v>0</v>
      </c>
      <c r="I830">
        <v>0.54486489999999999</v>
      </c>
      <c r="J830">
        <v>2007</v>
      </c>
      <c r="K830">
        <v>5</v>
      </c>
      <c r="L830">
        <v>8</v>
      </c>
      <c r="M830" t="s">
        <v>93</v>
      </c>
      <c r="N830">
        <v>0</v>
      </c>
      <c r="O830">
        <v>0</v>
      </c>
    </row>
    <row r="831" spans="1:15" x14ac:dyDescent="0.3">
      <c r="A831">
        <v>926</v>
      </c>
      <c r="B831" s="34">
        <v>39211</v>
      </c>
      <c r="C831">
        <v>1.3543000000000001</v>
      </c>
      <c r="D831">
        <v>2</v>
      </c>
      <c r="E831" t="s">
        <v>284</v>
      </c>
      <c r="F831">
        <v>0.30739999999999701</v>
      </c>
      <c r="G831">
        <v>2.2575516693165598</v>
      </c>
      <c r="H831">
        <v>1</v>
      </c>
      <c r="I831">
        <v>0.54535639999999996</v>
      </c>
      <c r="J831">
        <v>2007</v>
      </c>
      <c r="K831">
        <v>5</v>
      </c>
      <c r="L831">
        <v>9</v>
      </c>
      <c r="M831" t="s">
        <v>89</v>
      </c>
      <c r="N831">
        <v>0</v>
      </c>
      <c r="O831">
        <v>0</v>
      </c>
    </row>
    <row r="832" spans="1:15" x14ac:dyDescent="0.3">
      <c r="A832">
        <v>927</v>
      </c>
      <c r="B832" s="34">
        <v>39212</v>
      </c>
      <c r="C832">
        <v>1.3526</v>
      </c>
      <c r="D832">
        <v>0</v>
      </c>
      <c r="F832">
        <v>0.30739999999999701</v>
      </c>
      <c r="G832">
        <v>2.2575516693165598</v>
      </c>
      <c r="H832">
        <v>0</v>
      </c>
      <c r="I832">
        <v>0.54476809999999998</v>
      </c>
      <c r="J832">
        <v>2007</v>
      </c>
      <c r="K832">
        <v>5</v>
      </c>
      <c r="L832">
        <v>10</v>
      </c>
      <c r="M832" t="s">
        <v>90</v>
      </c>
      <c r="N832">
        <v>0</v>
      </c>
      <c r="O832">
        <v>0</v>
      </c>
    </row>
    <row r="833" spans="1:15" x14ac:dyDescent="0.3">
      <c r="A833">
        <v>928</v>
      </c>
      <c r="B833" s="34">
        <v>39213</v>
      </c>
      <c r="C833">
        <v>1.3475999999999999</v>
      </c>
      <c r="D833">
        <v>0</v>
      </c>
      <c r="F833">
        <v>0.30739999999999701</v>
      </c>
      <c r="G833">
        <v>2.2575516693165598</v>
      </c>
      <c r="H833">
        <v>0</v>
      </c>
      <c r="I833">
        <v>0.54418100000000003</v>
      </c>
      <c r="J833">
        <v>2007</v>
      </c>
      <c r="K833">
        <v>5</v>
      </c>
      <c r="L833">
        <v>11</v>
      </c>
      <c r="M833" t="s">
        <v>91</v>
      </c>
      <c r="N833">
        <v>0</v>
      </c>
      <c r="O833">
        <v>0</v>
      </c>
    </row>
    <row r="834" spans="1:15" x14ac:dyDescent="0.3">
      <c r="A834">
        <v>929</v>
      </c>
      <c r="B834" s="34">
        <v>39216</v>
      </c>
      <c r="C834">
        <v>1.3524</v>
      </c>
      <c r="D834">
        <v>0</v>
      </c>
      <c r="F834">
        <v>0.30739999999999701</v>
      </c>
      <c r="G834">
        <v>2.2575516693165598</v>
      </c>
      <c r="H834">
        <v>1</v>
      </c>
      <c r="I834">
        <v>0.54467169999999998</v>
      </c>
      <c r="J834">
        <v>2007</v>
      </c>
      <c r="K834">
        <v>5</v>
      </c>
      <c r="L834">
        <v>14</v>
      </c>
      <c r="M834" t="s">
        <v>92</v>
      </c>
      <c r="N834">
        <v>0</v>
      </c>
      <c r="O834">
        <v>0</v>
      </c>
    </row>
    <row r="835" spans="1:15" x14ac:dyDescent="0.3">
      <c r="A835">
        <v>930</v>
      </c>
      <c r="B835" s="34">
        <v>39217</v>
      </c>
      <c r="C835">
        <v>1.3541000000000001</v>
      </c>
      <c r="D835">
        <v>-10</v>
      </c>
      <c r="F835">
        <v>0.30219999999999703</v>
      </c>
      <c r="G835">
        <v>3.9109697933228902</v>
      </c>
      <c r="H835">
        <v>1</v>
      </c>
      <c r="I835">
        <v>0.54516129999999996</v>
      </c>
      <c r="J835">
        <v>2007</v>
      </c>
      <c r="K835">
        <v>5</v>
      </c>
      <c r="L835">
        <v>15</v>
      </c>
      <c r="M835" t="s">
        <v>93</v>
      </c>
      <c r="N835">
        <v>0</v>
      </c>
      <c r="O835">
        <v>0</v>
      </c>
    </row>
    <row r="836" spans="1:15" x14ac:dyDescent="0.3">
      <c r="A836">
        <v>931</v>
      </c>
      <c r="B836" s="34">
        <v>39218</v>
      </c>
      <c r="C836">
        <v>1.3593</v>
      </c>
      <c r="D836">
        <v>-1</v>
      </c>
      <c r="F836">
        <v>0.31009999999999699</v>
      </c>
      <c r="G836">
        <v>1.3990461049285901</v>
      </c>
      <c r="H836">
        <v>1</v>
      </c>
      <c r="I836">
        <v>0.54564979999999996</v>
      </c>
      <c r="J836">
        <v>2007</v>
      </c>
      <c r="K836">
        <v>5</v>
      </c>
      <c r="L836">
        <v>16</v>
      </c>
      <c r="M836" t="s">
        <v>89</v>
      </c>
      <c r="N836">
        <v>0</v>
      </c>
      <c r="O836">
        <v>0</v>
      </c>
    </row>
    <row r="837" spans="1:15" x14ac:dyDescent="0.3">
      <c r="A837">
        <v>932</v>
      </c>
      <c r="B837" s="34">
        <v>39219</v>
      </c>
      <c r="C837">
        <v>1.3513999999999999</v>
      </c>
      <c r="D837">
        <v>0</v>
      </c>
      <c r="F837">
        <v>0.31009999999999699</v>
      </c>
      <c r="G837">
        <v>1.3990461049285901</v>
      </c>
      <c r="H837">
        <v>1</v>
      </c>
      <c r="I837">
        <v>0.54613730000000005</v>
      </c>
      <c r="J837">
        <v>2007</v>
      </c>
      <c r="K837">
        <v>5</v>
      </c>
      <c r="L837">
        <v>17</v>
      </c>
      <c r="M837" t="s">
        <v>90</v>
      </c>
      <c r="N837">
        <v>0</v>
      </c>
      <c r="O837">
        <v>0</v>
      </c>
    </row>
    <row r="838" spans="1:15" x14ac:dyDescent="0.3">
      <c r="A838">
        <v>933</v>
      </c>
      <c r="B838" s="34">
        <v>39220</v>
      </c>
      <c r="C838">
        <v>1.3498000000000001</v>
      </c>
      <c r="D838">
        <v>1</v>
      </c>
      <c r="E838" t="s">
        <v>285</v>
      </c>
      <c r="F838">
        <v>0.310999999999997</v>
      </c>
      <c r="G838">
        <v>1.1128775834659801</v>
      </c>
      <c r="H838">
        <v>0</v>
      </c>
      <c r="I838">
        <v>0.54555200000000004</v>
      </c>
      <c r="J838">
        <v>2007</v>
      </c>
      <c r="K838">
        <v>5</v>
      </c>
      <c r="L838">
        <v>18</v>
      </c>
      <c r="M838" t="s">
        <v>91</v>
      </c>
      <c r="N838">
        <v>0</v>
      </c>
      <c r="O838">
        <v>0</v>
      </c>
    </row>
    <row r="839" spans="1:15" x14ac:dyDescent="0.3">
      <c r="A839">
        <v>934</v>
      </c>
      <c r="B839" s="34">
        <v>39223</v>
      </c>
      <c r="C839">
        <v>1.3507</v>
      </c>
      <c r="D839">
        <v>0</v>
      </c>
      <c r="F839">
        <v>0.310999999999997</v>
      </c>
      <c r="G839">
        <v>1.1128775834659801</v>
      </c>
      <c r="H839">
        <v>1</v>
      </c>
      <c r="I839">
        <v>0.54603860000000004</v>
      </c>
      <c r="J839">
        <v>2007</v>
      </c>
      <c r="K839">
        <v>5</v>
      </c>
      <c r="L839">
        <v>21</v>
      </c>
      <c r="M839" t="s">
        <v>92</v>
      </c>
      <c r="N839">
        <v>0</v>
      </c>
      <c r="O839">
        <v>0</v>
      </c>
    </row>
    <row r="840" spans="1:15" x14ac:dyDescent="0.3">
      <c r="A840">
        <v>935</v>
      </c>
      <c r="B840" s="34">
        <v>39224</v>
      </c>
      <c r="C840">
        <v>1.3463000000000001</v>
      </c>
      <c r="D840">
        <v>12</v>
      </c>
      <c r="E840" t="s">
        <v>286</v>
      </c>
      <c r="F840">
        <v>0.30979999999999702</v>
      </c>
      <c r="G840">
        <v>1.4944356120828599</v>
      </c>
      <c r="H840">
        <v>0</v>
      </c>
      <c r="I840">
        <v>0.54545460000000001</v>
      </c>
      <c r="J840">
        <v>2007</v>
      </c>
      <c r="K840">
        <v>5</v>
      </c>
      <c r="L840">
        <v>22</v>
      </c>
      <c r="M840" t="s">
        <v>93</v>
      </c>
      <c r="N840">
        <v>0</v>
      </c>
      <c r="O840">
        <v>0</v>
      </c>
    </row>
    <row r="841" spans="1:15" x14ac:dyDescent="0.3">
      <c r="A841">
        <v>936</v>
      </c>
      <c r="B841" s="34">
        <v>39225</v>
      </c>
      <c r="C841">
        <v>1.3451</v>
      </c>
      <c r="D841">
        <v>0</v>
      </c>
      <c r="F841">
        <v>0.30979999999999702</v>
      </c>
      <c r="G841">
        <v>1.4944356120828599</v>
      </c>
      <c r="H841">
        <v>0</v>
      </c>
      <c r="I841">
        <v>0.54487180000000002</v>
      </c>
      <c r="J841">
        <v>2007</v>
      </c>
      <c r="K841">
        <v>5</v>
      </c>
      <c r="L841">
        <v>23</v>
      </c>
      <c r="M841" t="s">
        <v>89</v>
      </c>
      <c r="N841">
        <v>0</v>
      </c>
      <c r="O841">
        <v>0</v>
      </c>
    </row>
    <row r="842" spans="1:15" x14ac:dyDescent="0.3">
      <c r="A842">
        <v>937</v>
      </c>
      <c r="B842" s="34">
        <v>39226</v>
      </c>
      <c r="C842">
        <v>1.3454999999999999</v>
      </c>
      <c r="D842">
        <v>0</v>
      </c>
      <c r="F842">
        <v>0.30979999999999702</v>
      </c>
      <c r="G842">
        <v>1.4944356120828599</v>
      </c>
      <c r="H842">
        <v>1</v>
      </c>
      <c r="I842">
        <v>0.54535750000000005</v>
      </c>
      <c r="J842">
        <v>2007</v>
      </c>
      <c r="K842">
        <v>5</v>
      </c>
      <c r="L842">
        <v>24</v>
      </c>
      <c r="M842" t="s">
        <v>90</v>
      </c>
      <c r="N842">
        <v>0</v>
      </c>
      <c r="O842">
        <v>0</v>
      </c>
    </row>
    <row r="843" spans="1:15" x14ac:dyDescent="0.3">
      <c r="A843">
        <v>938</v>
      </c>
      <c r="B843" s="34">
        <v>39227</v>
      </c>
      <c r="C843">
        <v>1.3431</v>
      </c>
      <c r="D843">
        <v>7</v>
      </c>
      <c r="E843" t="s">
        <v>287</v>
      </c>
      <c r="F843">
        <v>0.31089999999999701</v>
      </c>
      <c r="G843">
        <v>1.1446740858507101</v>
      </c>
      <c r="H843">
        <v>0</v>
      </c>
      <c r="I843">
        <v>0.54477609999999999</v>
      </c>
      <c r="J843">
        <v>2007</v>
      </c>
      <c r="K843">
        <v>5</v>
      </c>
      <c r="L843">
        <v>25</v>
      </c>
      <c r="M843" t="s">
        <v>91</v>
      </c>
      <c r="N843">
        <v>0</v>
      </c>
      <c r="O843">
        <v>0</v>
      </c>
    </row>
    <row r="844" spans="1:15" x14ac:dyDescent="0.3">
      <c r="A844">
        <v>939</v>
      </c>
      <c r="B844" s="34">
        <v>39230</v>
      </c>
      <c r="C844">
        <v>1.3442000000000001</v>
      </c>
      <c r="D844">
        <v>0</v>
      </c>
      <c r="F844">
        <v>0.31089999999999701</v>
      </c>
      <c r="G844">
        <v>1.1446740858507101</v>
      </c>
      <c r="H844">
        <v>1</v>
      </c>
      <c r="I844">
        <v>0.54526090000000005</v>
      </c>
      <c r="J844">
        <v>2007</v>
      </c>
      <c r="K844">
        <v>5</v>
      </c>
      <c r="L844">
        <v>28</v>
      </c>
      <c r="M844" t="s">
        <v>92</v>
      </c>
      <c r="N844">
        <v>0</v>
      </c>
      <c r="O844">
        <v>0</v>
      </c>
    </row>
    <row r="845" spans="1:15" x14ac:dyDescent="0.3">
      <c r="A845">
        <v>940</v>
      </c>
      <c r="B845" s="34">
        <v>39231</v>
      </c>
      <c r="C845">
        <v>1.3447</v>
      </c>
      <c r="D845">
        <v>-17</v>
      </c>
      <c r="F845">
        <v>0.310999999999997</v>
      </c>
      <c r="G845">
        <v>1.1128775834659801</v>
      </c>
      <c r="H845">
        <v>1</v>
      </c>
      <c r="I845">
        <v>0.54574469999999997</v>
      </c>
      <c r="J845">
        <v>2007</v>
      </c>
      <c r="K845">
        <v>5</v>
      </c>
      <c r="L845">
        <v>29</v>
      </c>
      <c r="M845" t="s">
        <v>93</v>
      </c>
      <c r="N845">
        <v>0</v>
      </c>
      <c r="O845">
        <v>0</v>
      </c>
    </row>
    <row r="846" spans="1:15" x14ac:dyDescent="0.3">
      <c r="A846">
        <v>941</v>
      </c>
      <c r="B846" s="34">
        <v>39232</v>
      </c>
      <c r="C846">
        <v>1.3446</v>
      </c>
      <c r="D846">
        <v>0</v>
      </c>
      <c r="F846">
        <v>0.310999999999997</v>
      </c>
      <c r="G846">
        <v>1.1128775834659801</v>
      </c>
      <c r="H846">
        <v>0</v>
      </c>
      <c r="I846">
        <v>0.54516469999999995</v>
      </c>
      <c r="J846">
        <v>2007</v>
      </c>
      <c r="K846">
        <v>5</v>
      </c>
      <c r="L846">
        <v>30</v>
      </c>
      <c r="M846" t="s">
        <v>89</v>
      </c>
      <c r="N846">
        <v>0</v>
      </c>
      <c r="O846">
        <v>0</v>
      </c>
    </row>
    <row r="847" spans="1:15" x14ac:dyDescent="0.3">
      <c r="A847">
        <v>942</v>
      </c>
      <c r="B847" s="34">
        <v>39233</v>
      </c>
      <c r="C847">
        <v>1.3429</v>
      </c>
      <c r="D847">
        <v>26</v>
      </c>
      <c r="E847" t="s">
        <v>288</v>
      </c>
      <c r="F847">
        <v>0.31319999999999698</v>
      </c>
      <c r="G847">
        <v>0.41335453100175801</v>
      </c>
      <c r="H847">
        <v>0.5</v>
      </c>
      <c r="I847">
        <v>0.54511679999999996</v>
      </c>
      <c r="J847">
        <v>2007</v>
      </c>
      <c r="K847">
        <v>5</v>
      </c>
      <c r="L847">
        <v>31</v>
      </c>
      <c r="M847" t="s">
        <v>90</v>
      </c>
      <c r="N847">
        <v>0</v>
      </c>
      <c r="O847">
        <v>0</v>
      </c>
    </row>
    <row r="848" spans="1:15" x14ac:dyDescent="0.3">
      <c r="A848">
        <v>943</v>
      </c>
      <c r="B848" s="34">
        <v>39234</v>
      </c>
      <c r="C848">
        <v>1.3451</v>
      </c>
      <c r="D848">
        <v>0</v>
      </c>
      <c r="F848">
        <v>0.31319999999999698</v>
      </c>
      <c r="G848">
        <v>0.41335453100175801</v>
      </c>
      <c r="H848">
        <v>1</v>
      </c>
      <c r="I848">
        <v>0.54559919999999995</v>
      </c>
      <c r="J848">
        <v>2007</v>
      </c>
      <c r="K848">
        <v>6</v>
      </c>
      <c r="L848">
        <v>1</v>
      </c>
      <c r="M848" t="s">
        <v>91</v>
      </c>
      <c r="N848">
        <v>0</v>
      </c>
      <c r="O848">
        <v>0</v>
      </c>
    </row>
    <row r="849" spans="1:15" x14ac:dyDescent="0.3">
      <c r="A849">
        <v>944</v>
      </c>
      <c r="B849" s="34">
        <v>39237</v>
      </c>
      <c r="C849">
        <v>1.3448</v>
      </c>
      <c r="D849">
        <v>2</v>
      </c>
      <c r="E849" t="s">
        <v>289</v>
      </c>
      <c r="F849">
        <v>0.31769999999999698</v>
      </c>
      <c r="G849">
        <v>0</v>
      </c>
      <c r="H849">
        <v>1</v>
      </c>
      <c r="I849">
        <v>0.54608049999999997</v>
      </c>
      <c r="J849">
        <v>2007</v>
      </c>
      <c r="K849">
        <v>6</v>
      </c>
      <c r="L849">
        <v>4</v>
      </c>
      <c r="M849" t="s">
        <v>92</v>
      </c>
      <c r="N849">
        <v>0</v>
      </c>
      <c r="O849">
        <v>0</v>
      </c>
    </row>
    <row r="850" spans="1:15" x14ac:dyDescent="0.3">
      <c r="A850">
        <v>945</v>
      </c>
      <c r="B850" s="34">
        <v>39238</v>
      </c>
      <c r="C850">
        <v>1.3492999999999999</v>
      </c>
      <c r="D850">
        <v>-1</v>
      </c>
      <c r="F850">
        <v>0.31529999999999703</v>
      </c>
      <c r="G850">
        <v>0.75542965061377798</v>
      </c>
      <c r="H850">
        <v>0</v>
      </c>
      <c r="I850">
        <v>0.54550270000000001</v>
      </c>
      <c r="J850">
        <v>2007</v>
      </c>
      <c r="K850">
        <v>6</v>
      </c>
      <c r="L850">
        <v>5</v>
      </c>
      <c r="M850" t="s">
        <v>93</v>
      </c>
      <c r="N850">
        <v>0</v>
      </c>
      <c r="O850">
        <v>0</v>
      </c>
    </row>
    <row r="851" spans="1:15" x14ac:dyDescent="0.3">
      <c r="A851">
        <v>946</v>
      </c>
      <c r="B851" s="34">
        <v>39239</v>
      </c>
      <c r="C851">
        <v>1.3516999999999999</v>
      </c>
      <c r="D851">
        <v>0</v>
      </c>
      <c r="F851">
        <v>0.31529999999999703</v>
      </c>
      <c r="G851">
        <v>0.75542965061377798</v>
      </c>
      <c r="H851">
        <v>0</v>
      </c>
      <c r="I851">
        <v>0.54492600000000002</v>
      </c>
      <c r="J851">
        <v>2007</v>
      </c>
      <c r="K851">
        <v>6</v>
      </c>
      <c r="L851">
        <v>6</v>
      </c>
      <c r="M851" t="s">
        <v>89</v>
      </c>
      <c r="N851">
        <v>0</v>
      </c>
      <c r="O851">
        <v>0</v>
      </c>
    </row>
    <row r="852" spans="1:15" x14ac:dyDescent="0.3">
      <c r="A852">
        <v>947</v>
      </c>
      <c r="B852" s="34">
        <v>39240</v>
      </c>
      <c r="C852">
        <v>1.3498000000000001</v>
      </c>
      <c r="D852">
        <v>0</v>
      </c>
      <c r="F852">
        <v>0.31529999999999703</v>
      </c>
      <c r="G852">
        <v>0.75542965061377798</v>
      </c>
      <c r="H852">
        <v>1</v>
      </c>
      <c r="I852">
        <v>0.54540650000000002</v>
      </c>
      <c r="J852">
        <v>2007</v>
      </c>
      <c r="K852">
        <v>6</v>
      </c>
      <c r="L852">
        <v>7</v>
      </c>
      <c r="M852" t="s">
        <v>90</v>
      </c>
      <c r="N852">
        <v>0</v>
      </c>
      <c r="O852">
        <v>0</v>
      </c>
    </row>
    <row r="853" spans="1:15" x14ac:dyDescent="0.3">
      <c r="A853">
        <v>948</v>
      </c>
      <c r="B853" s="34">
        <v>39241</v>
      </c>
      <c r="C853">
        <v>1.3426</v>
      </c>
      <c r="D853">
        <v>8</v>
      </c>
      <c r="E853" t="s">
        <v>290</v>
      </c>
      <c r="F853">
        <v>0.30989999999999701</v>
      </c>
      <c r="G853">
        <v>2.4551463644948299</v>
      </c>
      <c r="H853">
        <v>1</v>
      </c>
      <c r="I853">
        <v>0.54588610000000004</v>
      </c>
      <c r="J853">
        <v>2007</v>
      </c>
      <c r="K853">
        <v>6</v>
      </c>
      <c r="L853">
        <v>8</v>
      </c>
      <c r="M853" t="s">
        <v>91</v>
      </c>
      <c r="N853">
        <v>0</v>
      </c>
      <c r="O853">
        <v>0</v>
      </c>
    </row>
    <row r="854" spans="1:15" x14ac:dyDescent="0.3">
      <c r="A854">
        <v>949</v>
      </c>
      <c r="B854" s="34">
        <v>39244</v>
      </c>
      <c r="C854">
        <v>1.3371999999999999</v>
      </c>
      <c r="D854">
        <v>0</v>
      </c>
      <c r="F854">
        <v>0.30989999999999701</v>
      </c>
      <c r="G854">
        <v>2.4551463644948299</v>
      </c>
      <c r="H854">
        <v>0</v>
      </c>
      <c r="I854">
        <v>0.54531090000000004</v>
      </c>
      <c r="J854">
        <v>2007</v>
      </c>
      <c r="K854">
        <v>6</v>
      </c>
      <c r="L854">
        <v>11</v>
      </c>
      <c r="M854" t="s">
        <v>92</v>
      </c>
      <c r="N854">
        <v>0</v>
      </c>
      <c r="O854">
        <v>0</v>
      </c>
    </row>
    <row r="855" spans="1:15" x14ac:dyDescent="0.3">
      <c r="A855">
        <v>950</v>
      </c>
      <c r="B855" s="34">
        <v>39245</v>
      </c>
      <c r="C855">
        <v>1.3357000000000001</v>
      </c>
      <c r="D855">
        <v>0</v>
      </c>
      <c r="F855">
        <v>0.30989999999999701</v>
      </c>
      <c r="G855">
        <v>2.4551463644948299</v>
      </c>
      <c r="H855">
        <v>0</v>
      </c>
      <c r="I855">
        <v>0.54473689999999997</v>
      </c>
      <c r="J855">
        <v>2007</v>
      </c>
      <c r="K855">
        <v>6</v>
      </c>
      <c r="L855">
        <v>12</v>
      </c>
      <c r="M855" t="s">
        <v>93</v>
      </c>
      <c r="N855">
        <v>0</v>
      </c>
      <c r="O855">
        <v>0</v>
      </c>
    </row>
    <row r="856" spans="1:15" x14ac:dyDescent="0.3">
      <c r="A856">
        <v>951</v>
      </c>
      <c r="B856" s="34">
        <v>39246</v>
      </c>
      <c r="C856">
        <v>1.3302</v>
      </c>
      <c r="D856">
        <v>3</v>
      </c>
      <c r="E856" t="s">
        <v>291</v>
      </c>
      <c r="F856">
        <v>0.31059999999999699</v>
      </c>
      <c r="G856">
        <v>2.2348127163991598</v>
      </c>
      <c r="H856">
        <v>0</v>
      </c>
      <c r="I856">
        <v>0.54416410000000004</v>
      </c>
      <c r="J856">
        <v>2007</v>
      </c>
      <c r="K856">
        <v>6</v>
      </c>
      <c r="L856">
        <v>13</v>
      </c>
      <c r="M856" t="s">
        <v>89</v>
      </c>
      <c r="N856">
        <v>0</v>
      </c>
      <c r="O856">
        <v>0</v>
      </c>
    </row>
    <row r="857" spans="1:15" x14ac:dyDescent="0.3">
      <c r="A857">
        <v>952</v>
      </c>
      <c r="B857" s="34">
        <v>39247</v>
      </c>
      <c r="C857">
        <v>1.3309</v>
      </c>
      <c r="D857">
        <v>0</v>
      </c>
      <c r="F857">
        <v>0.31059999999999699</v>
      </c>
      <c r="G857">
        <v>2.2348127163991598</v>
      </c>
      <c r="H857">
        <v>1</v>
      </c>
      <c r="I857">
        <v>0.54464290000000004</v>
      </c>
      <c r="J857">
        <v>2007</v>
      </c>
      <c r="K857">
        <v>6</v>
      </c>
      <c r="L857">
        <v>14</v>
      </c>
      <c r="M857" t="s">
        <v>90</v>
      </c>
      <c r="N857">
        <v>0</v>
      </c>
      <c r="O857">
        <v>0</v>
      </c>
    </row>
    <row r="858" spans="1:15" x14ac:dyDescent="0.3">
      <c r="A858">
        <v>953</v>
      </c>
      <c r="B858" s="34">
        <v>39248</v>
      </c>
      <c r="C858">
        <v>1.3308</v>
      </c>
      <c r="D858">
        <v>0</v>
      </c>
      <c r="F858">
        <v>0.31059999999999699</v>
      </c>
      <c r="G858">
        <v>2.2348127163991598</v>
      </c>
      <c r="H858">
        <v>0</v>
      </c>
      <c r="I858">
        <v>0.54407139999999998</v>
      </c>
      <c r="J858">
        <v>2007</v>
      </c>
      <c r="K858">
        <v>6</v>
      </c>
      <c r="L858">
        <v>15</v>
      </c>
      <c r="M858" t="s">
        <v>91</v>
      </c>
      <c r="N858">
        <v>0</v>
      </c>
      <c r="O858">
        <v>0</v>
      </c>
    </row>
    <row r="859" spans="1:15" x14ac:dyDescent="0.3">
      <c r="A859">
        <v>954</v>
      </c>
      <c r="B859" s="34">
        <v>39251</v>
      </c>
      <c r="C859">
        <v>1.3388</v>
      </c>
      <c r="D859">
        <v>-58</v>
      </c>
      <c r="F859">
        <v>0.307999999999997</v>
      </c>
      <c r="G859">
        <v>3.0531948378974199</v>
      </c>
      <c r="H859">
        <v>1</v>
      </c>
      <c r="I859">
        <v>0.54454930000000001</v>
      </c>
      <c r="J859">
        <v>2007</v>
      </c>
      <c r="K859">
        <v>6</v>
      </c>
      <c r="L859">
        <v>18</v>
      </c>
      <c r="M859" t="s">
        <v>92</v>
      </c>
      <c r="N859">
        <v>0</v>
      </c>
      <c r="O859">
        <v>0</v>
      </c>
    </row>
    <row r="860" spans="1:15" x14ac:dyDescent="0.3">
      <c r="A860">
        <v>955</v>
      </c>
      <c r="B860" s="34">
        <v>39252</v>
      </c>
      <c r="C860">
        <v>1.3413999999999999</v>
      </c>
      <c r="D860">
        <v>-1</v>
      </c>
      <c r="F860">
        <v>0.30709999999999699</v>
      </c>
      <c r="G860">
        <v>3.3364809568776299</v>
      </c>
      <c r="H860">
        <v>0</v>
      </c>
      <c r="I860">
        <v>0.54397899999999999</v>
      </c>
      <c r="J860">
        <v>2007</v>
      </c>
      <c r="K860">
        <v>6</v>
      </c>
      <c r="L860">
        <v>19</v>
      </c>
      <c r="M860" t="s">
        <v>93</v>
      </c>
      <c r="N860">
        <v>0</v>
      </c>
      <c r="O860">
        <v>0</v>
      </c>
    </row>
    <row r="861" spans="1:15" x14ac:dyDescent="0.3">
      <c r="A861">
        <v>956</v>
      </c>
      <c r="B861" s="34">
        <v>39253</v>
      </c>
      <c r="C861">
        <v>1.3423</v>
      </c>
      <c r="D861">
        <v>0</v>
      </c>
      <c r="F861">
        <v>0.30709999999999699</v>
      </c>
      <c r="G861">
        <v>3.3364809568776299</v>
      </c>
      <c r="H861">
        <v>0</v>
      </c>
      <c r="I861">
        <v>0.54341010000000001</v>
      </c>
      <c r="J861">
        <v>2007</v>
      </c>
      <c r="K861">
        <v>6</v>
      </c>
      <c r="L861">
        <v>20</v>
      </c>
      <c r="M861" t="s">
        <v>89</v>
      </c>
      <c r="N861">
        <v>0</v>
      </c>
      <c r="O861">
        <v>0</v>
      </c>
    </row>
    <row r="862" spans="1:15" x14ac:dyDescent="0.3">
      <c r="A862">
        <v>957</v>
      </c>
      <c r="B862" s="34">
        <v>39254</v>
      </c>
      <c r="C862">
        <v>1.34</v>
      </c>
      <c r="D862">
        <v>2</v>
      </c>
      <c r="E862" t="s">
        <v>292</v>
      </c>
      <c r="F862">
        <v>0.30569999999999697</v>
      </c>
      <c r="G862">
        <v>3.7771482530690301</v>
      </c>
      <c r="H862">
        <v>1</v>
      </c>
      <c r="I862">
        <v>0.54388709999999996</v>
      </c>
      <c r="J862">
        <v>2007</v>
      </c>
      <c r="K862">
        <v>6</v>
      </c>
      <c r="L862">
        <v>21</v>
      </c>
      <c r="M862" t="s">
        <v>90</v>
      </c>
      <c r="N862">
        <v>0</v>
      </c>
      <c r="O862">
        <v>0</v>
      </c>
    </row>
    <row r="863" spans="1:15" x14ac:dyDescent="0.3">
      <c r="A863">
        <v>958</v>
      </c>
      <c r="B863" s="34">
        <v>39255</v>
      </c>
      <c r="C863">
        <v>1.3386</v>
      </c>
      <c r="D863">
        <v>5</v>
      </c>
      <c r="E863" t="s">
        <v>293</v>
      </c>
      <c r="F863">
        <v>0.313999999999997</v>
      </c>
      <c r="G863">
        <v>1.16462071136301</v>
      </c>
      <c r="H863">
        <v>1</v>
      </c>
      <c r="I863">
        <v>0.54436329999999999</v>
      </c>
      <c r="J863">
        <v>2007</v>
      </c>
      <c r="K863">
        <v>6</v>
      </c>
      <c r="L863">
        <v>22</v>
      </c>
      <c r="M863" t="s">
        <v>91</v>
      </c>
      <c r="N863">
        <v>0</v>
      </c>
      <c r="O863">
        <v>0</v>
      </c>
    </row>
    <row r="864" spans="1:15" x14ac:dyDescent="0.3">
      <c r="A864">
        <v>959</v>
      </c>
      <c r="B864" s="34">
        <v>39258</v>
      </c>
      <c r="C864">
        <v>1.3469</v>
      </c>
      <c r="D864">
        <v>-6</v>
      </c>
      <c r="F864">
        <v>0.31469999999999698</v>
      </c>
      <c r="G864">
        <v>0.94428706326734502</v>
      </c>
      <c r="H864">
        <v>1</v>
      </c>
      <c r="I864">
        <v>0.54483839999999994</v>
      </c>
      <c r="J864">
        <v>2007</v>
      </c>
      <c r="K864">
        <v>6</v>
      </c>
      <c r="L864">
        <v>25</v>
      </c>
      <c r="M864" t="s">
        <v>92</v>
      </c>
      <c r="N864">
        <v>0</v>
      </c>
      <c r="O864">
        <v>0</v>
      </c>
    </row>
    <row r="865" spans="1:15" x14ac:dyDescent="0.3">
      <c r="A865">
        <v>960</v>
      </c>
      <c r="B865" s="34">
        <v>39259</v>
      </c>
      <c r="C865">
        <v>1.3462000000000001</v>
      </c>
      <c r="D865">
        <v>0</v>
      </c>
      <c r="F865">
        <v>0.31469999999999698</v>
      </c>
      <c r="G865">
        <v>0.94428706326734502</v>
      </c>
      <c r="H865">
        <v>1</v>
      </c>
      <c r="I865">
        <v>0.54531249999999998</v>
      </c>
      <c r="J865">
        <v>2007</v>
      </c>
      <c r="K865">
        <v>6</v>
      </c>
      <c r="L865">
        <v>26</v>
      </c>
      <c r="M865" t="s">
        <v>93</v>
      </c>
      <c r="N865">
        <v>0</v>
      </c>
      <c r="O865">
        <v>0</v>
      </c>
    </row>
    <row r="866" spans="1:15" x14ac:dyDescent="0.3">
      <c r="A866">
        <v>961</v>
      </c>
      <c r="B866" s="34">
        <v>39260</v>
      </c>
      <c r="C866">
        <v>1.3458000000000001</v>
      </c>
      <c r="D866">
        <v>1</v>
      </c>
      <c r="E866" t="s">
        <v>294</v>
      </c>
      <c r="F866">
        <v>0.31409999999999699</v>
      </c>
      <c r="G866">
        <v>1.13314447592084</v>
      </c>
      <c r="H866">
        <v>1</v>
      </c>
      <c r="I866">
        <v>0.54578570000000004</v>
      </c>
      <c r="J866">
        <v>2007</v>
      </c>
      <c r="K866">
        <v>6</v>
      </c>
      <c r="L866">
        <v>27</v>
      </c>
      <c r="M866" t="s">
        <v>89</v>
      </c>
      <c r="N866">
        <v>0</v>
      </c>
      <c r="O866">
        <v>0</v>
      </c>
    </row>
    <row r="867" spans="1:15" x14ac:dyDescent="0.3">
      <c r="A867">
        <v>962</v>
      </c>
      <c r="B867" s="34">
        <v>39261</v>
      </c>
      <c r="C867">
        <v>1.3452</v>
      </c>
      <c r="D867">
        <v>12</v>
      </c>
      <c r="E867" t="s">
        <v>295</v>
      </c>
      <c r="F867">
        <v>0.313499999999997</v>
      </c>
      <c r="G867">
        <v>1.3220018885742699</v>
      </c>
      <c r="H867">
        <v>1</v>
      </c>
      <c r="I867">
        <v>0.54625780000000002</v>
      </c>
      <c r="J867">
        <v>2007</v>
      </c>
      <c r="K867">
        <v>6</v>
      </c>
      <c r="L867">
        <v>28</v>
      </c>
      <c r="M867" t="s">
        <v>90</v>
      </c>
      <c r="N867">
        <v>0</v>
      </c>
      <c r="O867">
        <v>0</v>
      </c>
    </row>
    <row r="868" spans="1:15" x14ac:dyDescent="0.3">
      <c r="A868">
        <v>963</v>
      </c>
      <c r="B868" s="34">
        <v>39262</v>
      </c>
      <c r="C868">
        <v>1.3446</v>
      </c>
      <c r="D868">
        <v>8</v>
      </c>
      <c r="E868" t="s">
        <v>296</v>
      </c>
      <c r="F868">
        <v>0.32289999999999702</v>
      </c>
      <c r="G868">
        <v>0</v>
      </c>
      <c r="H868">
        <v>0</v>
      </c>
      <c r="I868">
        <v>0.54569049999999997</v>
      </c>
      <c r="J868">
        <v>2007</v>
      </c>
      <c r="K868">
        <v>6</v>
      </c>
      <c r="L868">
        <v>29</v>
      </c>
      <c r="M868" t="s">
        <v>91</v>
      </c>
      <c r="N868">
        <v>0</v>
      </c>
      <c r="O868">
        <v>0</v>
      </c>
    </row>
    <row r="869" spans="1:15" x14ac:dyDescent="0.3">
      <c r="A869">
        <v>964</v>
      </c>
      <c r="B869" s="34">
        <v>39265</v>
      </c>
      <c r="C869">
        <v>1.3540000000000001</v>
      </c>
      <c r="D869">
        <v>-3</v>
      </c>
      <c r="F869">
        <v>0.31379999999999703</v>
      </c>
      <c r="G869">
        <v>2.8182099721275802</v>
      </c>
      <c r="H869">
        <v>1</v>
      </c>
      <c r="I869">
        <v>0.54616180000000003</v>
      </c>
      <c r="J869">
        <v>2007</v>
      </c>
      <c r="K869">
        <v>7</v>
      </c>
      <c r="L869">
        <v>2</v>
      </c>
      <c r="M869" t="s">
        <v>92</v>
      </c>
      <c r="N869">
        <v>0</v>
      </c>
      <c r="O869">
        <v>0</v>
      </c>
    </row>
    <row r="870" spans="1:15" x14ac:dyDescent="0.3">
      <c r="A870">
        <v>965</v>
      </c>
      <c r="B870" s="34">
        <v>39266</v>
      </c>
      <c r="C870">
        <v>1.3631</v>
      </c>
      <c r="D870">
        <v>0</v>
      </c>
      <c r="F870">
        <v>0.31379999999999703</v>
      </c>
      <c r="G870">
        <v>2.8182099721275802</v>
      </c>
      <c r="H870">
        <v>0</v>
      </c>
      <c r="I870">
        <v>0.54559590000000002</v>
      </c>
      <c r="J870">
        <v>2007</v>
      </c>
      <c r="K870">
        <v>7</v>
      </c>
      <c r="L870">
        <v>3</v>
      </c>
      <c r="M870" t="s">
        <v>93</v>
      </c>
      <c r="N870">
        <v>0</v>
      </c>
      <c r="O870">
        <v>0</v>
      </c>
    </row>
    <row r="871" spans="1:15" x14ac:dyDescent="0.3">
      <c r="A871">
        <v>966</v>
      </c>
      <c r="B871" s="34">
        <v>39267</v>
      </c>
      <c r="C871">
        <v>1.3608</v>
      </c>
      <c r="D871">
        <v>0</v>
      </c>
      <c r="F871">
        <v>0.31379999999999703</v>
      </c>
      <c r="G871">
        <v>2.8182099721275802</v>
      </c>
      <c r="H871">
        <v>1</v>
      </c>
      <c r="I871">
        <v>0.54606619999999995</v>
      </c>
      <c r="J871">
        <v>2007</v>
      </c>
      <c r="K871">
        <v>7</v>
      </c>
      <c r="L871">
        <v>4</v>
      </c>
      <c r="M871" t="s">
        <v>89</v>
      </c>
      <c r="N871">
        <v>0</v>
      </c>
      <c r="O871">
        <v>0</v>
      </c>
    </row>
    <row r="872" spans="1:15" x14ac:dyDescent="0.3">
      <c r="A872">
        <v>967</v>
      </c>
      <c r="B872" s="34">
        <v>39268</v>
      </c>
      <c r="C872">
        <v>1.3613999999999999</v>
      </c>
      <c r="D872">
        <v>-3</v>
      </c>
      <c r="F872">
        <v>0.31589999999999702</v>
      </c>
      <c r="G872">
        <v>2.16785382471351</v>
      </c>
      <c r="H872">
        <v>0.5</v>
      </c>
      <c r="I872">
        <v>0.54601860000000002</v>
      </c>
      <c r="J872">
        <v>2007</v>
      </c>
      <c r="K872">
        <v>7</v>
      </c>
      <c r="L872">
        <v>5</v>
      </c>
      <c r="M872" t="s">
        <v>90</v>
      </c>
      <c r="N872">
        <v>0</v>
      </c>
      <c r="O872">
        <v>0</v>
      </c>
    </row>
    <row r="873" spans="1:15" x14ac:dyDescent="0.3">
      <c r="A873">
        <v>968</v>
      </c>
      <c r="B873" s="34">
        <v>39269</v>
      </c>
      <c r="C873">
        <v>1.3593</v>
      </c>
      <c r="D873">
        <v>4</v>
      </c>
      <c r="E873" t="s">
        <v>297</v>
      </c>
      <c r="F873">
        <v>0.319099999999997</v>
      </c>
      <c r="G873">
        <v>1.1768349334158601</v>
      </c>
      <c r="H873">
        <v>1</v>
      </c>
      <c r="I873">
        <v>0.54648759999999996</v>
      </c>
      <c r="J873">
        <v>2007</v>
      </c>
      <c r="K873">
        <v>7</v>
      </c>
      <c r="L873">
        <v>6</v>
      </c>
      <c r="M873" t="s">
        <v>91</v>
      </c>
      <c r="N873">
        <v>0</v>
      </c>
      <c r="O873">
        <v>0</v>
      </c>
    </row>
    <row r="874" spans="1:15" x14ac:dyDescent="0.3">
      <c r="A874">
        <v>969</v>
      </c>
      <c r="B874" s="34">
        <v>39272</v>
      </c>
      <c r="C874">
        <v>1.3625</v>
      </c>
      <c r="D874">
        <v>-2</v>
      </c>
      <c r="F874">
        <v>0.31879999999999697</v>
      </c>
      <c r="G874">
        <v>1.2697429544750001</v>
      </c>
      <c r="H874">
        <v>1</v>
      </c>
      <c r="I874">
        <v>0.54695559999999999</v>
      </c>
      <c r="J874">
        <v>2007</v>
      </c>
      <c r="K874">
        <v>7</v>
      </c>
      <c r="L874">
        <v>9</v>
      </c>
      <c r="M874" t="s">
        <v>92</v>
      </c>
      <c r="N874">
        <v>0</v>
      </c>
      <c r="O874">
        <v>0</v>
      </c>
    </row>
    <row r="875" spans="1:15" x14ac:dyDescent="0.3">
      <c r="A875">
        <v>970</v>
      </c>
      <c r="B875" s="34">
        <v>39273</v>
      </c>
      <c r="C875">
        <v>1.3628</v>
      </c>
      <c r="D875">
        <v>0</v>
      </c>
      <c r="F875">
        <v>0.31879999999999697</v>
      </c>
      <c r="G875">
        <v>1.2697429544750001</v>
      </c>
      <c r="H875">
        <v>0</v>
      </c>
      <c r="I875">
        <v>0.54639170000000004</v>
      </c>
      <c r="J875">
        <v>2007</v>
      </c>
      <c r="K875">
        <v>7</v>
      </c>
      <c r="L875">
        <v>10</v>
      </c>
      <c r="M875" t="s">
        <v>93</v>
      </c>
      <c r="N875">
        <v>0</v>
      </c>
      <c r="O875">
        <v>0</v>
      </c>
    </row>
    <row r="876" spans="1:15" x14ac:dyDescent="0.3">
      <c r="A876">
        <v>971</v>
      </c>
      <c r="B876" s="34">
        <v>39274</v>
      </c>
      <c r="C876">
        <v>1.3768</v>
      </c>
      <c r="D876">
        <v>0</v>
      </c>
      <c r="F876">
        <v>0.31879999999999697</v>
      </c>
      <c r="G876">
        <v>1.2697429544750001</v>
      </c>
      <c r="H876">
        <v>0</v>
      </c>
      <c r="I876">
        <v>0.54582909999999996</v>
      </c>
      <c r="J876">
        <v>2007</v>
      </c>
      <c r="K876">
        <v>7</v>
      </c>
      <c r="L876">
        <v>11</v>
      </c>
      <c r="M876" t="s">
        <v>89</v>
      </c>
      <c r="N876">
        <v>0</v>
      </c>
      <c r="O876">
        <v>0</v>
      </c>
    </row>
    <row r="877" spans="1:15" x14ac:dyDescent="0.3">
      <c r="A877">
        <v>972</v>
      </c>
      <c r="B877" s="34">
        <v>39275</v>
      </c>
      <c r="C877">
        <v>1.3744000000000001</v>
      </c>
      <c r="D877">
        <v>0</v>
      </c>
      <c r="F877">
        <v>0.31879999999999697</v>
      </c>
      <c r="G877">
        <v>1.2697429544750001</v>
      </c>
      <c r="H877">
        <v>1</v>
      </c>
      <c r="I877">
        <v>0.54629629999999996</v>
      </c>
      <c r="J877">
        <v>2007</v>
      </c>
      <c r="K877">
        <v>7</v>
      </c>
      <c r="L877">
        <v>12</v>
      </c>
      <c r="M877" t="s">
        <v>90</v>
      </c>
      <c r="N877">
        <v>0</v>
      </c>
      <c r="O877">
        <v>0</v>
      </c>
    </row>
    <row r="878" spans="1:15" x14ac:dyDescent="0.3">
      <c r="A878">
        <v>973</v>
      </c>
      <c r="B878" s="34">
        <v>39276</v>
      </c>
      <c r="C878">
        <v>1.3787</v>
      </c>
      <c r="D878">
        <v>0</v>
      </c>
      <c r="F878">
        <v>0.31879999999999697</v>
      </c>
      <c r="G878">
        <v>1.2697429544750001</v>
      </c>
      <c r="H878">
        <v>0</v>
      </c>
      <c r="I878">
        <v>0.54573479999999996</v>
      </c>
      <c r="J878">
        <v>2007</v>
      </c>
      <c r="K878">
        <v>7</v>
      </c>
      <c r="L878">
        <v>13</v>
      </c>
      <c r="M878" t="s">
        <v>91</v>
      </c>
      <c r="N878">
        <v>0</v>
      </c>
      <c r="O878">
        <v>0</v>
      </c>
    </row>
    <row r="879" spans="1:15" x14ac:dyDescent="0.3">
      <c r="A879">
        <v>974</v>
      </c>
      <c r="B879" s="34">
        <v>39279</v>
      </c>
      <c r="C879">
        <v>1.3782000000000001</v>
      </c>
      <c r="D879">
        <v>1</v>
      </c>
      <c r="E879" t="s">
        <v>298</v>
      </c>
      <c r="F879">
        <v>0.31779999999999697</v>
      </c>
      <c r="G879">
        <v>1.5794363580055499</v>
      </c>
      <c r="H879">
        <v>1</v>
      </c>
      <c r="I879">
        <v>0.54620120000000005</v>
      </c>
      <c r="J879">
        <v>2007</v>
      </c>
      <c r="K879">
        <v>7</v>
      </c>
      <c r="L879">
        <v>16</v>
      </c>
      <c r="M879" t="s">
        <v>92</v>
      </c>
      <c r="N879">
        <v>0</v>
      </c>
      <c r="O879">
        <v>0</v>
      </c>
    </row>
    <row r="880" spans="1:15" x14ac:dyDescent="0.3">
      <c r="A880">
        <v>975</v>
      </c>
      <c r="B880" s="34">
        <v>39280</v>
      </c>
      <c r="C880">
        <v>1.3772</v>
      </c>
      <c r="D880">
        <v>6</v>
      </c>
      <c r="E880" t="s">
        <v>299</v>
      </c>
      <c r="F880">
        <v>0.31879999999999697</v>
      </c>
      <c r="G880">
        <v>1.2697429544750001</v>
      </c>
      <c r="H880">
        <v>1</v>
      </c>
      <c r="I880">
        <v>0.54666669999999995</v>
      </c>
      <c r="J880">
        <v>2007</v>
      </c>
      <c r="K880">
        <v>7</v>
      </c>
      <c r="L880">
        <v>17</v>
      </c>
      <c r="M880" t="s">
        <v>93</v>
      </c>
      <c r="N880">
        <v>0</v>
      </c>
      <c r="O880">
        <v>0</v>
      </c>
    </row>
    <row r="881" spans="1:15" x14ac:dyDescent="0.3">
      <c r="A881">
        <v>976</v>
      </c>
      <c r="B881" s="34">
        <v>39281</v>
      </c>
      <c r="C881">
        <v>1.3782000000000001</v>
      </c>
      <c r="D881">
        <v>-19</v>
      </c>
      <c r="F881">
        <v>0.31649999999999701</v>
      </c>
      <c r="G881">
        <v>1.9820377825951601</v>
      </c>
      <c r="H881">
        <v>0</v>
      </c>
      <c r="I881">
        <v>0.5461066</v>
      </c>
      <c r="J881">
        <v>2007</v>
      </c>
      <c r="K881">
        <v>7</v>
      </c>
      <c r="L881">
        <v>18</v>
      </c>
      <c r="M881" t="s">
        <v>89</v>
      </c>
      <c r="N881">
        <v>0</v>
      </c>
      <c r="O881">
        <v>0</v>
      </c>
    </row>
    <row r="882" spans="1:15" x14ac:dyDescent="0.3">
      <c r="A882">
        <v>977</v>
      </c>
      <c r="B882" s="34">
        <v>39282</v>
      </c>
      <c r="C882">
        <v>1.3805000000000001</v>
      </c>
      <c r="D882">
        <v>-2</v>
      </c>
      <c r="F882">
        <v>0.31729999999999697</v>
      </c>
      <c r="G882">
        <v>1.73428305977071</v>
      </c>
      <c r="H882">
        <v>0</v>
      </c>
      <c r="I882">
        <v>0.54554760000000002</v>
      </c>
      <c r="J882">
        <v>2007</v>
      </c>
      <c r="K882">
        <v>7</v>
      </c>
      <c r="L882">
        <v>19</v>
      </c>
      <c r="M882" t="s">
        <v>90</v>
      </c>
      <c r="N882">
        <v>0</v>
      </c>
      <c r="O882">
        <v>0</v>
      </c>
    </row>
    <row r="883" spans="1:15" x14ac:dyDescent="0.3">
      <c r="A883">
        <v>978</v>
      </c>
      <c r="B883" s="34">
        <v>39283</v>
      </c>
      <c r="C883">
        <v>1.3796999999999999</v>
      </c>
      <c r="D883">
        <v>0</v>
      </c>
      <c r="F883">
        <v>0.31729999999999697</v>
      </c>
      <c r="G883">
        <v>1.73428305977071</v>
      </c>
      <c r="H883">
        <v>0</v>
      </c>
      <c r="I883">
        <v>0.54498979999999997</v>
      </c>
      <c r="J883">
        <v>2007</v>
      </c>
      <c r="K883">
        <v>7</v>
      </c>
      <c r="L883">
        <v>20</v>
      </c>
      <c r="M883" t="s">
        <v>91</v>
      </c>
      <c r="N883">
        <v>0</v>
      </c>
      <c r="O883">
        <v>0</v>
      </c>
    </row>
    <row r="884" spans="1:15" x14ac:dyDescent="0.3">
      <c r="A884">
        <v>979</v>
      </c>
      <c r="B884" s="34">
        <v>39286</v>
      </c>
      <c r="C884">
        <v>1.3826000000000001</v>
      </c>
      <c r="D884">
        <v>-11</v>
      </c>
      <c r="F884">
        <v>0.31929999999999698</v>
      </c>
      <c r="G884">
        <v>1.1148962527096999</v>
      </c>
      <c r="H884">
        <v>1</v>
      </c>
      <c r="I884">
        <v>0.54545460000000001</v>
      </c>
      <c r="J884">
        <v>2007</v>
      </c>
      <c r="K884">
        <v>7</v>
      </c>
      <c r="L884">
        <v>23</v>
      </c>
      <c r="M884" t="s">
        <v>92</v>
      </c>
      <c r="N884">
        <v>0</v>
      </c>
      <c r="O884">
        <v>0</v>
      </c>
    </row>
    <row r="885" spans="1:15" x14ac:dyDescent="0.3">
      <c r="A885">
        <v>980</v>
      </c>
      <c r="B885" s="34">
        <v>39287</v>
      </c>
      <c r="C885">
        <v>1.3806</v>
      </c>
      <c r="D885">
        <v>0</v>
      </c>
      <c r="F885">
        <v>0.31929999999999698</v>
      </c>
      <c r="G885">
        <v>1.1148962527096999</v>
      </c>
      <c r="H885">
        <v>1</v>
      </c>
      <c r="I885">
        <v>0.54591829999999997</v>
      </c>
      <c r="J885">
        <v>2007</v>
      </c>
      <c r="K885">
        <v>7</v>
      </c>
      <c r="L885">
        <v>24</v>
      </c>
      <c r="M885" t="s">
        <v>93</v>
      </c>
      <c r="N885">
        <v>0</v>
      </c>
      <c r="O885">
        <v>0</v>
      </c>
    </row>
    <row r="886" spans="1:15" x14ac:dyDescent="0.3">
      <c r="A886">
        <v>981</v>
      </c>
      <c r="B886" s="34">
        <v>39288</v>
      </c>
      <c r="C886">
        <v>1.3827</v>
      </c>
      <c r="D886">
        <v>-17</v>
      </c>
      <c r="F886">
        <v>0.32959999999999701</v>
      </c>
      <c r="G886">
        <v>0</v>
      </c>
      <c r="H886">
        <v>1</v>
      </c>
      <c r="I886">
        <v>0.54638120000000001</v>
      </c>
      <c r="J886">
        <v>2007</v>
      </c>
      <c r="K886">
        <v>7</v>
      </c>
      <c r="L886">
        <v>25</v>
      </c>
      <c r="M886" t="s">
        <v>89</v>
      </c>
      <c r="N886">
        <v>0</v>
      </c>
      <c r="O886">
        <v>0</v>
      </c>
    </row>
    <row r="887" spans="1:15" x14ac:dyDescent="0.3">
      <c r="A887">
        <v>982</v>
      </c>
      <c r="B887" s="34">
        <v>39289</v>
      </c>
      <c r="C887">
        <v>1.3724000000000001</v>
      </c>
      <c r="D887">
        <v>0</v>
      </c>
      <c r="F887">
        <v>0.32959999999999701</v>
      </c>
      <c r="G887">
        <v>0</v>
      </c>
      <c r="H887">
        <v>1</v>
      </c>
      <c r="I887">
        <v>0.54684319999999997</v>
      </c>
      <c r="J887">
        <v>2007</v>
      </c>
      <c r="K887">
        <v>7</v>
      </c>
      <c r="L887">
        <v>26</v>
      </c>
      <c r="M887" t="s">
        <v>90</v>
      </c>
      <c r="N887">
        <v>0</v>
      </c>
      <c r="O887">
        <v>0</v>
      </c>
    </row>
    <row r="888" spans="1:15" x14ac:dyDescent="0.3">
      <c r="A888">
        <v>983</v>
      </c>
      <c r="B888" s="34">
        <v>39290</v>
      </c>
      <c r="C888">
        <v>1.3740000000000001</v>
      </c>
      <c r="D888">
        <v>0</v>
      </c>
      <c r="F888">
        <v>0.32959999999999701</v>
      </c>
      <c r="G888">
        <v>0</v>
      </c>
      <c r="H888">
        <v>1</v>
      </c>
      <c r="I888">
        <v>0.54730420000000002</v>
      </c>
      <c r="J888">
        <v>2007</v>
      </c>
      <c r="K888">
        <v>7</v>
      </c>
      <c r="L888">
        <v>27</v>
      </c>
      <c r="M888" t="s">
        <v>91</v>
      </c>
      <c r="N888">
        <v>0</v>
      </c>
      <c r="O888">
        <v>0</v>
      </c>
    </row>
    <row r="889" spans="1:15" x14ac:dyDescent="0.3">
      <c r="A889">
        <v>984</v>
      </c>
      <c r="B889" s="34">
        <v>39293</v>
      </c>
      <c r="C889">
        <v>1.3634999999999999</v>
      </c>
      <c r="D889">
        <v>1</v>
      </c>
      <c r="E889" t="s">
        <v>300</v>
      </c>
      <c r="F889">
        <v>0.33579999999999699</v>
      </c>
      <c r="G889">
        <v>0</v>
      </c>
      <c r="H889">
        <v>0</v>
      </c>
      <c r="I889">
        <v>0.54674800000000001</v>
      </c>
      <c r="J889">
        <v>2007</v>
      </c>
      <c r="K889">
        <v>7</v>
      </c>
      <c r="L889">
        <v>30</v>
      </c>
      <c r="M889" t="s">
        <v>92</v>
      </c>
      <c r="N889">
        <v>0</v>
      </c>
      <c r="O889">
        <v>0</v>
      </c>
    </row>
    <row r="890" spans="1:15" x14ac:dyDescent="0.3">
      <c r="A890">
        <v>985</v>
      </c>
      <c r="B890" s="34">
        <v>39294</v>
      </c>
      <c r="C890">
        <v>1.3696999999999999</v>
      </c>
      <c r="D890">
        <v>0</v>
      </c>
      <c r="F890">
        <v>0.33579999999999699</v>
      </c>
      <c r="G890">
        <v>0</v>
      </c>
      <c r="H890">
        <v>1</v>
      </c>
      <c r="I890">
        <v>0.54720809999999998</v>
      </c>
      <c r="J890">
        <v>2007</v>
      </c>
      <c r="K890">
        <v>7</v>
      </c>
      <c r="L890">
        <v>31</v>
      </c>
      <c r="M890" t="s">
        <v>93</v>
      </c>
      <c r="N890">
        <v>0</v>
      </c>
      <c r="O890">
        <v>0</v>
      </c>
    </row>
    <row r="891" spans="1:15" x14ac:dyDescent="0.3">
      <c r="A891">
        <v>986</v>
      </c>
      <c r="B891" s="34">
        <v>39295</v>
      </c>
      <c r="C891">
        <v>1.3676999999999999</v>
      </c>
      <c r="D891">
        <v>6</v>
      </c>
      <c r="E891" t="s">
        <v>301</v>
      </c>
      <c r="F891">
        <v>0.335699999999997</v>
      </c>
      <c r="G891">
        <v>2.97796307325758E-2</v>
      </c>
      <c r="H891">
        <v>0</v>
      </c>
      <c r="I891">
        <v>0.54665319999999995</v>
      </c>
      <c r="J891">
        <v>2007</v>
      </c>
      <c r="K891">
        <v>8</v>
      </c>
      <c r="L891">
        <v>1</v>
      </c>
      <c r="M891" t="s">
        <v>89</v>
      </c>
      <c r="N891">
        <v>0</v>
      </c>
      <c r="O891">
        <v>0</v>
      </c>
    </row>
    <row r="892" spans="1:15" x14ac:dyDescent="0.3">
      <c r="A892">
        <v>987</v>
      </c>
      <c r="B892" s="34">
        <v>39296</v>
      </c>
      <c r="C892">
        <v>1.3675999999999999</v>
      </c>
      <c r="D892">
        <v>0</v>
      </c>
      <c r="F892">
        <v>0.335699999999997</v>
      </c>
      <c r="G892">
        <v>2.97796307325758E-2</v>
      </c>
      <c r="H892">
        <v>0</v>
      </c>
      <c r="I892">
        <v>0.54609929999999995</v>
      </c>
      <c r="J892">
        <v>2007</v>
      </c>
      <c r="K892">
        <v>8</v>
      </c>
      <c r="L892">
        <v>2</v>
      </c>
      <c r="M892" t="s">
        <v>90</v>
      </c>
      <c r="N892">
        <v>0</v>
      </c>
      <c r="O892">
        <v>0</v>
      </c>
    </row>
    <row r="893" spans="1:15" x14ac:dyDescent="0.3">
      <c r="A893">
        <v>988</v>
      </c>
      <c r="B893" s="34">
        <v>39297</v>
      </c>
      <c r="C893">
        <v>1.37</v>
      </c>
      <c r="D893">
        <v>-39</v>
      </c>
      <c r="F893">
        <v>0.32839999999999703</v>
      </c>
      <c r="G893">
        <v>2.2036926742108101</v>
      </c>
      <c r="H893">
        <v>0.5</v>
      </c>
      <c r="I893">
        <v>0.5460526</v>
      </c>
      <c r="J893">
        <v>2007</v>
      </c>
      <c r="K893">
        <v>8</v>
      </c>
      <c r="L893">
        <v>3</v>
      </c>
      <c r="M893" t="s">
        <v>91</v>
      </c>
      <c r="N893">
        <v>0</v>
      </c>
      <c r="O893">
        <v>0</v>
      </c>
    </row>
    <row r="894" spans="1:15" x14ac:dyDescent="0.3">
      <c r="A894">
        <v>989</v>
      </c>
      <c r="B894" s="34">
        <v>39300</v>
      </c>
      <c r="C894">
        <v>1.3773</v>
      </c>
      <c r="D894">
        <v>0</v>
      </c>
      <c r="F894">
        <v>0.32839999999999703</v>
      </c>
      <c r="G894">
        <v>2.2036926742108101</v>
      </c>
      <c r="H894">
        <v>1</v>
      </c>
      <c r="I894">
        <v>0.54651170000000004</v>
      </c>
      <c r="J894">
        <v>2007</v>
      </c>
      <c r="K894">
        <v>8</v>
      </c>
      <c r="L894">
        <v>6</v>
      </c>
      <c r="M894" t="s">
        <v>92</v>
      </c>
      <c r="N894">
        <v>0</v>
      </c>
      <c r="O894">
        <v>0</v>
      </c>
    </row>
    <row r="895" spans="1:15" x14ac:dyDescent="0.3">
      <c r="A895">
        <v>990</v>
      </c>
      <c r="B895" s="34">
        <v>39301</v>
      </c>
      <c r="C895">
        <v>1.3794</v>
      </c>
      <c r="D895">
        <v>0</v>
      </c>
      <c r="F895">
        <v>0.32839999999999703</v>
      </c>
      <c r="G895">
        <v>2.2036926742108101</v>
      </c>
      <c r="H895">
        <v>0</v>
      </c>
      <c r="I895">
        <v>0.54595959999999999</v>
      </c>
      <c r="J895">
        <v>2007</v>
      </c>
      <c r="K895">
        <v>8</v>
      </c>
      <c r="L895">
        <v>7</v>
      </c>
      <c r="M895" t="s">
        <v>93</v>
      </c>
      <c r="N895">
        <v>0</v>
      </c>
      <c r="O895">
        <v>0</v>
      </c>
    </row>
    <row r="896" spans="1:15" x14ac:dyDescent="0.3">
      <c r="A896">
        <v>991</v>
      </c>
      <c r="B896" s="34">
        <v>39302</v>
      </c>
      <c r="C896">
        <v>1.3743000000000001</v>
      </c>
      <c r="D896">
        <v>0</v>
      </c>
      <c r="F896">
        <v>0.32839999999999703</v>
      </c>
      <c r="G896">
        <v>2.2036926742108101</v>
      </c>
      <c r="H896">
        <v>1</v>
      </c>
      <c r="I896">
        <v>0.54641779999999995</v>
      </c>
      <c r="J896">
        <v>2007</v>
      </c>
      <c r="K896">
        <v>8</v>
      </c>
      <c r="L896">
        <v>8</v>
      </c>
      <c r="M896" t="s">
        <v>89</v>
      </c>
      <c r="N896">
        <v>0</v>
      </c>
      <c r="O896">
        <v>0</v>
      </c>
    </row>
    <row r="897" spans="1:15" x14ac:dyDescent="0.3">
      <c r="A897">
        <v>992</v>
      </c>
      <c r="B897" s="34">
        <v>39303</v>
      </c>
      <c r="C897">
        <v>1.3794</v>
      </c>
      <c r="D897">
        <v>-5</v>
      </c>
      <c r="F897">
        <v>0.34009999999999702</v>
      </c>
      <c r="G897">
        <v>0</v>
      </c>
      <c r="H897">
        <v>1</v>
      </c>
      <c r="I897">
        <v>0.546875</v>
      </c>
      <c r="J897">
        <v>2007</v>
      </c>
      <c r="K897">
        <v>8</v>
      </c>
      <c r="L897">
        <v>9</v>
      </c>
      <c r="M897" t="s">
        <v>90</v>
      </c>
      <c r="N897">
        <v>0</v>
      </c>
      <c r="O897">
        <v>0</v>
      </c>
    </row>
    <row r="898" spans="1:15" x14ac:dyDescent="0.3">
      <c r="A898">
        <v>993</v>
      </c>
      <c r="B898" s="34">
        <v>39304</v>
      </c>
      <c r="C898">
        <v>1.3676999999999999</v>
      </c>
      <c r="D898">
        <v>0</v>
      </c>
      <c r="F898">
        <v>0.34009999999999702</v>
      </c>
      <c r="G898">
        <v>0</v>
      </c>
      <c r="H898">
        <v>1</v>
      </c>
      <c r="I898">
        <v>0.54733129999999997</v>
      </c>
      <c r="J898">
        <v>2007</v>
      </c>
      <c r="K898">
        <v>8</v>
      </c>
      <c r="L898">
        <v>10</v>
      </c>
      <c r="M898" t="s">
        <v>91</v>
      </c>
      <c r="N898">
        <v>0</v>
      </c>
      <c r="O898">
        <v>0</v>
      </c>
    </row>
    <row r="899" spans="1:15" x14ac:dyDescent="0.3">
      <c r="A899">
        <v>994</v>
      </c>
      <c r="B899" s="34">
        <v>39307</v>
      </c>
      <c r="C899">
        <v>1.3693</v>
      </c>
      <c r="D899">
        <v>0</v>
      </c>
      <c r="F899">
        <v>0.34009999999999702</v>
      </c>
      <c r="G899">
        <v>0</v>
      </c>
      <c r="H899">
        <v>1</v>
      </c>
      <c r="I899">
        <v>0.54778669999999996</v>
      </c>
      <c r="J899">
        <v>2007</v>
      </c>
      <c r="K899">
        <v>8</v>
      </c>
      <c r="L899">
        <v>13</v>
      </c>
      <c r="M899" t="s">
        <v>92</v>
      </c>
      <c r="N899">
        <v>0</v>
      </c>
      <c r="O899">
        <v>0</v>
      </c>
    </row>
    <row r="900" spans="1:15" x14ac:dyDescent="0.3">
      <c r="A900">
        <v>995</v>
      </c>
      <c r="B900" s="34">
        <v>39308</v>
      </c>
      <c r="C900">
        <v>1.3607</v>
      </c>
      <c r="D900">
        <v>1</v>
      </c>
      <c r="E900" t="s">
        <v>302</v>
      </c>
      <c r="F900">
        <v>0.33289999999999698</v>
      </c>
      <c r="G900">
        <v>2.1170244045869202</v>
      </c>
      <c r="H900">
        <v>0</v>
      </c>
      <c r="I900">
        <v>0.54723619999999995</v>
      </c>
      <c r="J900">
        <v>2007</v>
      </c>
      <c r="K900">
        <v>8</v>
      </c>
      <c r="L900">
        <v>14</v>
      </c>
      <c r="M900" t="s">
        <v>93</v>
      </c>
      <c r="N900">
        <v>0</v>
      </c>
      <c r="O900">
        <v>0</v>
      </c>
    </row>
    <row r="901" spans="1:15" x14ac:dyDescent="0.3">
      <c r="A901">
        <v>996</v>
      </c>
      <c r="B901" s="34">
        <v>39309</v>
      </c>
      <c r="C901">
        <v>1.3534999999999999</v>
      </c>
      <c r="D901">
        <v>0</v>
      </c>
      <c r="F901">
        <v>0.33289999999999698</v>
      </c>
      <c r="G901">
        <v>2.1170244045869202</v>
      </c>
      <c r="H901">
        <v>0</v>
      </c>
      <c r="I901">
        <v>0.54668680000000003</v>
      </c>
      <c r="J901">
        <v>2007</v>
      </c>
      <c r="K901">
        <v>8</v>
      </c>
      <c r="L901">
        <v>15</v>
      </c>
      <c r="M901" t="s">
        <v>89</v>
      </c>
      <c r="N901">
        <v>0</v>
      </c>
      <c r="O901">
        <v>0</v>
      </c>
    </row>
    <row r="902" spans="1:15" x14ac:dyDescent="0.3">
      <c r="A902">
        <v>997</v>
      </c>
      <c r="B902" s="34">
        <v>39310</v>
      </c>
      <c r="C902">
        <v>1.3423</v>
      </c>
      <c r="D902">
        <v>0</v>
      </c>
      <c r="F902">
        <v>0.33289999999999698</v>
      </c>
      <c r="G902">
        <v>2.1170244045869202</v>
      </c>
      <c r="H902">
        <v>0</v>
      </c>
      <c r="I902">
        <v>0.54613840000000002</v>
      </c>
      <c r="J902">
        <v>2007</v>
      </c>
      <c r="K902">
        <v>8</v>
      </c>
      <c r="L902">
        <v>16</v>
      </c>
      <c r="M902" t="s">
        <v>90</v>
      </c>
      <c r="N902">
        <v>0</v>
      </c>
      <c r="O902">
        <v>0</v>
      </c>
    </row>
    <row r="903" spans="1:15" x14ac:dyDescent="0.3">
      <c r="A903">
        <v>998</v>
      </c>
      <c r="B903" s="34">
        <v>39311</v>
      </c>
      <c r="C903">
        <v>1.3427</v>
      </c>
      <c r="D903">
        <v>0</v>
      </c>
      <c r="F903">
        <v>0.33289999999999698</v>
      </c>
      <c r="G903">
        <v>2.1170244045869202</v>
      </c>
      <c r="H903">
        <v>1</v>
      </c>
      <c r="I903">
        <v>0.5465932</v>
      </c>
      <c r="J903">
        <v>2007</v>
      </c>
      <c r="K903">
        <v>8</v>
      </c>
      <c r="L903">
        <v>17</v>
      </c>
      <c r="M903" t="s">
        <v>91</v>
      </c>
      <c r="N903">
        <v>0</v>
      </c>
      <c r="O903">
        <v>0</v>
      </c>
    </row>
    <row r="904" spans="1:15" x14ac:dyDescent="0.3">
      <c r="A904">
        <v>999</v>
      </c>
      <c r="B904" s="34">
        <v>39314</v>
      </c>
      <c r="C904">
        <v>1.3473999999999999</v>
      </c>
      <c r="D904">
        <v>-8</v>
      </c>
      <c r="F904">
        <v>0.33279999999999699</v>
      </c>
      <c r="G904">
        <v>2.1464275213172899</v>
      </c>
      <c r="H904">
        <v>1</v>
      </c>
      <c r="I904">
        <v>0.54704699999999995</v>
      </c>
      <c r="J904">
        <v>2007</v>
      </c>
      <c r="K904">
        <v>8</v>
      </c>
      <c r="L904">
        <v>20</v>
      </c>
      <c r="M904" t="s">
        <v>92</v>
      </c>
      <c r="N904">
        <v>0</v>
      </c>
      <c r="O904">
        <v>0</v>
      </c>
    </row>
    <row r="905" spans="1:15" x14ac:dyDescent="0.3">
      <c r="A905">
        <v>1000</v>
      </c>
      <c r="B905" s="34">
        <v>39315</v>
      </c>
      <c r="C905">
        <v>1.3474999999999999</v>
      </c>
      <c r="D905">
        <v>-2</v>
      </c>
      <c r="F905">
        <v>0.33409999999999701</v>
      </c>
      <c r="G905">
        <v>1.7641870038224801</v>
      </c>
      <c r="H905">
        <v>0</v>
      </c>
      <c r="I905">
        <v>0.54649999999999999</v>
      </c>
      <c r="J905">
        <v>2007</v>
      </c>
      <c r="K905">
        <v>8</v>
      </c>
      <c r="L905">
        <v>21</v>
      </c>
      <c r="M905" t="s">
        <v>93</v>
      </c>
      <c r="N905">
        <v>0</v>
      </c>
      <c r="O905">
        <v>0</v>
      </c>
    </row>
    <row r="906" spans="1:15" x14ac:dyDescent="0.3">
      <c r="A906">
        <v>1001</v>
      </c>
      <c r="B906" s="34">
        <v>39316</v>
      </c>
      <c r="C906">
        <v>1.3462000000000001</v>
      </c>
      <c r="D906">
        <v>0</v>
      </c>
      <c r="F906">
        <v>0.33409999999999701</v>
      </c>
      <c r="G906">
        <v>1.7641870038224801</v>
      </c>
      <c r="H906">
        <v>1</v>
      </c>
      <c r="I906">
        <v>0.54695300000000002</v>
      </c>
      <c r="J906">
        <v>2007</v>
      </c>
      <c r="K906">
        <v>8</v>
      </c>
      <c r="L906">
        <v>22</v>
      </c>
      <c r="M906" t="s">
        <v>89</v>
      </c>
      <c r="N906">
        <v>0</v>
      </c>
      <c r="O906">
        <v>0</v>
      </c>
    </row>
    <row r="907" spans="1:15" x14ac:dyDescent="0.3">
      <c r="A907">
        <v>1002</v>
      </c>
      <c r="B907" s="34">
        <v>39317</v>
      </c>
      <c r="C907">
        <v>1.3549</v>
      </c>
      <c r="D907">
        <v>-7</v>
      </c>
      <c r="F907">
        <v>0.33229999999999699</v>
      </c>
      <c r="G907">
        <v>2.2934431049692101</v>
      </c>
      <c r="H907">
        <v>1</v>
      </c>
      <c r="I907">
        <v>0.54740520000000004</v>
      </c>
      <c r="J907">
        <v>2007</v>
      </c>
      <c r="K907">
        <v>8</v>
      </c>
      <c r="L907">
        <v>23</v>
      </c>
      <c r="M907" t="s">
        <v>90</v>
      </c>
      <c r="N907">
        <v>0</v>
      </c>
      <c r="O907">
        <v>0</v>
      </c>
    </row>
    <row r="908" spans="1:15" x14ac:dyDescent="0.3">
      <c r="A908">
        <v>1003</v>
      </c>
      <c r="B908" s="34">
        <v>39318</v>
      </c>
      <c r="C908">
        <v>1.3567</v>
      </c>
      <c r="D908">
        <v>-1</v>
      </c>
      <c r="F908">
        <v>0.32149999999999701</v>
      </c>
      <c r="G908">
        <v>5.4689797118495402</v>
      </c>
      <c r="H908">
        <v>0</v>
      </c>
      <c r="I908">
        <v>0.5468594</v>
      </c>
      <c r="J908">
        <v>2007</v>
      </c>
      <c r="K908">
        <v>8</v>
      </c>
      <c r="L908">
        <v>24</v>
      </c>
      <c r="M908" t="s">
        <v>91</v>
      </c>
      <c r="N908">
        <v>0</v>
      </c>
      <c r="O908">
        <v>0</v>
      </c>
    </row>
    <row r="909" spans="1:15" x14ac:dyDescent="0.3">
      <c r="A909">
        <v>1004</v>
      </c>
      <c r="B909" s="34">
        <v>39321</v>
      </c>
      <c r="C909">
        <v>1.3674999999999999</v>
      </c>
      <c r="D909">
        <v>0</v>
      </c>
      <c r="F909">
        <v>0.32149999999999701</v>
      </c>
      <c r="G909">
        <v>5.4689797118495402</v>
      </c>
      <c r="H909">
        <v>0</v>
      </c>
      <c r="I909">
        <v>0.54631470000000004</v>
      </c>
      <c r="J909">
        <v>2007</v>
      </c>
      <c r="K909">
        <v>8</v>
      </c>
      <c r="L909">
        <v>27</v>
      </c>
      <c r="M909" t="s">
        <v>92</v>
      </c>
      <c r="N909">
        <v>0</v>
      </c>
      <c r="O909">
        <v>0</v>
      </c>
    </row>
    <row r="910" spans="1:15" x14ac:dyDescent="0.3">
      <c r="A910">
        <v>1005</v>
      </c>
      <c r="B910" s="34">
        <v>39322</v>
      </c>
      <c r="C910">
        <v>1.3638999999999999</v>
      </c>
      <c r="D910">
        <v>0</v>
      </c>
      <c r="F910">
        <v>0.32149999999999701</v>
      </c>
      <c r="G910">
        <v>5.4689797118495402</v>
      </c>
      <c r="H910">
        <v>1</v>
      </c>
      <c r="I910">
        <v>0.54676619999999998</v>
      </c>
      <c r="J910">
        <v>2007</v>
      </c>
      <c r="K910">
        <v>8</v>
      </c>
      <c r="L910">
        <v>28</v>
      </c>
      <c r="M910" t="s">
        <v>93</v>
      </c>
      <c r="N910">
        <v>0</v>
      </c>
      <c r="O910">
        <v>0</v>
      </c>
    </row>
    <row r="911" spans="1:15" x14ac:dyDescent="0.3">
      <c r="A911">
        <v>1006</v>
      </c>
      <c r="B911" s="34">
        <v>39323</v>
      </c>
      <c r="C911">
        <v>1.36</v>
      </c>
      <c r="D911">
        <v>6</v>
      </c>
      <c r="E911" t="s">
        <v>303</v>
      </c>
      <c r="F911">
        <v>0.32889999999999697</v>
      </c>
      <c r="G911">
        <v>3.29314907380193</v>
      </c>
      <c r="H911">
        <v>1</v>
      </c>
      <c r="I911">
        <v>0.5472167</v>
      </c>
      <c r="J911">
        <v>2007</v>
      </c>
      <c r="K911">
        <v>8</v>
      </c>
      <c r="L911">
        <v>29</v>
      </c>
      <c r="M911" t="s">
        <v>89</v>
      </c>
      <c r="N911">
        <v>0</v>
      </c>
      <c r="O911">
        <v>0</v>
      </c>
    </row>
    <row r="912" spans="1:15" x14ac:dyDescent="0.3">
      <c r="A912">
        <v>1007</v>
      </c>
      <c r="B912" s="34">
        <v>39324</v>
      </c>
      <c r="C912">
        <v>1.3673999999999999</v>
      </c>
      <c r="D912">
        <v>-5</v>
      </c>
      <c r="F912">
        <v>0.333199999999997</v>
      </c>
      <c r="G912">
        <v>2.0288150543958801</v>
      </c>
      <c r="H912">
        <v>1</v>
      </c>
      <c r="I912">
        <v>0.54766630000000005</v>
      </c>
      <c r="J912">
        <v>2007</v>
      </c>
      <c r="K912">
        <v>8</v>
      </c>
      <c r="L912">
        <v>30</v>
      </c>
      <c r="M912" t="s">
        <v>90</v>
      </c>
      <c r="N912">
        <v>0</v>
      </c>
      <c r="O912">
        <v>0</v>
      </c>
    </row>
    <row r="913" spans="1:15" x14ac:dyDescent="0.3">
      <c r="A913">
        <v>1008</v>
      </c>
      <c r="B913" s="34">
        <v>39325</v>
      </c>
      <c r="C913">
        <v>1.3631</v>
      </c>
      <c r="D913">
        <v>0</v>
      </c>
      <c r="F913">
        <v>0.333199999999997</v>
      </c>
      <c r="G913">
        <v>2.0288150543958801</v>
      </c>
      <c r="H913">
        <v>1</v>
      </c>
      <c r="I913">
        <v>0.54811509999999997</v>
      </c>
      <c r="J913">
        <v>2007</v>
      </c>
      <c r="K913">
        <v>8</v>
      </c>
      <c r="L913">
        <v>31</v>
      </c>
      <c r="M913" t="s">
        <v>91</v>
      </c>
      <c r="N913">
        <v>0</v>
      </c>
      <c r="O913">
        <v>0</v>
      </c>
    </row>
    <row r="914" spans="1:15" x14ac:dyDescent="0.3">
      <c r="A914">
        <v>1009</v>
      </c>
      <c r="B914" s="34">
        <v>39328</v>
      </c>
      <c r="C914">
        <v>1.3628</v>
      </c>
      <c r="D914">
        <v>7</v>
      </c>
      <c r="E914" t="s">
        <v>304</v>
      </c>
      <c r="F914">
        <v>0.33259999999999701</v>
      </c>
      <c r="G914">
        <v>2.2052337547780998</v>
      </c>
      <c r="H914">
        <v>1</v>
      </c>
      <c r="I914">
        <v>0.54856289999999996</v>
      </c>
      <c r="J914">
        <v>2007</v>
      </c>
      <c r="K914">
        <v>9</v>
      </c>
      <c r="L914">
        <v>3</v>
      </c>
      <c r="M914" t="s">
        <v>92</v>
      </c>
      <c r="N914">
        <v>0</v>
      </c>
      <c r="O914">
        <v>0</v>
      </c>
    </row>
    <row r="915" spans="1:15" x14ac:dyDescent="0.3">
      <c r="A915">
        <v>1010</v>
      </c>
      <c r="B915" s="34">
        <v>39329</v>
      </c>
      <c r="C915">
        <v>1.3622000000000001</v>
      </c>
      <c r="D915">
        <v>9</v>
      </c>
      <c r="E915" t="s">
        <v>305</v>
      </c>
      <c r="F915">
        <v>0.331199999999997</v>
      </c>
      <c r="G915">
        <v>2.6168773890033501</v>
      </c>
      <c r="H915">
        <v>1</v>
      </c>
      <c r="I915">
        <v>0.54900990000000005</v>
      </c>
      <c r="J915">
        <v>2007</v>
      </c>
      <c r="K915">
        <v>9</v>
      </c>
      <c r="L915">
        <v>4</v>
      </c>
      <c r="M915" t="s">
        <v>93</v>
      </c>
      <c r="N915">
        <v>0</v>
      </c>
      <c r="O915">
        <v>0</v>
      </c>
    </row>
    <row r="916" spans="1:15" x14ac:dyDescent="0.3">
      <c r="A916">
        <v>1011</v>
      </c>
      <c r="B916" s="34">
        <v>39330</v>
      </c>
      <c r="C916">
        <v>1.3608</v>
      </c>
      <c r="D916">
        <v>4</v>
      </c>
      <c r="E916" t="s">
        <v>306</v>
      </c>
      <c r="F916">
        <v>0.33529999999999699</v>
      </c>
      <c r="G916">
        <v>1.4113496030580299</v>
      </c>
      <c r="H916">
        <v>0</v>
      </c>
      <c r="I916">
        <v>0.54846689999999998</v>
      </c>
      <c r="J916">
        <v>2007</v>
      </c>
      <c r="K916">
        <v>9</v>
      </c>
      <c r="L916">
        <v>5</v>
      </c>
      <c r="M916" t="s">
        <v>89</v>
      </c>
      <c r="N916">
        <v>0</v>
      </c>
      <c r="O916">
        <v>0</v>
      </c>
    </row>
    <row r="917" spans="1:15" x14ac:dyDescent="0.3">
      <c r="A917">
        <v>1012</v>
      </c>
      <c r="B917" s="34">
        <v>39331</v>
      </c>
      <c r="C917">
        <v>1.3649</v>
      </c>
      <c r="D917">
        <v>0</v>
      </c>
      <c r="F917">
        <v>0.33529999999999699</v>
      </c>
      <c r="G917">
        <v>1.4113496030580299</v>
      </c>
      <c r="H917">
        <v>1</v>
      </c>
      <c r="I917">
        <v>0.54891310000000004</v>
      </c>
      <c r="J917">
        <v>2007</v>
      </c>
      <c r="K917">
        <v>9</v>
      </c>
      <c r="L917">
        <v>6</v>
      </c>
      <c r="M917" t="s">
        <v>90</v>
      </c>
      <c r="N917">
        <v>0</v>
      </c>
      <c r="O917">
        <v>0</v>
      </c>
    </row>
    <row r="918" spans="1:15" x14ac:dyDescent="0.3">
      <c r="A918">
        <v>1013</v>
      </c>
      <c r="B918" s="34">
        <v>39332</v>
      </c>
      <c r="C918">
        <v>1.3689</v>
      </c>
      <c r="D918">
        <v>0</v>
      </c>
      <c r="F918">
        <v>0.33529999999999699</v>
      </c>
      <c r="G918">
        <v>1.4113496030580299</v>
      </c>
      <c r="H918">
        <v>0</v>
      </c>
      <c r="I918">
        <v>0.54837119999999995</v>
      </c>
      <c r="J918">
        <v>2007</v>
      </c>
      <c r="K918">
        <v>9</v>
      </c>
      <c r="L918">
        <v>7</v>
      </c>
      <c r="M918" t="s">
        <v>91</v>
      </c>
      <c r="N918">
        <v>0</v>
      </c>
      <c r="O918">
        <v>0</v>
      </c>
    </row>
    <row r="919" spans="1:15" x14ac:dyDescent="0.3">
      <c r="A919">
        <v>1014</v>
      </c>
      <c r="B919" s="34">
        <v>39335</v>
      </c>
      <c r="C919">
        <v>1.3767</v>
      </c>
      <c r="D919">
        <v>0</v>
      </c>
      <c r="F919">
        <v>0.33529999999999699</v>
      </c>
      <c r="G919">
        <v>1.4113496030580299</v>
      </c>
      <c r="H919">
        <v>0</v>
      </c>
      <c r="I919">
        <v>0.54783040000000005</v>
      </c>
      <c r="J919">
        <v>2007</v>
      </c>
      <c r="K919">
        <v>9</v>
      </c>
      <c r="L919">
        <v>10</v>
      </c>
      <c r="M919" t="s">
        <v>92</v>
      </c>
      <c r="N919">
        <v>0</v>
      </c>
      <c r="O919">
        <v>0</v>
      </c>
    </row>
    <row r="920" spans="1:15" x14ac:dyDescent="0.3">
      <c r="A920">
        <v>1015</v>
      </c>
      <c r="B920" s="34">
        <v>39336</v>
      </c>
      <c r="C920">
        <v>1.3805000000000001</v>
      </c>
      <c r="D920">
        <v>0</v>
      </c>
      <c r="F920">
        <v>0.33529999999999699</v>
      </c>
      <c r="G920">
        <v>1.4113496030580299</v>
      </c>
      <c r="H920">
        <v>0</v>
      </c>
      <c r="I920">
        <v>0.54729059999999996</v>
      </c>
      <c r="J920">
        <v>2007</v>
      </c>
      <c r="K920">
        <v>9</v>
      </c>
      <c r="L920">
        <v>11</v>
      </c>
      <c r="M920" t="s">
        <v>93</v>
      </c>
      <c r="N920">
        <v>0</v>
      </c>
      <c r="O920">
        <v>0</v>
      </c>
    </row>
    <row r="921" spans="1:15" x14ac:dyDescent="0.3">
      <c r="A921">
        <v>1016</v>
      </c>
      <c r="B921" s="34">
        <v>39337</v>
      </c>
      <c r="C921">
        <v>1.3837999999999999</v>
      </c>
      <c r="D921">
        <v>0</v>
      </c>
      <c r="F921">
        <v>0.33529999999999699</v>
      </c>
      <c r="G921">
        <v>1.4113496030580299</v>
      </c>
      <c r="H921">
        <v>0</v>
      </c>
      <c r="I921">
        <v>0.54675200000000002</v>
      </c>
      <c r="J921">
        <v>2007</v>
      </c>
      <c r="K921">
        <v>9</v>
      </c>
      <c r="L921">
        <v>12</v>
      </c>
      <c r="M921" t="s">
        <v>89</v>
      </c>
      <c r="N921">
        <v>0</v>
      </c>
      <c r="O921">
        <v>0</v>
      </c>
    </row>
    <row r="922" spans="1:15" x14ac:dyDescent="0.3">
      <c r="A922">
        <v>1017</v>
      </c>
      <c r="B922" s="34">
        <v>39338</v>
      </c>
      <c r="C922">
        <v>1.3905000000000001</v>
      </c>
      <c r="D922">
        <v>-2</v>
      </c>
      <c r="F922">
        <v>0.33929999999999699</v>
      </c>
      <c r="G922">
        <v>0.23522493384309301</v>
      </c>
      <c r="H922">
        <v>0</v>
      </c>
      <c r="I922">
        <v>0.54621430000000004</v>
      </c>
      <c r="J922">
        <v>2007</v>
      </c>
      <c r="K922">
        <v>9</v>
      </c>
      <c r="L922">
        <v>13</v>
      </c>
      <c r="M922" t="s">
        <v>90</v>
      </c>
      <c r="N922">
        <v>0</v>
      </c>
      <c r="O922">
        <v>0</v>
      </c>
    </row>
    <row r="923" spans="1:15" x14ac:dyDescent="0.3">
      <c r="A923">
        <v>1018</v>
      </c>
      <c r="B923" s="34">
        <v>39339</v>
      </c>
      <c r="C923">
        <v>1.3865000000000001</v>
      </c>
      <c r="D923">
        <v>1</v>
      </c>
      <c r="E923" t="s">
        <v>307</v>
      </c>
      <c r="F923">
        <v>0.340199999999997</v>
      </c>
      <c r="G923">
        <v>0</v>
      </c>
      <c r="H923">
        <v>1</v>
      </c>
      <c r="I923">
        <v>0.54666009999999998</v>
      </c>
      <c r="J923">
        <v>2007</v>
      </c>
      <c r="K923">
        <v>9</v>
      </c>
      <c r="L923">
        <v>14</v>
      </c>
      <c r="M923" t="s">
        <v>91</v>
      </c>
      <c r="N923">
        <v>0</v>
      </c>
      <c r="O923">
        <v>0</v>
      </c>
    </row>
    <row r="924" spans="1:15" x14ac:dyDescent="0.3">
      <c r="A924">
        <v>1019</v>
      </c>
      <c r="B924" s="34">
        <v>39342</v>
      </c>
      <c r="C924">
        <v>1.3874</v>
      </c>
      <c r="D924">
        <v>-2</v>
      </c>
      <c r="F924">
        <v>0.341799999999997</v>
      </c>
      <c r="G924">
        <v>0</v>
      </c>
      <c r="H924">
        <v>0</v>
      </c>
      <c r="I924">
        <v>0.54612360000000004</v>
      </c>
      <c r="J924">
        <v>2007</v>
      </c>
      <c r="K924">
        <v>9</v>
      </c>
      <c r="L924">
        <v>17</v>
      </c>
      <c r="M924" t="s">
        <v>92</v>
      </c>
      <c r="N924">
        <v>0</v>
      </c>
      <c r="O924">
        <v>0</v>
      </c>
    </row>
    <row r="925" spans="1:15" x14ac:dyDescent="0.3">
      <c r="A925">
        <v>1020</v>
      </c>
      <c r="B925" s="34">
        <v>39343</v>
      </c>
      <c r="C925">
        <v>1.3857999999999999</v>
      </c>
      <c r="D925">
        <v>0</v>
      </c>
      <c r="F925">
        <v>0.341799999999997</v>
      </c>
      <c r="G925">
        <v>0</v>
      </c>
      <c r="H925">
        <v>1</v>
      </c>
      <c r="I925">
        <v>0.54656859999999996</v>
      </c>
      <c r="J925">
        <v>2007</v>
      </c>
      <c r="K925">
        <v>9</v>
      </c>
      <c r="L925">
        <v>18</v>
      </c>
      <c r="M925" t="s">
        <v>93</v>
      </c>
      <c r="N925">
        <v>0</v>
      </c>
      <c r="O925">
        <v>0</v>
      </c>
    </row>
    <row r="926" spans="1:15" x14ac:dyDescent="0.3">
      <c r="A926">
        <v>1021</v>
      </c>
      <c r="B926" s="34">
        <v>39344</v>
      </c>
      <c r="C926">
        <v>1.3982000000000001</v>
      </c>
      <c r="D926">
        <v>-15</v>
      </c>
      <c r="F926">
        <v>0.34339999999999699</v>
      </c>
      <c r="G926">
        <v>0</v>
      </c>
      <c r="H926">
        <v>1</v>
      </c>
      <c r="I926">
        <v>0.54701270000000002</v>
      </c>
      <c r="J926">
        <v>2007</v>
      </c>
      <c r="K926">
        <v>9</v>
      </c>
      <c r="L926">
        <v>19</v>
      </c>
      <c r="M926" t="s">
        <v>89</v>
      </c>
      <c r="N926">
        <v>0</v>
      </c>
      <c r="O926">
        <v>0</v>
      </c>
    </row>
    <row r="927" spans="1:15" x14ac:dyDescent="0.3">
      <c r="A927">
        <v>1022</v>
      </c>
      <c r="B927" s="34">
        <v>39345</v>
      </c>
      <c r="C927">
        <v>1.3966000000000001</v>
      </c>
      <c r="D927">
        <v>0</v>
      </c>
      <c r="F927">
        <v>0.34339999999999699</v>
      </c>
      <c r="G927">
        <v>0</v>
      </c>
      <c r="H927">
        <v>1</v>
      </c>
      <c r="I927">
        <v>0.54745600000000005</v>
      </c>
      <c r="J927">
        <v>2007</v>
      </c>
      <c r="K927">
        <v>9</v>
      </c>
      <c r="L927">
        <v>20</v>
      </c>
      <c r="M927" t="s">
        <v>90</v>
      </c>
      <c r="N927">
        <v>0</v>
      </c>
      <c r="O927">
        <v>0</v>
      </c>
    </row>
    <row r="928" spans="1:15" x14ac:dyDescent="0.3">
      <c r="A928">
        <v>1023</v>
      </c>
      <c r="B928" s="34">
        <v>39346</v>
      </c>
      <c r="C928">
        <v>1.4068000000000001</v>
      </c>
      <c r="D928">
        <v>-1</v>
      </c>
      <c r="F928">
        <v>0.34119999999999701</v>
      </c>
      <c r="G928">
        <v>0.64065230052416799</v>
      </c>
      <c r="H928">
        <v>0</v>
      </c>
      <c r="I928">
        <v>0.54692079999999998</v>
      </c>
      <c r="J928">
        <v>2007</v>
      </c>
      <c r="K928">
        <v>9</v>
      </c>
      <c r="L928">
        <v>21</v>
      </c>
      <c r="M928" t="s">
        <v>91</v>
      </c>
      <c r="N928">
        <v>0</v>
      </c>
      <c r="O928">
        <v>0</v>
      </c>
    </row>
    <row r="929" spans="1:15" x14ac:dyDescent="0.3">
      <c r="A929">
        <v>1024</v>
      </c>
      <c r="B929" s="34">
        <v>39349</v>
      </c>
      <c r="C929">
        <v>1.409</v>
      </c>
      <c r="D929">
        <v>0</v>
      </c>
      <c r="F929">
        <v>0.34119999999999701</v>
      </c>
      <c r="G929">
        <v>0.64065230052416799</v>
      </c>
      <c r="H929">
        <v>0</v>
      </c>
      <c r="I929">
        <v>0.5463867</v>
      </c>
      <c r="J929">
        <v>2007</v>
      </c>
      <c r="K929">
        <v>9</v>
      </c>
      <c r="L929">
        <v>24</v>
      </c>
      <c r="M929" t="s">
        <v>92</v>
      </c>
      <c r="N929">
        <v>0</v>
      </c>
      <c r="O929">
        <v>0</v>
      </c>
    </row>
    <row r="930" spans="1:15" x14ac:dyDescent="0.3">
      <c r="A930">
        <v>1025</v>
      </c>
      <c r="B930" s="34">
        <v>39350</v>
      </c>
      <c r="C930">
        <v>1.4077999999999999</v>
      </c>
      <c r="D930">
        <v>0</v>
      </c>
      <c r="F930">
        <v>0.34119999999999701</v>
      </c>
      <c r="G930">
        <v>0.64065230052416799</v>
      </c>
      <c r="H930">
        <v>1</v>
      </c>
      <c r="I930">
        <v>0.54682929999999996</v>
      </c>
      <c r="J930">
        <v>2007</v>
      </c>
      <c r="K930">
        <v>9</v>
      </c>
      <c r="L930">
        <v>25</v>
      </c>
      <c r="M930" t="s">
        <v>93</v>
      </c>
      <c r="N930">
        <v>0</v>
      </c>
      <c r="O930">
        <v>0</v>
      </c>
    </row>
    <row r="931" spans="1:15" x14ac:dyDescent="0.3">
      <c r="A931">
        <v>1026</v>
      </c>
      <c r="B931" s="34">
        <v>39351</v>
      </c>
      <c r="C931">
        <v>1.4147000000000001</v>
      </c>
      <c r="D931">
        <v>-10</v>
      </c>
      <c r="F931">
        <v>0.342799999999997</v>
      </c>
      <c r="G931">
        <v>0.17472335468839201</v>
      </c>
      <c r="H931">
        <v>0</v>
      </c>
      <c r="I931">
        <v>0.54629629999999996</v>
      </c>
      <c r="J931">
        <v>2007</v>
      </c>
      <c r="K931">
        <v>9</v>
      </c>
      <c r="L931">
        <v>26</v>
      </c>
      <c r="M931" t="s">
        <v>89</v>
      </c>
      <c r="N931">
        <v>0</v>
      </c>
      <c r="O931">
        <v>0</v>
      </c>
    </row>
    <row r="932" spans="1:15" x14ac:dyDescent="0.3">
      <c r="A932">
        <v>1027</v>
      </c>
      <c r="B932" s="34">
        <v>39352</v>
      </c>
      <c r="C932">
        <v>1.4131</v>
      </c>
      <c r="D932">
        <v>0</v>
      </c>
      <c r="F932">
        <v>0.342799999999997</v>
      </c>
      <c r="G932">
        <v>0.17472335468839201</v>
      </c>
      <c r="H932">
        <v>1</v>
      </c>
      <c r="I932">
        <v>0.5467381</v>
      </c>
      <c r="J932">
        <v>2007</v>
      </c>
      <c r="K932">
        <v>9</v>
      </c>
      <c r="L932">
        <v>27</v>
      </c>
      <c r="M932" t="s">
        <v>90</v>
      </c>
      <c r="N932">
        <v>0</v>
      </c>
      <c r="O932">
        <v>0</v>
      </c>
    </row>
    <row r="933" spans="1:15" x14ac:dyDescent="0.3">
      <c r="A933">
        <v>1028</v>
      </c>
      <c r="B933" s="34">
        <v>39353</v>
      </c>
      <c r="C933">
        <v>1.4146000000000001</v>
      </c>
      <c r="D933">
        <v>-6</v>
      </c>
      <c r="F933">
        <v>0.33079999999999699</v>
      </c>
      <c r="G933">
        <v>3.6691904484566198</v>
      </c>
      <c r="H933">
        <v>0</v>
      </c>
      <c r="I933">
        <v>0.54620619999999998</v>
      </c>
      <c r="J933">
        <v>2007</v>
      </c>
      <c r="K933">
        <v>9</v>
      </c>
      <c r="L933">
        <v>28</v>
      </c>
      <c r="M933" t="s">
        <v>91</v>
      </c>
      <c r="N933">
        <v>0</v>
      </c>
      <c r="O933">
        <v>0</v>
      </c>
    </row>
    <row r="934" spans="1:15" x14ac:dyDescent="0.3">
      <c r="A934">
        <v>1029</v>
      </c>
      <c r="B934" s="34">
        <v>39356</v>
      </c>
      <c r="C934">
        <v>1.4266000000000001</v>
      </c>
      <c r="D934">
        <v>-1</v>
      </c>
      <c r="F934">
        <v>0.334199999999997</v>
      </c>
      <c r="G934">
        <v>2.6790914385555999</v>
      </c>
      <c r="H934">
        <v>0</v>
      </c>
      <c r="I934">
        <v>0.54567540000000003</v>
      </c>
      <c r="J934">
        <v>2007</v>
      </c>
      <c r="K934">
        <v>10</v>
      </c>
      <c r="L934">
        <v>1</v>
      </c>
      <c r="M934" t="s">
        <v>92</v>
      </c>
      <c r="N934">
        <v>0</v>
      </c>
      <c r="O934">
        <v>0</v>
      </c>
    </row>
    <row r="935" spans="1:15" x14ac:dyDescent="0.3">
      <c r="A935">
        <v>1030</v>
      </c>
      <c r="B935" s="34">
        <v>39357</v>
      </c>
      <c r="C935">
        <v>1.4232</v>
      </c>
      <c r="D935">
        <v>0</v>
      </c>
      <c r="F935">
        <v>0.334199999999997</v>
      </c>
      <c r="G935">
        <v>2.6790914385555999</v>
      </c>
      <c r="H935">
        <v>1</v>
      </c>
      <c r="I935">
        <v>0.5461165</v>
      </c>
      <c r="J935">
        <v>2007</v>
      </c>
      <c r="K935">
        <v>10</v>
      </c>
      <c r="L935">
        <v>2</v>
      </c>
      <c r="M935" t="s">
        <v>93</v>
      </c>
      <c r="N935">
        <v>0</v>
      </c>
      <c r="O935">
        <v>0</v>
      </c>
    </row>
    <row r="936" spans="1:15" x14ac:dyDescent="0.3">
      <c r="A936">
        <v>1031</v>
      </c>
      <c r="B936" s="34">
        <v>39358</v>
      </c>
      <c r="C936">
        <v>1.4148000000000001</v>
      </c>
      <c r="D936">
        <v>1</v>
      </c>
      <c r="E936" t="s">
        <v>308</v>
      </c>
      <c r="F936">
        <v>0.32839999999999703</v>
      </c>
      <c r="G936">
        <v>4.3680838672102498</v>
      </c>
      <c r="H936">
        <v>1</v>
      </c>
      <c r="I936">
        <v>0.54655679999999995</v>
      </c>
      <c r="J936">
        <v>2007</v>
      </c>
      <c r="K936">
        <v>10</v>
      </c>
      <c r="L936">
        <v>3</v>
      </c>
      <c r="M936" t="s">
        <v>89</v>
      </c>
      <c r="N936">
        <v>0</v>
      </c>
      <c r="O936">
        <v>0</v>
      </c>
    </row>
    <row r="937" spans="1:15" x14ac:dyDescent="0.3">
      <c r="A937">
        <v>1032</v>
      </c>
      <c r="B937" s="34">
        <v>39359</v>
      </c>
      <c r="C937">
        <v>1.409</v>
      </c>
      <c r="D937">
        <v>2</v>
      </c>
      <c r="E937" t="s">
        <v>309</v>
      </c>
      <c r="F937">
        <v>0.33289999999999698</v>
      </c>
      <c r="G937">
        <v>3.0576587070471799</v>
      </c>
      <c r="H937">
        <v>0</v>
      </c>
      <c r="I937">
        <v>0.54602709999999999</v>
      </c>
      <c r="J937">
        <v>2007</v>
      </c>
      <c r="K937">
        <v>10</v>
      </c>
      <c r="L937">
        <v>4</v>
      </c>
      <c r="M937" t="s">
        <v>90</v>
      </c>
      <c r="N937">
        <v>0</v>
      </c>
      <c r="O937">
        <v>0</v>
      </c>
    </row>
    <row r="938" spans="1:15" x14ac:dyDescent="0.3">
      <c r="A938">
        <v>1033</v>
      </c>
      <c r="B938" s="34">
        <v>39360</v>
      </c>
      <c r="C938">
        <v>1.4135</v>
      </c>
      <c r="D938">
        <v>0</v>
      </c>
      <c r="F938">
        <v>0.33289999999999698</v>
      </c>
      <c r="G938">
        <v>3.0576587070471799</v>
      </c>
      <c r="H938">
        <v>1</v>
      </c>
      <c r="I938">
        <v>0.54646660000000002</v>
      </c>
      <c r="J938">
        <v>2007</v>
      </c>
      <c r="K938">
        <v>10</v>
      </c>
      <c r="L938">
        <v>5</v>
      </c>
      <c r="M938" t="s">
        <v>91</v>
      </c>
      <c r="N938">
        <v>0</v>
      </c>
      <c r="O938">
        <v>0</v>
      </c>
    </row>
    <row r="939" spans="1:15" x14ac:dyDescent="0.3">
      <c r="A939">
        <v>1034</v>
      </c>
      <c r="B939" s="34">
        <v>39363</v>
      </c>
      <c r="C939">
        <v>1.4134</v>
      </c>
      <c r="D939">
        <v>0</v>
      </c>
      <c r="F939">
        <v>0.33289999999999698</v>
      </c>
      <c r="G939">
        <v>3.0576587070471799</v>
      </c>
      <c r="H939">
        <v>0</v>
      </c>
      <c r="I939">
        <v>0.54593809999999998</v>
      </c>
      <c r="J939">
        <v>2007</v>
      </c>
      <c r="K939">
        <v>10</v>
      </c>
      <c r="L939">
        <v>8</v>
      </c>
      <c r="M939" t="s">
        <v>92</v>
      </c>
      <c r="N939">
        <v>0</v>
      </c>
      <c r="O939">
        <v>0</v>
      </c>
    </row>
    <row r="940" spans="1:15" x14ac:dyDescent="0.3">
      <c r="A940">
        <v>1035</v>
      </c>
      <c r="B940" s="34">
        <v>39364</v>
      </c>
      <c r="C940">
        <v>1.4054</v>
      </c>
      <c r="D940">
        <v>29</v>
      </c>
      <c r="E940" t="s">
        <v>310</v>
      </c>
      <c r="F940">
        <v>0.33789999999999698</v>
      </c>
      <c r="G940">
        <v>1.60163075131038</v>
      </c>
      <c r="H940">
        <v>0</v>
      </c>
      <c r="I940">
        <v>0.54541059999999997</v>
      </c>
      <c r="J940">
        <v>2007</v>
      </c>
      <c r="K940">
        <v>10</v>
      </c>
      <c r="L940">
        <v>9</v>
      </c>
      <c r="M940" t="s">
        <v>93</v>
      </c>
      <c r="N940">
        <v>0</v>
      </c>
      <c r="O940">
        <v>0</v>
      </c>
    </row>
    <row r="941" spans="1:15" x14ac:dyDescent="0.3">
      <c r="A941">
        <v>1036</v>
      </c>
      <c r="B941" s="34">
        <v>39365</v>
      </c>
      <c r="C941">
        <v>1.4104000000000001</v>
      </c>
      <c r="D941">
        <v>0</v>
      </c>
      <c r="F941">
        <v>0.33789999999999698</v>
      </c>
      <c r="G941">
        <v>1.60163075131038</v>
      </c>
      <c r="H941">
        <v>1</v>
      </c>
      <c r="I941">
        <v>0.54584940000000004</v>
      </c>
      <c r="J941">
        <v>2007</v>
      </c>
      <c r="K941">
        <v>10</v>
      </c>
      <c r="L941">
        <v>10</v>
      </c>
      <c r="M941" t="s">
        <v>89</v>
      </c>
      <c r="N941">
        <v>0</v>
      </c>
      <c r="O941">
        <v>0</v>
      </c>
    </row>
    <row r="942" spans="1:15" x14ac:dyDescent="0.3">
      <c r="A942">
        <v>1037</v>
      </c>
      <c r="B942" s="34">
        <v>39366</v>
      </c>
      <c r="C942">
        <v>1.4139999999999999</v>
      </c>
      <c r="D942">
        <v>-5</v>
      </c>
      <c r="F942">
        <v>0.33199999999999702</v>
      </c>
      <c r="G942">
        <v>3.3197437390797702</v>
      </c>
      <c r="H942">
        <v>0.5</v>
      </c>
      <c r="I942">
        <v>0.54580519999999999</v>
      </c>
      <c r="J942">
        <v>2007</v>
      </c>
      <c r="K942">
        <v>10</v>
      </c>
      <c r="L942">
        <v>11</v>
      </c>
      <c r="M942" t="s">
        <v>90</v>
      </c>
      <c r="N942">
        <v>0</v>
      </c>
      <c r="O942">
        <v>0</v>
      </c>
    </row>
    <row r="943" spans="1:15" x14ac:dyDescent="0.3">
      <c r="A943">
        <v>1038</v>
      </c>
      <c r="B943" s="34">
        <v>39367</v>
      </c>
      <c r="C943">
        <v>1.4198999999999999</v>
      </c>
      <c r="D943">
        <v>-1</v>
      </c>
      <c r="F943">
        <v>0.334199999999997</v>
      </c>
      <c r="G943">
        <v>2.6790914385555999</v>
      </c>
      <c r="H943">
        <v>0</v>
      </c>
      <c r="I943">
        <v>0.54527939999999997</v>
      </c>
      <c r="J943">
        <v>2007</v>
      </c>
      <c r="K943">
        <v>10</v>
      </c>
      <c r="L943">
        <v>12</v>
      </c>
      <c r="M943" t="s">
        <v>91</v>
      </c>
      <c r="N943">
        <v>0</v>
      </c>
      <c r="O943">
        <v>0</v>
      </c>
    </row>
    <row r="944" spans="1:15" x14ac:dyDescent="0.3">
      <c r="A944">
        <v>1039</v>
      </c>
      <c r="B944" s="34">
        <v>39370</v>
      </c>
      <c r="C944">
        <v>1.4177</v>
      </c>
      <c r="D944">
        <v>0</v>
      </c>
      <c r="F944">
        <v>0.334199999999997</v>
      </c>
      <c r="G944">
        <v>2.6790914385555999</v>
      </c>
      <c r="H944">
        <v>1</v>
      </c>
      <c r="I944">
        <v>0.54571709999999995</v>
      </c>
      <c r="J944">
        <v>2007</v>
      </c>
      <c r="K944">
        <v>10</v>
      </c>
      <c r="L944">
        <v>15</v>
      </c>
      <c r="M944" t="s">
        <v>92</v>
      </c>
      <c r="N944">
        <v>0</v>
      </c>
      <c r="O944">
        <v>0</v>
      </c>
    </row>
    <row r="945" spans="1:15" x14ac:dyDescent="0.3">
      <c r="A945">
        <v>1040</v>
      </c>
      <c r="B945" s="34">
        <v>39371</v>
      </c>
      <c r="C945">
        <v>1.4212</v>
      </c>
      <c r="D945">
        <v>-4</v>
      </c>
      <c r="F945">
        <v>0.338199999999997</v>
      </c>
      <c r="G945">
        <v>1.5142690739661899</v>
      </c>
      <c r="H945">
        <v>0</v>
      </c>
      <c r="I945">
        <v>0.54519229999999996</v>
      </c>
      <c r="J945">
        <v>2007</v>
      </c>
      <c r="K945">
        <v>10</v>
      </c>
      <c r="L945">
        <v>16</v>
      </c>
      <c r="M945" t="s">
        <v>93</v>
      </c>
      <c r="N945">
        <v>0</v>
      </c>
      <c r="O945">
        <v>0</v>
      </c>
    </row>
    <row r="946" spans="1:15" x14ac:dyDescent="0.3">
      <c r="A946">
        <v>1041</v>
      </c>
      <c r="B946" s="34">
        <v>39372</v>
      </c>
      <c r="C946">
        <v>1.4172</v>
      </c>
      <c r="D946">
        <v>0</v>
      </c>
      <c r="F946">
        <v>0.338199999999997</v>
      </c>
      <c r="G946">
        <v>1.5142690739661899</v>
      </c>
      <c r="H946">
        <v>1</v>
      </c>
      <c r="I946">
        <v>0.54562920000000004</v>
      </c>
      <c r="J946">
        <v>2007</v>
      </c>
      <c r="K946">
        <v>10</v>
      </c>
      <c r="L946">
        <v>17</v>
      </c>
      <c r="M946" t="s">
        <v>89</v>
      </c>
      <c r="N946">
        <v>0</v>
      </c>
      <c r="O946">
        <v>0</v>
      </c>
    </row>
    <row r="947" spans="1:15" x14ac:dyDescent="0.3">
      <c r="A947">
        <v>1042</v>
      </c>
      <c r="B947" s="34">
        <v>39373</v>
      </c>
      <c r="C947">
        <v>1.4215</v>
      </c>
      <c r="D947">
        <v>-4</v>
      </c>
      <c r="F947">
        <v>0.331199999999997</v>
      </c>
      <c r="G947">
        <v>3.55270821199769</v>
      </c>
      <c r="H947">
        <v>1</v>
      </c>
      <c r="I947">
        <v>0.54606529999999998</v>
      </c>
      <c r="J947">
        <v>2007</v>
      </c>
      <c r="K947">
        <v>10</v>
      </c>
      <c r="L947">
        <v>18</v>
      </c>
      <c r="M947" t="s">
        <v>90</v>
      </c>
      <c r="N947">
        <v>0</v>
      </c>
      <c r="O947">
        <v>0</v>
      </c>
    </row>
    <row r="948" spans="1:15" x14ac:dyDescent="0.3">
      <c r="A948">
        <v>1043</v>
      </c>
      <c r="B948" s="34">
        <v>39374</v>
      </c>
      <c r="C948">
        <v>1.4285000000000001</v>
      </c>
      <c r="D948">
        <v>0</v>
      </c>
      <c r="F948">
        <v>0.331199999999997</v>
      </c>
      <c r="G948">
        <v>3.55270821199769</v>
      </c>
      <c r="H948">
        <v>0</v>
      </c>
      <c r="I948">
        <v>0.54554170000000002</v>
      </c>
      <c r="J948">
        <v>2007</v>
      </c>
      <c r="K948">
        <v>10</v>
      </c>
      <c r="L948">
        <v>19</v>
      </c>
      <c r="M948" t="s">
        <v>91</v>
      </c>
      <c r="N948">
        <v>0</v>
      </c>
      <c r="O948">
        <v>0</v>
      </c>
    </row>
    <row r="949" spans="1:15" x14ac:dyDescent="0.3">
      <c r="A949">
        <v>1044</v>
      </c>
      <c r="B949" s="34">
        <v>39377</v>
      </c>
      <c r="C949">
        <v>1.43</v>
      </c>
      <c r="D949">
        <v>0</v>
      </c>
      <c r="F949">
        <v>0.331199999999997</v>
      </c>
      <c r="G949">
        <v>3.55270821199769</v>
      </c>
      <c r="H949">
        <v>0</v>
      </c>
      <c r="I949">
        <v>0.54501909999999998</v>
      </c>
      <c r="J949">
        <v>2007</v>
      </c>
      <c r="K949">
        <v>10</v>
      </c>
      <c r="L949">
        <v>22</v>
      </c>
      <c r="M949" t="s">
        <v>92</v>
      </c>
      <c r="N949">
        <v>0</v>
      </c>
      <c r="O949">
        <v>0</v>
      </c>
    </row>
    <row r="950" spans="1:15" x14ac:dyDescent="0.3">
      <c r="A950">
        <v>1045</v>
      </c>
      <c r="B950" s="34">
        <v>39378</v>
      </c>
      <c r="C950">
        <v>1.4174</v>
      </c>
      <c r="D950">
        <v>0</v>
      </c>
      <c r="F950">
        <v>0.331199999999997</v>
      </c>
      <c r="G950">
        <v>3.55270821199769</v>
      </c>
      <c r="H950">
        <v>1</v>
      </c>
      <c r="I950">
        <v>0.54545460000000001</v>
      </c>
      <c r="J950">
        <v>2007</v>
      </c>
      <c r="K950">
        <v>10</v>
      </c>
      <c r="L950">
        <v>23</v>
      </c>
      <c r="M950" t="s">
        <v>93</v>
      </c>
      <c r="N950">
        <v>0</v>
      </c>
      <c r="O950">
        <v>0</v>
      </c>
    </row>
    <row r="951" spans="1:15" x14ac:dyDescent="0.3">
      <c r="A951">
        <v>1046</v>
      </c>
      <c r="B951" s="34">
        <v>39379</v>
      </c>
      <c r="C951">
        <v>1.4263999999999999</v>
      </c>
      <c r="D951">
        <v>0</v>
      </c>
      <c r="F951">
        <v>0.331199999999997</v>
      </c>
      <c r="G951">
        <v>3.55270821199769</v>
      </c>
      <c r="H951">
        <v>1</v>
      </c>
      <c r="I951">
        <v>0.54588910000000002</v>
      </c>
      <c r="J951">
        <v>2007</v>
      </c>
      <c r="K951">
        <v>10</v>
      </c>
      <c r="L951">
        <v>24</v>
      </c>
      <c r="M951" t="s">
        <v>89</v>
      </c>
      <c r="N951">
        <v>0</v>
      </c>
      <c r="O951">
        <v>0</v>
      </c>
    </row>
    <row r="952" spans="1:15" x14ac:dyDescent="0.3">
      <c r="A952">
        <v>1047</v>
      </c>
      <c r="B952" s="34">
        <v>39380</v>
      </c>
      <c r="C952">
        <v>1.4260999999999999</v>
      </c>
      <c r="D952">
        <v>1</v>
      </c>
      <c r="E952" t="s">
        <v>311</v>
      </c>
      <c r="F952">
        <v>0.33809999999999701</v>
      </c>
      <c r="G952">
        <v>1.54338963308092</v>
      </c>
      <c r="H952">
        <v>1</v>
      </c>
      <c r="I952">
        <v>0.5463228</v>
      </c>
      <c r="J952">
        <v>2007</v>
      </c>
      <c r="K952">
        <v>10</v>
      </c>
      <c r="L952">
        <v>25</v>
      </c>
      <c r="M952" t="s">
        <v>90</v>
      </c>
      <c r="N952">
        <v>0</v>
      </c>
      <c r="O952">
        <v>0</v>
      </c>
    </row>
    <row r="953" spans="1:15" x14ac:dyDescent="0.3">
      <c r="A953">
        <v>1048</v>
      </c>
      <c r="B953" s="34">
        <v>39381</v>
      </c>
      <c r="C953">
        <v>1.4330000000000001</v>
      </c>
      <c r="D953">
        <v>-5</v>
      </c>
      <c r="F953">
        <v>0.33189999999999698</v>
      </c>
      <c r="G953">
        <v>3.3488642981945</v>
      </c>
      <c r="H953">
        <v>0</v>
      </c>
      <c r="I953">
        <v>0.54580150000000005</v>
      </c>
      <c r="J953">
        <v>2007</v>
      </c>
      <c r="K953">
        <v>10</v>
      </c>
      <c r="L953">
        <v>26</v>
      </c>
      <c r="M953" t="s">
        <v>91</v>
      </c>
      <c r="N953">
        <v>0</v>
      </c>
      <c r="O953">
        <v>0</v>
      </c>
    </row>
    <row r="954" spans="1:15" x14ac:dyDescent="0.3">
      <c r="A954">
        <v>1049</v>
      </c>
      <c r="B954" s="34">
        <v>39384</v>
      </c>
      <c r="C954">
        <v>1.4392</v>
      </c>
      <c r="D954">
        <v>0</v>
      </c>
      <c r="F954">
        <v>0.33189999999999698</v>
      </c>
      <c r="G954">
        <v>3.3488642981945</v>
      </c>
      <c r="H954">
        <v>0</v>
      </c>
      <c r="I954">
        <v>0.54528120000000002</v>
      </c>
      <c r="J954">
        <v>2007</v>
      </c>
      <c r="K954">
        <v>10</v>
      </c>
      <c r="L954">
        <v>29</v>
      </c>
      <c r="M954" t="s">
        <v>92</v>
      </c>
      <c r="N954">
        <v>0</v>
      </c>
      <c r="O954">
        <v>0</v>
      </c>
    </row>
    <row r="955" spans="1:15" x14ac:dyDescent="0.3">
      <c r="A955">
        <v>1050</v>
      </c>
      <c r="B955" s="34">
        <v>39385</v>
      </c>
      <c r="C955">
        <v>1.4419</v>
      </c>
      <c r="D955">
        <v>0</v>
      </c>
      <c r="F955">
        <v>0.33189999999999698</v>
      </c>
      <c r="G955">
        <v>3.3488642981945</v>
      </c>
      <c r="H955">
        <v>0</v>
      </c>
      <c r="I955">
        <v>0.54476190000000002</v>
      </c>
      <c r="J955">
        <v>2007</v>
      </c>
      <c r="K955">
        <v>10</v>
      </c>
      <c r="L955">
        <v>30</v>
      </c>
      <c r="M955" t="s">
        <v>93</v>
      </c>
      <c r="N955">
        <v>0</v>
      </c>
      <c r="O955">
        <v>0</v>
      </c>
    </row>
    <row r="956" spans="1:15" x14ac:dyDescent="0.3">
      <c r="A956">
        <v>1051</v>
      </c>
      <c r="B956" s="34">
        <v>39386</v>
      </c>
      <c r="C956">
        <v>1.4437</v>
      </c>
      <c r="D956">
        <v>0</v>
      </c>
      <c r="F956">
        <v>0.33189999999999698</v>
      </c>
      <c r="G956">
        <v>3.3488642981945</v>
      </c>
      <c r="H956">
        <v>0</v>
      </c>
      <c r="I956">
        <v>0.54424360000000005</v>
      </c>
      <c r="J956">
        <v>2007</v>
      </c>
      <c r="K956">
        <v>10</v>
      </c>
      <c r="L956">
        <v>31</v>
      </c>
      <c r="M956" t="s">
        <v>89</v>
      </c>
      <c r="N956">
        <v>0</v>
      </c>
      <c r="O956">
        <v>0</v>
      </c>
    </row>
    <row r="957" spans="1:15" x14ac:dyDescent="0.3">
      <c r="A957">
        <v>1052</v>
      </c>
      <c r="B957" s="34">
        <v>39387</v>
      </c>
      <c r="C957">
        <v>1.4471000000000001</v>
      </c>
      <c r="D957">
        <v>-4</v>
      </c>
      <c r="F957">
        <v>0.33649999999999702</v>
      </c>
      <c r="G957">
        <v>2.0093185789166301</v>
      </c>
      <c r="H957">
        <v>0</v>
      </c>
      <c r="I957">
        <v>0.5437263</v>
      </c>
      <c r="J957">
        <v>2007</v>
      </c>
      <c r="K957">
        <v>11</v>
      </c>
      <c r="L957">
        <v>1</v>
      </c>
      <c r="M957" t="s">
        <v>90</v>
      </c>
      <c r="N957">
        <v>0</v>
      </c>
      <c r="O957">
        <v>0</v>
      </c>
    </row>
    <row r="958" spans="1:15" x14ac:dyDescent="0.3">
      <c r="A958">
        <v>1053</v>
      </c>
      <c r="B958" s="34">
        <v>39388</v>
      </c>
      <c r="C958">
        <v>1.4424999999999999</v>
      </c>
      <c r="D958">
        <v>7</v>
      </c>
      <c r="E958" t="s">
        <v>312</v>
      </c>
      <c r="F958">
        <v>0.34439999999999699</v>
      </c>
      <c r="G958">
        <v>0</v>
      </c>
      <c r="H958">
        <v>1</v>
      </c>
      <c r="I958">
        <v>0.54415950000000002</v>
      </c>
      <c r="J958">
        <v>2007</v>
      </c>
      <c r="K958">
        <v>11</v>
      </c>
      <c r="L958">
        <v>2</v>
      </c>
      <c r="M958" t="s">
        <v>91</v>
      </c>
      <c r="N958">
        <v>0</v>
      </c>
      <c r="O958">
        <v>0</v>
      </c>
    </row>
    <row r="959" spans="1:15" x14ac:dyDescent="0.3">
      <c r="A959">
        <v>1054</v>
      </c>
      <c r="B959" s="34">
        <v>39391</v>
      </c>
      <c r="C959">
        <v>1.4503999999999999</v>
      </c>
      <c r="D959">
        <v>0</v>
      </c>
      <c r="F959">
        <v>0.34439999999999699</v>
      </c>
      <c r="G959">
        <v>0</v>
      </c>
      <c r="H959">
        <v>1</v>
      </c>
      <c r="I959">
        <v>0.54459199999999996</v>
      </c>
      <c r="J959">
        <v>2007</v>
      </c>
      <c r="K959">
        <v>11</v>
      </c>
      <c r="L959">
        <v>5</v>
      </c>
      <c r="M959" t="s">
        <v>92</v>
      </c>
      <c r="N959">
        <v>0</v>
      </c>
      <c r="O959">
        <v>0</v>
      </c>
    </row>
    <row r="960" spans="1:15" x14ac:dyDescent="0.3">
      <c r="A960">
        <v>1055</v>
      </c>
      <c r="B960" s="34">
        <v>39392</v>
      </c>
      <c r="C960">
        <v>1.4474</v>
      </c>
      <c r="D960">
        <v>0</v>
      </c>
      <c r="F960">
        <v>0.34439999999999699</v>
      </c>
      <c r="G960">
        <v>0</v>
      </c>
      <c r="H960">
        <v>1</v>
      </c>
      <c r="I960">
        <v>0.5450237</v>
      </c>
      <c r="J960">
        <v>2007</v>
      </c>
      <c r="K960">
        <v>11</v>
      </c>
      <c r="L960">
        <v>6</v>
      </c>
      <c r="M960" t="s">
        <v>93</v>
      </c>
      <c r="N960">
        <v>0</v>
      </c>
      <c r="O960">
        <v>0</v>
      </c>
    </row>
    <row r="961" spans="1:15" x14ac:dyDescent="0.3">
      <c r="A961">
        <v>1056</v>
      </c>
      <c r="B961" s="34">
        <v>39393</v>
      </c>
      <c r="C961">
        <v>1.4563999999999999</v>
      </c>
      <c r="D961">
        <v>-3</v>
      </c>
      <c r="F961">
        <v>0.33799999999999703</v>
      </c>
      <c r="G961">
        <v>1.85830429732875</v>
      </c>
      <c r="H961">
        <v>0</v>
      </c>
      <c r="I961">
        <v>0.54450759999999998</v>
      </c>
      <c r="J961">
        <v>2007</v>
      </c>
      <c r="K961">
        <v>11</v>
      </c>
      <c r="L961">
        <v>7</v>
      </c>
      <c r="M961" t="s">
        <v>89</v>
      </c>
      <c r="N961">
        <v>0</v>
      </c>
      <c r="O961">
        <v>0</v>
      </c>
    </row>
    <row r="962" spans="1:15" x14ac:dyDescent="0.3">
      <c r="A962">
        <v>1057</v>
      </c>
      <c r="B962" s="34">
        <v>39394</v>
      </c>
      <c r="C962">
        <v>1.4628000000000001</v>
      </c>
      <c r="D962">
        <v>0</v>
      </c>
      <c r="F962">
        <v>0.33799999999999703</v>
      </c>
      <c r="G962">
        <v>1.85830429732875</v>
      </c>
      <c r="H962">
        <v>0</v>
      </c>
      <c r="I962">
        <v>0.54399249999999999</v>
      </c>
      <c r="J962">
        <v>2007</v>
      </c>
      <c r="K962">
        <v>11</v>
      </c>
      <c r="L962">
        <v>8</v>
      </c>
      <c r="M962" t="s">
        <v>90</v>
      </c>
      <c r="N962">
        <v>0</v>
      </c>
      <c r="O962">
        <v>0</v>
      </c>
    </row>
    <row r="963" spans="1:15" x14ac:dyDescent="0.3">
      <c r="A963">
        <v>1058</v>
      </c>
      <c r="B963" s="34">
        <v>39395</v>
      </c>
      <c r="C963">
        <v>1.4673</v>
      </c>
      <c r="D963">
        <v>0</v>
      </c>
      <c r="F963">
        <v>0.33799999999999703</v>
      </c>
      <c r="G963">
        <v>1.85830429732875</v>
      </c>
      <c r="H963">
        <v>0</v>
      </c>
      <c r="I963">
        <v>0.54347829999999997</v>
      </c>
      <c r="J963">
        <v>2007</v>
      </c>
      <c r="K963">
        <v>11</v>
      </c>
      <c r="L963">
        <v>9</v>
      </c>
      <c r="M963" t="s">
        <v>91</v>
      </c>
      <c r="N963">
        <v>0</v>
      </c>
      <c r="O963">
        <v>0</v>
      </c>
    </row>
    <row r="964" spans="1:15" x14ac:dyDescent="0.3">
      <c r="A964">
        <v>1059</v>
      </c>
      <c r="B964" s="34">
        <v>39398</v>
      </c>
      <c r="C964">
        <v>1.4679</v>
      </c>
      <c r="D964">
        <v>1</v>
      </c>
      <c r="E964" t="s">
        <v>313</v>
      </c>
      <c r="F964">
        <v>0.323099999999997</v>
      </c>
      <c r="G964">
        <v>6.1846689895470996</v>
      </c>
      <c r="H964">
        <v>0</v>
      </c>
      <c r="I964">
        <v>0.54296509999999998</v>
      </c>
      <c r="J964">
        <v>2007</v>
      </c>
      <c r="K964">
        <v>11</v>
      </c>
      <c r="L964">
        <v>12</v>
      </c>
      <c r="M964" t="s">
        <v>92</v>
      </c>
      <c r="N964">
        <v>0</v>
      </c>
      <c r="O964">
        <v>0</v>
      </c>
    </row>
    <row r="965" spans="1:15" x14ac:dyDescent="0.3">
      <c r="A965">
        <v>1060</v>
      </c>
      <c r="B965" s="34">
        <v>39399</v>
      </c>
      <c r="C965">
        <v>1.4530000000000001</v>
      </c>
      <c r="D965">
        <v>7</v>
      </c>
      <c r="E965" t="s">
        <v>314</v>
      </c>
      <c r="F965">
        <v>0.331699999999997</v>
      </c>
      <c r="G965">
        <v>3.6875725900116798</v>
      </c>
      <c r="H965">
        <v>1</v>
      </c>
      <c r="I965">
        <v>0.5433962</v>
      </c>
      <c r="J965">
        <v>2007</v>
      </c>
      <c r="K965">
        <v>11</v>
      </c>
      <c r="L965">
        <v>13</v>
      </c>
      <c r="M965" t="s">
        <v>93</v>
      </c>
      <c r="N965">
        <v>0</v>
      </c>
      <c r="O965">
        <v>0</v>
      </c>
    </row>
    <row r="966" spans="1:15" x14ac:dyDescent="0.3">
      <c r="A966">
        <v>1061</v>
      </c>
      <c r="B966" s="34">
        <v>39400</v>
      </c>
      <c r="C966">
        <v>1.4616</v>
      </c>
      <c r="D966">
        <v>0</v>
      </c>
      <c r="F966">
        <v>0.331699999999997</v>
      </c>
      <c r="G966">
        <v>3.6875725900116798</v>
      </c>
      <c r="H966">
        <v>1</v>
      </c>
      <c r="I966">
        <v>0.54382660000000005</v>
      </c>
      <c r="J966">
        <v>2007</v>
      </c>
      <c r="K966">
        <v>11</v>
      </c>
      <c r="L966">
        <v>14</v>
      </c>
      <c r="M966" t="s">
        <v>89</v>
      </c>
      <c r="N966">
        <v>0</v>
      </c>
      <c r="O966">
        <v>0</v>
      </c>
    </row>
    <row r="967" spans="1:15" x14ac:dyDescent="0.3">
      <c r="A967">
        <v>1062</v>
      </c>
      <c r="B967" s="34">
        <v>39401</v>
      </c>
      <c r="C967">
        <v>1.4649000000000001</v>
      </c>
      <c r="D967">
        <v>-3</v>
      </c>
      <c r="F967">
        <v>0.335199999999997</v>
      </c>
      <c r="G967">
        <v>2.6713124274100299</v>
      </c>
      <c r="H967">
        <v>1</v>
      </c>
      <c r="I967">
        <v>0.54425610000000002</v>
      </c>
      <c r="J967">
        <v>2007</v>
      </c>
      <c r="K967">
        <v>11</v>
      </c>
      <c r="L967">
        <v>15</v>
      </c>
      <c r="M967" t="s">
        <v>90</v>
      </c>
      <c r="N967">
        <v>0</v>
      </c>
      <c r="O967">
        <v>0</v>
      </c>
    </row>
    <row r="968" spans="1:15" x14ac:dyDescent="0.3">
      <c r="A968">
        <v>1063</v>
      </c>
      <c r="B968" s="34">
        <v>39402</v>
      </c>
      <c r="C968">
        <v>1.4614</v>
      </c>
      <c r="D968">
        <v>2</v>
      </c>
      <c r="E968" t="s">
        <v>315</v>
      </c>
      <c r="F968">
        <v>0.33989999999999698</v>
      </c>
      <c r="G968">
        <v>1.30662020905929</v>
      </c>
      <c r="H968">
        <v>1</v>
      </c>
      <c r="I968">
        <v>0.54468479999999997</v>
      </c>
      <c r="J968">
        <v>2007</v>
      </c>
      <c r="K968">
        <v>11</v>
      </c>
      <c r="L968">
        <v>16</v>
      </c>
      <c r="M968" t="s">
        <v>91</v>
      </c>
      <c r="N968">
        <v>0</v>
      </c>
      <c r="O968">
        <v>0</v>
      </c>
    </row>
    <row r="969" spans="1:15" x14ac:dyDescent="0.3">
      <c r="A969">
        <v>1064</v>
      </c>
      <c r="B969" s="34">
        <v>39405</v>
      </c>
      <c r="C969">
        <v>1.4661</v>
      </c>
      <c r="D969">
        <v>-4</v>
      </c>
      <c r="F969">
        <v>0.33929999999999699</v>
      </c>
      <c r="G969">
        <v>1.4808362369338299</v>
      </c>
      <c r="H969">
        <v>1</v>
      </c>
      <c r="I969">
        <v>0.54511279999999995</v>
      </c>
      <c r="J969">
        <v>2007</v>
      </c>
      <c r="K969">
        <v>11</v>
      </c>
      <c r="L969">
        <v>19</v>
      </c>
      <c r="M969" t="s">
        <v>92</v>
      </c>
      <c r="N969">
        <v>0</v>
      </c>
      <c r="O969">
        <v>0</v>
      </c>
    </row>
    <row r="970" spans="1:15" x14ac:dyDescent="0.3">
      <c r="A970">
        <v>1065</v>
      </c>
      <c r="B970" s="34">
        <v>39406</v>
      </c>
      <c r="C970">
        <v>1.4666999999999999</v>
      </c>
      <c r="D970">
        <v>0</v>
      </c>
      <c r="F970">
        <v>0.33929999999999699</v>
      </c>
      <c r="G970">
        <v>1.4808362369338299</v>
      </c>
      <c r="H970">
        <v>0</v>
      </c>
      <c r="I970">
        <v>0.544601</v>
      </c>
      <c r="J970">
        <v>2007</v>
      </c>
      <c r="K970">
        <v>11</v>
      </c>
      <c r="L970">
        <v>20</v>
      </c>
      <c r="M970" t="s">
        <v>93</v>
      </c>
      <c r="N970">
        <v>0</v>
      </c>
      <c r="O970">
        <v>0</v>
      </c>
    </row>
    <row r="971" spans="1:15" x14ac:dyDescent="0.3">
      <c r="A971">
        <v>1066</v>
      </c>
      <c r="B971" s="34">
        <v>39407</v>
      </c>
      <c r="C971">
        <v>1.4837</v>
      </c>
      <c r="D971">
        <v>0</v>
      </c>
      <c r="F971">
        <v>0.33929999999999699</v>
      </c>
      <c r="G971">
        <v>1.4808362369338299</v>
      </c>
      <c r="H971">
        <v>0</v>
      </c>
      <c r="I971">
        <v>0.54408999999999996</v>
      </c>
      <c r="J971">
        <v>2007</v>
      </c>
      <c r="K971">
        <v>11</v>
      </c>
      <c r="L971">
        <v>21</v>
      </c>
      <c r="M971" t="s">
        <v>89</v>
      </c>
      <c r="N971">
        <v>0</v>
      </c>
      <c r="O971">
        <v>0</v>
      </c>
    </row>
    <row r="972" spans="1:15" x14ac:dyDescent="0.3">
      <c r="A972">
        <v>1067</v>
      </c>
      <c r="B972" s="34">
        <v>39408</v>
      </c>
      <c r="C972">
        <v>1.4846999999999999</v>
      </c>
      <c r="D972">
        <v>0</v>
      </c>
      <c r="F972">
        <v>0.33929999999999699</v>
      </c>
      <c r="G972">
        <v>1.4808362369338299</v>
      </c>
      <c r="H972">
        <v>0</v>
      </c>
      <c r="I972">
        <v>0.54358010000000001</v>
      </c>
      <c r="J972">
        <v>2007</v>
      </c>
      <c r="K972">
        <v>11</v>
      </c>
      <c r="L972">
        <v>22</v>
      </c>
      <c r="M972" t="s">
        <v>90</v>
      </c>
      <c r="N972">
        <v>0</v>
      </c>
      <c r="O972">
        <v>0</v>
      </c>
    </row>
    <row r="973" spans="1:15" x14ac:dyDescent="0.3">
      <c r="A973">
        <v>1068</v>
      </c>
      <c r="B973" s="34">
        <v>39409</v>
      </c>
      <c r="C973">
        <v>1.4845999999999999</v>
      </c>
      <c r="D973">
        <v>0</v>
      </c>
      <c r="F973">
        <v>0.33929999999999699</v>
      </c>
      <c r="G973">
        <v>1.4808362369338299</v>
      </c>
      <c r="H973">
        <v>1</v>
      </c>
      <c r="I973">
        <v>0.54400749999999998</v>
      </c>
      <c r="J973">
        <v>2007</v>
      </c>
      <c r="K973">
        <v>11</v>
      </c>
      <c r="L973">
        <v>23</v>
      </c>
      <c r="M973" t="s">
        <v>91</v>
      </c>
      <c r="N973">
        <v>0</v>
      </c>
      <c r="O973">
        <v>0</v>
      </c>
    </row>
    <row r="974" spans="1:15" x14ac:dyDescent="0.3">
      <c r="A974">
        <v>1069</v>
      </c>
      <c r="B974" s="34">
        <v>39412</v>
      </c>
      <c r="C974">
        <v>1.4836</v>
      </c>
      <c r="D974">
        <v>22</v>
      </c>
      <c r="E974" t="s">
        <v>316</v>
      </c>
      <c r="F974">
        <v>0.34209999999999702</v>
      </c>
      <c r="G974">
        <v>0.667828106852556</v>
      </c>
      <c r="H974">
        <v>1</v>
      </c>
      <c r="I974">
        <v>0.54443410000000003</v>
      </c>
      <c r="J974">
        <v>2007</v>
      </c>
      <c r="K974">
        <v>11</v>
      </c>
      <c r="L974">
        <v>26</v>
      </c>
      <c r="M974" t="s">
        <v>92</v>
      </c>
      <c r="N974">
        <v>0</v>
      </c>
      <c r="O974">
        <v>0</v>
      </c>
    </row>
    <row r="975" spans="1:15" x14ac:dyDescent="0.3">
      <c r="A975">
        <v>1070</v>
      </c>
      <c r="B975" s="34">
        <v>39413</v>
      </c>
      <c r="C975">
        <v>1.4863999999999999</v>
      </c>
      <c r="D975">
        <v>-5</v>
      </c>
      <c r="F975">
        <v>0.34569999999999701</v>
      </c>
      <c r="G975">
        <v>0</v>
      </c>
      <c r="H975">
        <v>0.5</v>
      </c>
      <c r="I975">
        <v>0.54439249999999995</v>
      </c>
      <c r="J975">
        <v>2007</v>
      </c>
      <c r="K975">
        <v>11</v>
      </c>
      <c r="L975">
        <v>27</v>
      </c>
      <c r="M975" t="s">
        <v>93</v>
      </c>
      <c r="N975">
        <v>0</v>
      </c>
      <c r="O975">
        <v>0</v>
      </c>
    </row>
    <row r="976" spans="1:15" x14ac:dyDescent="0.3">
      <c r="A976">
        <v>1071</v>
      </c>
      <c r="B976" s="34">
        <v>39414</v>
      </c>
      <c r="C976">
        <v>1.4827999999999999</v>
      </c>
      <c r="D976">
        <v>0</v>
      </c>
      <c r="F976">
        <v>0.34569999999999701</v>
      </c>
      <c r="G976">
        <v>0</v>
      </c>
      <c r="H976">
        <v>1</v>
      </c>
      <c r="I976">
        <v>0.54481789999999997</v>
      </c>
      <c r="J976">
        <v>2007</v>
      </c>
      <c r="K976">
        <v>11</v>
      </c>
      <c r="L976">
        <v>28</v>
      </c>
      <c r="M976" t="s">
        <v>89</v>
      </c>
      <c r="N976">
        <v>0</v>
      </c>
      <c r="O976">
        <v>0</v>
      </c>
    </row>
    <row r="977" spans="1:15" x14ac:dyDescent="0.3">
      <c r="A977">
        <v>1072</v>
      </c>
      <c r="B977" s="34">
        <v>39415</v>
      </c>
      <c r="C977">
        <v>1.4831000000000001</v>
      </c>
      <c r="D977">
        <v>0</v>
      </c>
      <c r="F977">
        <v>0.34569999999999701</v>
      </c>
      <c r="G977">
        <v>0</v>
      </c>
      <c r="H977">
        <v>1</v>
      </c>
      <c r="I977">
        <v>0.54524249999999996</v>
      </c>
      <c r="J977">
        <v>2007</v>
      </c>
      <c r="K977">
        <v>11</v>
      </c>
      <c r="L977">
        <v>29</v>
      </c>
      <c r="M977" t="s">
        <v>90</v>
      </c>
      <c r="N977">
        <v>0</v>
      </c>
      <c r="O977">
        <v>0</v>
      </c>
    </row>
    <row r="978" spans="1:15" x14ac:dyDescent="0.3">
      <c r="A978">
        <v>1073</v>
      </c>
      <c r="B978" s="34">
        <v>39416</v>
      </c>
      <c r="C978">
        <v>1.4746999999999999</v>
      </c>
      <c r="D978">
        <v>2</v>
      </c>
      <c r="E978" t="s">
        <v>317</v>
      </c>
      <c r="F978">
        <v>0.33479999999999699</v>
      </c>
      <c r="G978">
        <v>3.1530228521839598</v>
      </c>
      <c r="H978">
        <v>0</v>
      </c>
      <c r="I978">
        <v>0.54473439999999995</v>
      </c>
      <c r="J978">
        <v>2007</v>
      </c>
      <c r="K978">
        <v>11</v>
      </c>
      <c r="L978">
        <v>30</v>
      </c>
      <c r="M978" t="s">
        <v>91</v>
      </c>
      <c r="N978">
        <v>0</v>
      </c>
      <c r="O978">
        <v>0</v>
      </c>
    </row>
    <row r="979" spans="1:15" x14ac:dyDescent="0.3">
      <c r="A979">
        <v>1074</v>
      </c>
      <c r="B979" s="34">
        <v>39419</v>
      </c>
      <c r="C979">
        <v>1.4638</v>
      </c>
      <c r="D979">
        <v>0</v>
      </c>
      <c r="F979">
        <v>0.33479999999999699</v>
      </c>
      <c r="G979">
        <v>3.1530228521839598</v>
      </c>
      <c r="H979">
        <v>0</v>
      </c>
      <c r="I979">
        <v>0.54422720000000002</v>
      </c>
      <c r="J979">
        <v>2007</v>
      </c>
      <c r="K979">
        <v>12</v>
      </c>
      <c r="L979">
        <v>3</v>
      </c>
      <c r="M979" t="s">
        <v>92</v>
      </c>
      <c r="N979">
        <v>0</v>
      </c>
      <c r="O979">
        <v>0</v>
      </c>
    </row>
    <row r="980" spans="1:15" x14ac:dyDescent="0.3">
      <c r="A980">
        <v>1075</v>
      </c>
      <c r="B980" s="34">
        <v>39420</v>
      </c>
      <c r="C980">
        <v>1.4666999999999999</v>
      </c>
      <c r="D980">
        <v>0</v>
      </c>
      <c r="F980">
        <v>0.33479999999999699</v>
      </c>
      <c r="G980">
        <v>3.1530228521839598</v>
      </c>
      <c r="H980">
        <v>1</v>
      </c>
      <c r="I980">
        <v>0.5446512</v>
      </c>
      <c r="J980">
        <v>2007</v>
      </c>
      <c r="K980">
        <v>12</v>
      </c>
      <c r="L980">
        <v>4</v>
      </c>
      <c r="M980" t="s">
        <v>93</v>
      </c>
      <c r="N980">
        <v>0</v>
      </c>
      <c r="O980">
        <v>0</v>
      </c>
    </row>
    <row r="981" spans="1:15" x14ac:dyDescent="0.3">
      <c r="A981">
        <v>1076</v>
      </c>
      <c r="B981" s="34">
        <v>39421</v>
      </c>
      <c r="C981">
        <v>1.4764999999999999</v>
      </c>
      <c r="D981">
        <v>-3</v>
      </c>
      <c r="F981">
        <v>0.34969999999999701</v>
      </c>
      <c r="G981">
        <v>0</v>
      </c>
      <c r="H981">
        <v>1</v>
      </c>
      <c r="I981">
        <v>0.54507430000000001</v>
      </c>
      <c r="J981">
        <v>2007</v>
      </c>
      <c r="K981">
        <v>12</v>
      </c>
      <c r="L981">
        <v>5</v>
      </c>
      <c r="M981" t="s">
        <v>89</v>
      </c>
      <c r="N981">
        <v>0</v>
      </c>
      <c r="O981">
        <v>0</v>
      </c>
    </row>
    <row r="982" spans="1:15" x14ac:dyDescent="0.3">
      <c r="A982">
        <v>1077</v>
      </c>
      <c r="B982" s="34">
        <v>39422</v>
      </c>
      <c r="C982">
        <v>1.4616</v>
      </c>
      <c r="D982">
        <v>1</v>
      </c>
      <c r="E982" t="s">
        <v>318</v>
      </c>
      <c r="F982">
        <v>0.35199999999999698</v>
      </c>
      <c r="G982">
        <v>0</v>
      </c>
      <c r="H982">
        <v>1</v>
      </c>
      <c r="I982">
        <v>0.5454968</v>
      </c>
      <c r="J982">
        <v>2007</v>
      </c>
      <c r="K982">
        <v>12</v>
      </c>
      <c r="L982">
        <v>6</v>
      </c>
      <c r="M982" t="s">
        <v>90</v>
      </c>
      <c r="N982">
        <v>0</v>
      </c>
      <c r="O982">
        <v>0</v>
      </c>
    </row>
    <row r="983" spans="1:15" x14ac:dyDescent="0.3">
      <c r="A983">
        <v>1078</v>
      </c>
      <c r="B983" s="34">
        <v>39423</v>
      </c>
      <c r="C983">
        <v>1.4639</v>
      </c>
      <c r="D983">
        <v>0</v>
      </c>
      <c r="F983">
        <v>0.35199999999999698</v>
      </c>
      <c r="G983">
        <v>0</v>
      </c>
      <c r="H983">
        <v>1</v>
      </c>
      <c r="I983">
        <v>0.54591829999999997</v>
      </c>
      <c r="J983">
        <v>2007</v>
      </c>
      <c r="K983">
        <v>12</v>
      </c>
      <c r="L983">
        <v>7</v>
      </c>
      <c r="M983" t="s">
        <v>91</v>
      </c>
      <c r="N983">
        <v>0</v>
      </c>
      <c r="O983">
        <v>0</v>
      </c>
    </row>
    <row r="984" spans="1:15" x14ac:dyDescent="0.3">
      <c r="A984">
        <v>1079</v>
      </c>
      <c r="B984" s="34">
        <v>39426</v>
      </c>
      <c r="C984">
        <v>1.4657</v>
      </c>
      <c r="D984">
        <v>0</v>
      </c>
      <c r="F984">
        <v>0.35199999999999698</v>
      </c>
      <c r="G984">
        <v>0</v>
      </c>
      <c r="H984">
        <v>1</v>
      </c>
      <c r="I984">
        <v>0.54633920000000002</v>
      </c>
      <c r="J984">
        <v>2007</v>
      </c>
      <c r="K984">
        <v>12</v>
      </c>
      <c r="L984">
        <v>10</v>
      </c>
      <c r="M984" t="s">
        <v>92</v>
      </c>
      <c r="N984">
        <v>0</v>
      </c>
      <c r="O984">
        <v>0</v>
      </c>
    </row>
    <row r="985" spans="1:15" x14ac:dyDescent="0.3">
      <c r="A985">
        <v>1080</v>
      </c>
      <c r="B985" s="34">
        <v>39427</v>
      </c>
      <c r="C985">
        <v>1.4721</v>
      </c>
      <c r="D985">
        <v>-7</v>
      </c>
      <c r="F985">
        <v>0.35849999999999699</v>
      </c>
      <c r="G985">
        <v>0</v>
      </c>
      <c r="H985">
        <v>0</v>
      </c>
      <c r="I985">
        <v>0.54583329999999997</v>
      </c>
      <c r="J985">
        <v>2007</v>
      </c>
      <c r="K985">
        <v>12</v>
      </c>
      <c r="L985">
        <v>11</v>
      </c>
      <c r="M985" t="s">
        <v>93</v>
      </c>
      <c r="N985">
        <v>0</v>
      </c>
      <c r="O985">
        <v>0</v>
      </c>
    </row>
    <row r="986" spans="1:15" x14ac:dyDescent="0.3">
      <c r="A986">
        <v>1081</v>
      </c>
      <c r="B986" s="34">
        <v>39428</v>
      </c>
      <c r="C986">
        <v>1.4656</v>
      </c>
      <c r="D986">
        <v>0</v>
      </c>
      <c r="F986">
        <v>0.35849999999999699</v>
      </c>
      <c r="G986">
        <v>0</v>
      </c>
      <c r="H986">
        <v>1</v>
      </c>
      <c r="I986">
        <v>0.5462534</v>
      </c>
      <c r="J986">
        <v>2007</v>
      </c>
      <c r="K986">
        <v>12</v>
      </c>
      <c r="L986">
        <v>12</v>
      </c>
      <c r="M986" t="s">
        <v>89</v>
      </c>
      <c r="N986">
        <v>0</v>
      </c>
      <c r="O986">
        <v>0</v>
      </c>
    </row>
    <row r="987" spans="1:15" x14ac:dyDescent="0.3">
      <c r="A987">
        <v>1082</v>
      </c>
      <c r="B987" s="34">
        <v>39429</v>
      </c>
      <c r="C987">
        <v>1.4711000000000001</v>
      </c>
      <c r="D987">
        <v>0</v>
      </c>
      <c r="F987">
        <v>0.35849999999999699</v>
      </c>
      <c r="G987">
        <v>0</v>
      </c>
      <c r="H987">
        <v>1</v>
      </c>
      <c r="I987">
        <v>0.54667279999999996</v>
      </c>
      <c r="J987">
        <v>2007</v>
      </c>
      <c r="K987">
        <v>12</v>
      </c>
      <c r="L987">
        <v>13</v>
      </c>
      <c r="M987" t="s">
        <v>90</v>
      </c>
      <c r="N987">
        <v>0</v>
      </c>
      <c r="O987">
        <v>0</v>
      </c>
    </row>
    <row r="988" spans="1:15" x14ac:dyDescent="0.3">
      <c r="A988">
        <v>1083</v>
      </c>
      <c r="B988" s="34">
        <v>39430</v>
      </c>
      <c r="C988">
        <v>1.4617</v>
      </c>
      <c r="D988">
        <v>1</v>
      </c>
      <c r="E988" t="s">
        <v>319</v>
      </c>
      <c r="F988">
        <v>0.339699999999997</v>
      </c>
      <c r="G988">
        <v>5.2440725244072599</v>
      </c>
      <c r="H988">
        <v>1</v>
      </c>
      <c r="I988">
        <v>0.54709140000000001</v>
      </c>
      <c r="J988">
        <v>2007</v>
      </c>
      <c r="K988">
        <v>12</v>
      </c>
      <c r="L988">
        <v>14</v>
      </c>
      <c r="M988" t="s">
        <v>91</v>
      </c>
      <c r="N988">
        <v>0</v>
      </c>
      <c r="O988">
        <v>0</v>
      </c>
    </row>
    <row r="989" spans="1:15" x14ac:dyDescent="0.3">
      <c r="A989">
        <v>1084</v>
      </c>
      <c r="B989" s="34">
        <v>39433</v>
      </c>
      <c r="C989">
        <v>1.4429000000000001</v>
      </c>
      <c r="D989">
        <v>0</v>
      </c>
      <c r="F989">
        <v>0.339699999999997</v>
      </c>
      <c r="G989">
        <v>5.2440725244072599</v>
      </c>
      <c r="H989">
        <v>0</v>
      </c>
      <c r="I989">
        <v>0.54658669999999998</v>
      </c>
      <c r="J989">
        <v>2007</v>
      </c>
      <c r="K989">
        <v>12</v>
      </c>
      <c r="L989">
        <v>17</v>
      </c>
      <c r="M989" t="s">
        <v>92</v>
      </c>
      <c r="N989">
        <v>0</v>
      </c>
      <c r="O989">
        <v>0</v>
      </c>
    </row>
    <row r="990" spans="1:15" x14ac:dyDescent="0.3">
      <c r="A990">
        <v>1085</v>
      </c>
      <c r="B990" s="34">
        <v>39434</v>
      </c>
      <c r="C990">
        <v>1.4412</v>
      </c>
      <c r="D990">
        <v>0</v>
      </c>
      <c r="F990">
        <v>0.339699999999997</v>
      </c>
      <c r="G990">
        <v>5.2440725244072599</v>
      </c>
      <c r="H990">
        <v>0</v>
      </c>
      <c r="I990">
        <v>0.54608299999999999</v>
      </c>
      <c r="J990">
        <v>2007</v>
      </c>
      <c r="K990">
        <v>12</v>
      </c>
      <c r="L990">
        <v>18</v>
      </c>
      <c r="M990" t="s">
        <v>93</v>
      </c>
      <c r="N990">
        <v>0</v>
      </c>
      <c r="O990">
        <v>0</v>
      </c>
    </row>
    <row r="991" spans="1:15" x14ac:dyDescent="0.3">
      <c r="A991">
        <v>1086</v>
      </c>
      <c r="B991" s="34">
        <v>39435</v>
      </c>
      <c r="C991">
        <v>1.4408000000000001</v>
      </c>
      <c r="D991">
        <v>2</v>
      </c>
      <c r="E991" t="s">
        <v>320</v>
      </c>
      <c r="F991">
        <v>0.33599999999999702</v>
      </c>
      <c r="G991">
        <v>6.27615062761509</v>
      </c>
      <c r="H991">
        <v>0</v>
      </c>
      <c r="I991">
        <v>0.54558010000000001</v>
      </c>
      <c r="J991">
        <v>2007</v>
      </c>
      <c r="K991">
        <v>12</v>
      </c>
      <c r="L991">
        <v>19</v>
      </c>
      <c r="M991" t="s">
        <v>89</v>
      </c>
      <c r="N991">
        <v>0</v>
      </c>
      <c r="O991">
        <v>0</v>
      </c>
    </row>
    <row r="992" spans="1:15" x14ac:dyDescent="0.3">
      <c r="A992">
        <v>1087</v>
      </c>
      <c r="B992" s="34">
        <v>39436</v>
      </c>
      <c r="C992">
        <v>1.4371</v>
      </c>
      <c r="D992">
        <v>4</v>
      </c>
      <c r="E992" t="s">
        <v>321</v>
      </c>
      <c r="F992">
        <v>0.33089999999999697</v>
      </c>
      <c r="G992">
        <v>7.6987447698745397</v>
      </c>
      <c r="H992">
        <v>0</v>
      </c>
      <c r="I992">
        <v>0.54507819999999996</v>
      </c>
      <c r="J992">
        <v>2007</v>
      </c>
      <c r="K992">
        <v>12</v>
      </c>
      <c r="L992">
        <v>20</v>
      </c>
      <c r="M992" t="s">
        <v>90</v>
      </c>
      <c r="N992">
        <v>0</v>
      </c>
      <c r="O992">
        <v>0</v>
      </c>
    </row>
    <row r="993" spans="1:15" x14ac:dyDescent="0.3">
      <c r="A993">
        <v>1088</v>
      </c>
      <c r="B993" s="34">
        <v>39437</v>
      </c>
      <c r="C993">
        <v>1.4319999999999999</v>
      </c>
      <c r="D993">
        <v>1</v>
      </c>
      <c r="E993" t="s">
        <v>322</v>
      </c>
      <c r="F993">
        <v>0.33699999999999702</v>
      </c>
      <c r="G993">
        <v>5.9972105997211198</v>
      </c>
      <c r="H993">
        <v>0</v>
      </c>
      <c r="I993">
        <v>0.54457719999999998</v>
      </c>
      <c r="J993">
        <v>2007</v>
      </c>
      <c r="K993">
        <v>12</v>
      </c>
      <c r="L993">
        <v>21</v>
      </c>
      <c r="M993" t="s">
        <v>91</v>
      </c>
      <c r="N993">
        <v>0</v>
      </c>
      <c r="O993">
        <v>0</v>
      </c>
    </row>
    <row r="994" spans="1:15" x14ac:dyDescent="0.3">
      <c r="A994">
        <v>1089</v>
      </c>
      <c r="B994" s="34">
        <v>39440</v>
      </c>
      <c r="C994">
        <v>1.4380999999999999</v>
      </c>
      <c r="D994">
        <v>0</v>
      </c>
      <c r="F994">
        <v>0.33699999999999702</v>
      </c>
      <c r="G994">
        <v>5.9972105997211198</v>
      </c>
      <c r="H994">
        <v>1</v>
      </c>
      <c r="I994">
        <v>0.54499540000000002</v>
      </c>
      <c r="J994">
        <v>2007</v>
      </c>
      <c r="K994">
        <v>12</v>
      </c>
      <c r="L994">
        <v>24</v>
      </c>
      <c r="M994" t="s">
        <v>92</v>
      </c>
      <c r="N994">
        <v>0</v>
      </c>
      <c r="O994">
        <v>0</v>
      </c>
    </row>
    <row r="995" spans="1:15" x14ac:dyDescent="0.3">
      <c r="A995">
        <v>1090</v>
      </c>
      <c r="B995" s="34">
        <v>39442</v>
      </c>
      <c r="C995">
        <v>1.4406000000000001</v>
      </c>
      <c r="D995">
        <v>-3</v>
      </c>
      <c r="F995">
        <v>0.32939999999999697</v>
      </c>
      <c r="G995">
        <v>8.1171548117154995</v>
      </c>
      <c r="H995">
        <v>0</v>
      </c>
      <c r="I995">
        <v>0.54449539999999996</v>
      </c>
      <c r="J995">
        <v>2007</v>
      </c>
      <c r="K995">
        <v>12</v>
      </c>
      <c r="L995">
        <v>26</v>
      </c>
      <c r="M995" t="s">
        <v>89</v>
      </c>
      <c r="N995">
        <v>0</v>
      </c>
      <c r="O995">
        <v>0</v>
      </c>
    </row>
    <row r="996" spans="1:15" x14ac:dyDescent="0.3">
      <c r="A996">
        <v>1091</v>
      </c>
      <c r="B996" s="34">
        <v>39443</v>
      </c>
      <c r="C996">
        <v>1.4481999999999999</v>
      </c>
      <c r="D996">
        <v>-4</v>
      </c>
      <c r="F996">
        <v>0.31669999999999698</v>
      </c>
      <c r="G996">
        <v>11.659693165969401</v>
      </c>
      <c r="H996">
        <v>0</v>
      </c>
      <c r="I996">
        <v>0.54399629999999999</v>
      </c>
      <c r="J996">
        <v>2007</v>
      </c>
      <c r="K996">
        <v>12</v>
      </c>
      <c r="L996">
        <v>27</v>
      </c>
      <c r="M996" t="s">
        <v>90</v>
      </c>
      <c r="N996">
        <v>0</v>
      </c>
      <c r="O996">
        <v>0</v>
      </c>
    </row>
    <row r="997" spans="1:15" x14ac:dyDescent="0.3">
      <c r="A997">
        <v>1092</v>
      </c>
      <c r="B997" s="34">
        <v>39444</v>
      </c>
      <c r="C997">
        <v>1.4609000000000001</v>
      </c>
      <c r="D997">
        <v>0</v>
      </c>
      <c r="F997">
        <v>0.31669999999999698</v>
      </c>
      <c r="G997">
        <v>11.659693165969401</v>
      </c>
      <c r="H997">
        <v>0</v>
      </c>
      <c r="I997">
        <v>0.54349820000000004</v>
      </c>
      <c r="J997">
        <v>2007</v>
      </c>
      <c r="K997">
        <v>12</v>
      </c>
      <c r="L997">
        <v>28</v>
      </c>
      <c r="M997" t="s">
        <v>91</v>
      </c>
      <c r="N997">
        <v>0</v>
      </c>
      <c r="O997">
        <v>0</v>
      </c>
    </row>
    <row r="998" spans="1:15" x14ac:dyDescent="0.3">
      <c r="A998">
        <v>1093</v>
      </c>
      <c r="B998" s="34">
        <v>39447</v>
      </c>
      <c r="C998">
        <v>1.4721</v>
      </c>
      <c r="D998">
        <v>0</v>
      </c>
      <c r="F998">
        <v>0.31669999999999698</v>
      </c>
      <c r="G998">
        <v>11.659693165969401</v>
      </c>
      <c r="H998">
        <v>0</v>
      </c>
      <c r="I998">
        <v>0.54300090000000001</v>
      </c>
      <c r="J998">
        <v>2007</v>
      </c>
      <c r="K998">
        <v>12</v>
      </c>
      <c r="L998">
        <v>31</v>
      </c>
      <c r="M998" t="s">
        <v>92</v>
      </c>
      <c r="N998">
        <v>0</v>
      </c>
      <c r="O998">
        <v>0</v>
      </c>
    </row>
    <row r="999" spans="1:15" x14ac:dyDescent="0.3">
      <c r="A999">
        <v>1094</v>
      </c>
      <c r="B999" s="34">
        <v>39449</v>
      </c>
      <c r="C999">
        <v>1.4595</v>
      </c>
      <c r="D999">
        <v>0</v>
      </c>
      <c r="F999">
        <v>0.31669999999999698</v>
      </c>
      <c r="G999">
        <v>11.659693165969401</v>
      </c>
      <c r="H999">
        <v>1</v>
      </c>
      <c r="I999">
        <v>0.54341859999999997</v>
      </c>
      <c r="J999">
        <v>2008</v>
      </c>
      <c r="K999">
        <v>1</v>
      </c>
      <c r="L999">
        <v>2</v>
      </c>
      <c r="M999" t="s">
        <v>89</v>
      </c>
      <c r="N999">
        <v>0</v>
      </c>
      <c r="O999">
        <v>0</v>
      </c>
    </row>
    <row r="1000" spans="1:15" x14ac:dyDescent="0.3">
      <c r="A1000">
        <v>1095</v>
      </c>
      <c r="B1000" s="34">
        <v>39450</v>
      </c>
      <c r="C1000">
        <v>1.4721</v>
      </c>
      <c r="D1000">
        <v>-8</v>
      </c>
      <c r="F1000">
        <v>0.31459999999999699</v>
      </c>
      <c r="G1000">
        <v>12.2454672245468</v>
      </c>
      <c r="H1000">
        <v>0</v>
      </c>
      <c r="I1000">
        <v>0.54292240000000003</v>
      </c>
      <c r="J1000">
        <v>2008</v>
      </c>
      <c r="K1000">
        <v>1</v>
      </c>
      <c r="L1000">
        <v>3</v>
      </c>
      <c r="M1000" t="s">
        <v>90</v>
      </c>
      <c r="N1000">
        <v>0</v>
      </c>
      <c r="O1000">
        <v>0</v>
      </c>
    </row>
    <row r="1001" spans="1:15" x14ac:dyDescent="0.3">
      <c r="A1001">
        <v>1096</v>
      </c>
      <c r="B1001" s="34">
        <v>39451</v>
      </c>
      <c r="C1001">
        <v>1.4742</v>
      </c>
      <c r="D1001">
        <v>0</v>
      </c>
      <c r="F1001">
        <v>0.31459999999999699</v>
      </c>
      <c r="G1001">
        <v>12.2454672245468</v>
      </c>
      <c r="H1001">
        <v>0</v>
      </c>
      <c r="I1001">
        <v>0.54242699999999999</v>
      </c>
      <c r="J1001">
        <v>2008</v>
      </c>
      <c r="K1001">
        <v>1</v>
      </c>
      <c r="L1001">
        <v>4</v>
      </c>
      <c r="M1001" t="s">
        <v>91</v>
      </c>
      <c r="N1001">
        <v>0</v>
      </c>
      <c r="O1001">
        <v>0</v>
      </c>
    </row>
    <row r="1002" spans="1:15" x14ac:dyDescent="0.3">
      <c r="A1002">
        <v>1097</v>
      </c>
      <c r="B1002" s="34">
        <v>39454</v>
      </c>
      <c r="C1002">
        <v>1.474</v>
      </c>
      <c r="D1002">
        <v>0</v>
      </c>
      <c r="F1002">
        <v>0.31459999999999699</v>
      </c>
      <c r="G1002">
        <v>12.2454672245468</v>
      </c>
      <c r="H1002">
        <v>1</v>
      </c>
      <c r="I1002">
        <v>0.54284410000000005</v>
      </c>
      <c r="J1002">
        <v>2008</v>
      </c>
      <c r="K1002">
        <v>1</v>
      </c>
      <c r="L1002">
        <v>7</v>
      </c>
      <c r="M1002" t="s">
        <v>92</v>
      </c>
      <c r="N1002">
        <v>0</v>
      </c>
      <c r="O1002">
        <v>0</v>
      </c>
    </row>
    <row r="1003" spans="1:15" x14ac:dyDescent="0.3">
      <c r="A1003">
        <v>1098</v>
      </c>
      <c r="B1003" s="34">
        <v>39455</v>
      </c>
      <c r="C1003">
        <v>1.4684999999999999</v>
      </c>
      <c r="D1003">
        <v>1</v>
      </c>
      <c r="E1003" t="s">
        <v>323</v>
      </c>
      <c r="F1003">
        <v>0.31699999999999701</v>
      </c>
      <c r="G1003">
        <v>11.5760111576011</v>
      </c>
      <c r="H1003">
        <v>1</v>
      </c>
      <c r="I1003">
        <v>0.54326050000000004</v>
      </c>
      <c r="J1003">
        <v>2008</v>
      </c>
      <c r="K1003">
        <v>1</v>
      </c>
      <c r="L1003">
        <v>8</v>
      </c>
      <c r="M1003" t="s">
        <v>93</v>
      </c>
      <c r="N1003">
        <v>0</v>
      </c>
      <c r="O1003">
        <v>0</v>
      </c>
    </row>
    <row r="1004" spans="1:15" x14ac:dyDescent="0.3">
      <c r="A1004">
        <v>1099</v>
      </c>
      <c r="B1004" s="34">
        <v>39456</v>
      </c>
      <c r="C1004">
        <v>1.4709000000000001</v>
      </c>
      <c r="D1004">
        <v>-1</v>
      </c>
      <c r="F1004">
        <v>0.322099999999997</v>
      </c>
      <c r="G1004">
        <v>10.1534170153417</v>
      </c>
      <c r="H1004">
        <v>1</v>
      </c>
      <c r="I1004">
        <v>0.5436761</v>
      </c>
      <c r="J1004">
        <v>2008</v>
      </c>
      <c r="K1004">
        <v>1</v>
      </c>
      <c r="L1004">
        <v>9</v>
      </c>
      <c r="M1004" t="s">
        <v>89</v>
      </c>
      <c r="N1004">
        <v>0</v>
      </c>
      <c r="O1004">
        <v>0</v>
      </c>
    </row>
    <row r="1005" spans="1:15" x14ac:dyDescent="0.3">
      <c r="A1005">
        <v>1100</v>
      </c>
      <c r="B1005" s="34">
        <v>39457</v>
      </c>
      <c r="C1005">
        <v>1.4658</v>
      </c>
      <c r="D1005">
        <v>12</v>
      </c>
      <c r="E1005" t="s">
        <v>324</v>
      </c>
      <c r="F1005">
        <v>0.33689999999999698</v>
      </c>
      <c r="G1005">
        <v>6.0251046025104502</v>
      </c>
      <c r="H1005">
        <v>0</v>
      </c>
      <c r="I1005">
        <v>0.54318180000000005</v>
      </c>
      <c r="J1005">
        <v>2008</v>
      </c>
      <c r="K1005">
        <v>1</v>
      </c>
      <c r="L1005">
        <v>10</v>
      </c>
      <c r="M1005" t="s">
        <v>90</v>
      </c>
      <c r="N1005">
        <v>0</v>
      </c>
      <c r="O1005">
        <v>0</v>
      </c>
    </row>
    <row r="1006" spans="1:15" x14ac:dyDescent="0.3">
      <c r="A1006">
        <v>1101</v>
      </c>
      <c r="B1006" s="34">
        <v>39458</v>
      </c>
      <c r="C1006">
        <v>1.4805999999999999</v>
      </c>
      <c r="D1006">
        <v>0</v>
      </c>
      <c r="F1006">
        <v>0.33689999999999698</v>
      </c>
      <c r="G1006">
        <v>6.0251046025104502</v>
      </c>
      <c r="H1006">
        <v>1</v>
      </c>
      <c r="I1006">
        <v>0.54359670000000004</v>
      </c>
      <c r="J1006">
        <v>2008</v>
      </c>
      <c r="K1006">
        <v>1</v>
      </c>
      <c r="L1006">
        <v>11</v>
      </c>
      <c r="M1006" t="s">
        <v>91</v>
      </c>
      <c r="N1006">
        <v>0</v>
      </c>
      <c r="O1006">
        <v>0</v>
      </c>
    </row>
    <row r="1007" spans="1:15" x14ac:dyDescent="0.3">
      <c r="A1007">
        <v>1102</v>
      </c>
      <c r="B1007" s="34">
        <v>39461</v>
      </c>
      <c r="C1007">
        <v>1.4776</v>
      </c>
      <c r="D1007">
        <v>0</v>
      </c>
      <c r="F1007">
        <v>0.33689999999999698</v>
      </c>
      <c r="G1007">
        <v>6.0251046025104502</v>
      </c>
      <c r="H1007">
        <v>1</v>
      </c>
      <c r="I1007">
        <v>0.54401089999999996</v>
      </c>
      <c r="J1007">
        <v>2008</v>
      </c>
      <c r="K1007">
        <v>1</v>
      </c>
      <c r="L1007">
        <v>14</v>
      </c>
      <c r="M1007" t="s">
        <v>92</v>
      </c>
      <c r="N1007">
        <v>0</v>
      </c>
      <c r="O1007">
        <v>0</v>
      </c>
    </row>
    <row r="1008" spans="1:15" x14ac:dyDescent="0.3">
      <c r="A1008">
        <v>1103</v>
      </c>
      <c r="B1008" s="34">
        <v>39462</v>
      </c>
      <c r="C1008">
        <v>1.4863999999999999</v>
      </c>
      <c r="D1008">
        <v>0</v>
      </c>
      <c r="F1008">
        <v>0.33689999999999698</v>
      </c>
      <c r="G1008">
        <v>6.0251046025104502</v>
      </c>
      <c r="H1008">
        <v>0</v>
      </c>
      <c r="I1008">
        <v>0.54351769999999999</v>
      </c>
      <c r="J1008">
        <v>2008</v>
      </c>
      <c r="K1008">
        <v>1</v>
      </c>
      <c r="L1008">
        <v>15</v>
      </c>
      <c r="M1008" t="s">
        <v>93</v>
      </c>
      <c r="N1008">
        <v>0</v>
      </c>
      <c r="O1008">
        <v>0</v>
      </c>
    </row>
    <row r="1009" spans="1:15" x14ac:dyDescent="0.3">
      <c r="A1009">
        <v>1104</v>
      </c>
      <c r="B1009" s="34">
        <v>39463</v>
      </c>
      <c r="C1009">
        <v>1.4776</v>
      </c>
      <c r="D1009">
        <v>0</v>
      </c>
      <c r="F1009">
        <v>0.33689999999999698</v>
      </c>
      <c r="G1009">
        <v>6.0251046025104502</v>
      </c>
      <c r="H1009">
        <v>1</v>
      </c>
      <c r="I1009">
        <v>0.54393119999999995</v>
      </c>
      <c r="J1009">
        <v>2008</v>
      </c>
      <c r="K1009">
        <v>1</v>
      </c>
      <c r="L1009">
        <v>16</v>
      </c>
      <c r="M1009" t="s">
        <v>89</v>
      </c>
      <c r="N1009">
        <v>0</v>
      </c>
      <c r="O1009">
        <v>0</v>
      </c>
    </row>
    <row r="1010" spans="1:15" x14ac:dyDescent="0.3">
      <c r="A1010">
        <v>1105</v>
      </c>
      <c r="B1010" s="34">
        <v>39464</v>
      </c>
      <c r="C1010">
        <v>1.4652000000000001</v>
      </c>
      <c r="D1010">
        <v>9</v>
      </c>
      <c r="E1010" t="s">
        <v>325</v>
      </c>
      <c r="F1010">
        <v>0.33589999999999698</v>
      </c>
      <c r="G1010">
        <v>6.3040446304044897</v>
      </c>
      <c r="H1010">
        <v>1</v>
      </c>
      <c r="I1010">
        <v>0.54434389999999999</v>
      </c>
      <c r="J1010">
        <v>2008</v>
      </c>
      <c r="K1010">
        <v>1</v>
      </c>
      <c r="L1010">
        <v>17</v>
      </c>
      <c r="M1010" t="s">
        <v>90</v>
      </c>
      <c r="N1010">
        <v>0</v>
      </c>
      <c r="O1010">
        <v>0</v>
      </c>
    </row>
    <row r="1011" spans="1:15" x14ac:dyDescent="0.3">
      <c r="A1011">
        <v>1106</v>
      </c>
      <c r="B1011" s="34">
        <v>39465</v>
      </c>
      <c r="C1011">
        <v>1.4641999999999999</v>
      </c>
      <c r="D1011">
        <v>0</v>
      </c>
      <c r="F1011">
        <v>0.33589999999999698</v>
      </c>
      <c r="G1011">
        <v>6.3040446304044897</v>
      </c>
      <c r="H1011">
        <v>0</v>
      </c>
      <c r="I1011">
        <v>0.54385170000000005</v>
      </c>
      <c r="J1011">
        <v>2008</v>
      </c>
      <c r="K1011">
        <v>1</v>
      </c>
      <c r="L1011">
        <v>18</v>
      </c>
      <c r="M1011" t="s">
        <v>91</v>
      </c>
      <c r="N1011">
        <v>0</v>
      </c>
      <c r="O1011">
        <v>0</v>
      </c>
    </row>
    <row r="1012" spans="1:15" x14ac:dyDescent="0.3">
      <c r="A1012">
        <v>1107</v>
      </c>
      <c r="B1012" s="34">
        <v>39468</v>
      </c>
      <c r="C1012">
        <v>1.462</v>
      </c>
      <c r="D1012">
        <v>-1</v>
      </c>
      <c r="F1012">
        <v>0.35499999999999698</v>
      </c>
      <c r="G1012">
        <v>0.97629009762903196</v>
      </c>
      <c r="H1012">
        <v>0</v>
      </c>
      <c r="I1012">
        <v>0.54336039999999997</v>
      </c>
      <c r="J1012">
        <v>2008</v>
      </c>
      <c r="K1012">
        <v>1</v>
      </c>
      <c r="L1012">
        <v>21</v>
      </c>
      <c r="M1012" t="s">
        <v>92</v>
      </c>
      <c r="N1012">
        <v>0</v>
      </c>
      <c r="O1012">
        <v>0</v>
      </c>
    </row>
    <row r="1013" spans="1:15" x14ac:dyDescent="0.3">
      <c r="A1013">
        <v>1108</v>
      </c>
      <c r="B1013" s="34">
        <v>39469</v>
      </c>
      <c r="C1013">
        <v>1.4429000000000001</v>
      </c>
      <c r="D1013">
        <v>2</v>
      </c>
      <c r="E1013" t="s">
        <v>326</v>
      </c>
      <c r="F1013">
        <v>0.37899999999999701</v>
      </c>
      <c r="G1013">
        <v>0</v>
      </c>
      <c r="H1013">
        <v>1</v>
      </c>
      <c r="I1013">
        <v>0.54377260000000005</v>
      </c>
      <c r="J1013">
        <v>2008</v>
      </c>
      <c r="K1013">
        <v>1</v>
      </c>
      <c r="L1013">
        <v>22</v>
      </c>
      <c r="M1013" t="s">
        <v>93</v>
      </c>
      <c r="N1013">
        <v>0</v>
      </c>
      <c r="O1013">
        <v>0</v>
      </c>
    </row>
    <row r="1014" spans="1:15" x14ac:dyDescent="0.3">
      <c r="A1014">
        <v>1109</v>
      </c>
      <c r="B1014" s="34">
        <v>39470</v>
      </c>
      <c r="C1014">
        <v>1.4669000000000001</v>
      </c>
      <c r="D1014">
        <v>0</v>
      </c>
      <c r="F1014">
        <v>0.37899999999999701</v>
      </c>
      <c r="G1014">
        <v>0</v>
      </c>
      <c r="H1014">
        <v>1</v>
      </c>
      <c r="I1014">
        <v>0.544184</v>
      </c>
      <c r="J1014">
        <v>2008</v>
      </c>
      <c r="K1014">
        <v>1</v>
      </c>
      <c r="L1014">
        <v>23</v>
      </c>
      <c r="M1014" t="s">
        <v>89</v>
      </c>
      <c r="N1014">
        <v>0</v>
      </c>
      <c r="O1014">
        <v>0</v>
      </c>
    </row>
    <row r="1015" spans="1:15" x14ac:dyDescent="0.3">
      <c r="A1015">
        <v>1110</v>
      </c>
      <c r="B1015" s="34">
        <v>39471</v>
      </c>
      <c r="C1015">
        <v>1.4631000000000001</v>
      </c>
      <c r="D1015">
        <v>1</v>
      </c>
      <c r="E1015" t="s">
        <v>327</v>
      </c>
      <c r="F1015">
        <v>0.39149999999999702</v>
      </c>
      <c r="G1015">
        <v>0</v>
      </c>
      <c r="H1015">
        <v>1</v>
      </c>
      <c r="I1015">
        <v>0.54459460000000004</v>
      </c>
      <c r="J1015">
        <v>2008</v>
      </c>
      <c r="K1015">
        <v>1</v>
      </c>
      <c r="L1015">
        <v>24</v>
      </c>
      <c r="M1015" t="s">
        <v>90</v>
      </c>
      <c r="N1015">
        <v>0</v>
      </c>
      <c r="O1015">
        <v>0</v>
      </c>
    </row>
    <row r="1016" spans="1:15" x14ac:dyDescent="0.3">
      <c r="A1016">
        <v>1111</v>
      </c>
      <c r="B1016" s="34">
        <v>39472</v>
      </c>
      <c r="C1016">
        <v>1.4756</v>
      </c>
      <c r="D1016">
        <v>-2</v>
      </c>
      <c r="F1016">
        <v>0.39899999999999702</v>
      </c>
      <c r="G1016">
        <v>0</v>
      </c>
      <c r="H1016">
        <v>0</v>
      </c>
      <c r="I1016">
        <v>0.54410440000000004</v>
      </c>
      <c r="J1016">
        <v>2008</v>
      </c>
      <c r="K1016">
        <v>1</v>
      </c>
      <c r="L1016">
        <v>25</v>
      </c>
      <c r="M1016" t="s">
        <v>91</v>
      </c>
      <c r="N1016">
        <v>0</v>
      </c>
      <c r="O1016">
        <v>0</v>
      </c>
    </row>
    <row r="1017" spans="1:15" x14ac:dyDescent="0.3">
      <c r="A1017">
        <v>1112</v>
      </c>
      <c r="B1017" s="34">
        <v>39475</v>
      </c>
      <c r="C1017">
        <v>1.4681</v>
      </c>
      <c r="D1017">
        <v>0</v>
      </c>
      <c r="F1017">
        <v>0.39899999999999702</v>
      </c>
      <c r="G1017">
        <v>0</v>
      </c>
      <c r="H1017">
        <v>1</v>
      </c>
      <c r="I1017">
        <v>0.54451439999999995</v>
      </c>
      <c r="J1017">
        <v>2008</v>
      </c>
      <c r="K1017">
        <v>1</v>
      </c>
      <c r="L1017">
        <v>28</v>
      </c>
      <c r="M1017" t="s">
        <v>92</v>
      </c>
      <c r="N1017">
        <v>0</v>
      </c>
      <c r="O1017">
        <v>0</v>
      </c>
    </row>
    <row r="1018" spans="1:15" x14ac:dyDescent="0.3">
      <c r="A1018">
        <v>1113</v>
      </c>
      <c r="B1018" s="34">
        <v>39476</v>
      </c>
      <c r="C1018">
        <v>1.4787999999999999</v>
      </c>
      <c r="D1018">
        <v>-4</v>
      </c>
      <c r="F1018">
        <v>0.40109999999999701</v>
      </c>
      <c r="G1018">
        <v>0</v>
      </c>
      <c r="H1018">
        <v>0</v>
      </c>
      <c r="I1018">
        <v>0.54402519999999999</v>
      </c>
      <c r="J1018">
        <v>2008</v>
      </c>
      <c r="K1018">
        <v>1</v>
      </c>
      <c r="L1018">
        <v>29</v>
      </c>
      <c r="M1018" t="s">
        <v>93</v>
      </c>
      <c r="N1018">
        <v>0</v>
      </c>
      <c r="O1018">
        <v>0</v>
      </c>
    </row>
    <row r="1019" spans="1:15" x14ac:dyDescent="0.3">
      <c r="A1019">
        <v>1114</v>
      </c>
      <c r="B1019" s="34">
        <v>39477</v>
      </c>
      <c r="C1019">
        <v>1.4766999999999999</v>
      </c>
      <c r="D1019">
        <v>0</v>
      </c>
      <c r="F1019">
        <v>0.40109999999999701</v>
      </c>
      <c r="G1019">
        <v>0</v>
      </c>
      <c r="H1019">
        <v>1</v>
      </c>
      <c r="I1019">
        <v>0.54443450000000004</v>
      </c>
      <c r="J1019">
        <v>2008</v>
      </c>
      <c r="K1019">
        <v>1</v>
      </c>
      <c r="L1019">
        <v>30</v>
      </c>
      <c r="M1019" t="s">
        <v>89</v>
      </c>
      <c r="N1019">
        <v>0</v>
      </c>
      <c r="O1019">
        <v>0</v>
      </c>
    </row>
    <row r="1020" spans="1:15" x14ac:dyDescent="0.3">
      <c r="A1020">
        <v>1115</v>
      </c>
      <c r="B1020" s="34">
        <v>39478</v>
      </c>
      <c r="C1020">
        <v>1.4853000000000001</v>
      </c>
      <c r="D1020">
        <v>-1</v>
      </c>
      <c r="F1020">
        <v>0.401699999999997</v>
      </c>
      <c r="G1020">
        <v>0</v>
      </c>
      <c r="H1020">
        <v>0</v>
      </c>
      <c r="I1020">
        <v>0.54394620000000005</v>
      </c>
      <c r="J1020">
        <v>2008</v>
      </c>
      <c r="K1020">
        <v>1</v>
      </c>
      <c r="L1020">
        <v>31</v>
      </c>
      <c r="M1020" t="s">
        <v>90</v>
      </c>
      <c r="N1020">
        <v>0</v>
      </c>
      <c r="O1020">
        <v>0</v>
      </c>
    </row>
    <row r="1021" spans="1:15" x14ac:dyDescent="0.3">
      <c r="A1021">
        <v>1116</v>
      </c>
      <c r="B1021" s="34">
        <v>39479</v>
      </c>
      <c r="C1021">
        <v>1.4846999999999999</v>
      </c>
      <c r="D1021">
        <v>0</v>
      </c>
      <c r="F1021">
        <v>0.401699999999997</v>
      </c>
      <c r="G1021">
        <v>0</v>
      </c>
      <c r="H1021">
        <v>1</v>
      </c>
      <c r="I1021">
        <v>0.54435489999999997</v>
      </c>
      <c r="J1021">
        <v>2008</v>
      </c>
      <c r="K1021">
        <v>2</v>
      </c>
      <c r="L1021">
        <v>1</v>
      </c>
      <c r="M1021" t="s">
        <v>91</v>
      </c>
      <c r="N1021">
        <v>0</v>
      </c>
      <c r="O1021">
        <v>0</v>
      </c>
    </row>
    <row r="1022" spans="1:15" x14ac:dyDescent="0.3">
      <c r="A1022">
        <v>1117</v>
      </c>
      <c r="B1022" s="34">
        <v>39482</v>
      </c>
      <c r="C1022">
        <v>1.4801</v>
      </c>
      <c r="D1022">
        <v>7</v>
      </c>
      <c r="E1022" t="s">
        <v>328</v>
      </c>
      <c r="F1022">
        <v>0.40439999999999698</v>
      </c>
      <c r="G1022">
        <v>0</v>
      </c>
      <c r="H1022">
        <v>1</v>
      </c>
      <c r="I1022">
        <v>0.54476270000000004</v>
      </c>
      <c r="J1022">
        <v>2008</v>
      </c>
      <c r="K1022">
        <v>2</v>
      </c>
      <c r="L1022">
        <v>4</v>
      </c>
      <c r="M1022" t="s">
        <v>92</v>
      </c>
      <c r="N1022">
        <v>0</v>
      </c>
      <c r="O1022">
        <v>0</v>
      </c>
    </row>
    <row r="1023" spans="1:15" x14ac:dyDescent="0.3">
      <c r="A1023">
        <v>1118</v>
      </c>
      <c r="B1023" s="34">
        <v>39483</v>
      </c>
      <c r="C1023">
        <v>1.4827999999999999</v>
      </c>
      <c r="D1023">
        <v>-1</v>
      </c>
      <c r="F1023">
        <v>0.42249999999999699</v>
      </c>
      <c r="G1023">
        <v>0</v>
      </c>
      <c r="H1023">
        <v>1</v>
      </c>
      <c r="I1023">
        <v>0.54516989999999999</v>
      </c>
      <c r="J1023">
        <v>2008</v>
      </c>
      <c r="K1023">
        <v>2</v>
      </c>
      <c r="L1023">
        <v>5</v>
      </c>
      <c r="M1023" t="s">
        <v>93</v>
      </c>
      <c r="N1023">
        <v>0</v>
      </c>
      <c r="O1023">
        <v>0</v>
      </c>
    </row>
    <row r="1024" spans="1:15" x14ac:dyDescent="0.3">
      <c r="A1024">
        <v>1119</v>
      </c>
      <c r="B1024" s="34">
        <v>39484</v>
      </c>
      <c r="C1024">
        <v>1.4646999999999999</v>
      </c>
      <c r="D1024">
        <v>8</v>
      </c>
      <c r="E1024" t="s">
        <v>329</v>
      </c>
      <c r="F1024">
        <v>0.419899999999997</v>
      </c>
      <c r="G1024">
        <v>0.61538461538460298</v>
      </c>
      <c r="H1024">
        <v>0</v>
      </c>
      <c r="I1024">
        <v>0.54468269999999996</v>
      </c>
      <c r="J1024">
        <v>2008</v>
      </c>
      <c r="K1024">
        <v>2</v>
      </c>
      <c r="L1024">
        <v>6</v>
      </c>
      <c r="M1024" t="s">
        <v>89</v>
      </c>
      <c r="N1024">
        <v>0</v>
      </c>
      <c r="O1024">
        <v>0</v>
      </c>
    </row>
    <row r="1025" spans="1:15" x14ac:dyDescent="0.3">
      <c r="A1025">
        <v>1120</v>
      </c>
      <c r="B1025" s="34">
        <v>39485</v>
      </c>
      <c r="C1025">
        <v>1.4621</v>
      </c>
      <c r="D1025">
        <v>0</v>
      </c>
      <c r="F1025">
        <v>0.419899999999997</v>
      </c>
      <c r="G1025">
        <v>0.61538461538460298</v>
      </c>
      <c r="H1025">
        <v>0</v>
      </c>
      <c r="I1025">
        <v>0.54419640000000002</v>
      </c>
      <c r="J1025">
        <v>2008</v>
      </c>
      <c r="K1025">
        <v>2</v>
      </c>
      <c r="L1025">
        <v>7</v>
      </c>
      <c r="M1025" t="s">
        <v>90</v>
      </c>
      <c r="N1025">
        <v>0</v>
      </c>
      <c r="O1025">
        <v>0</v>
      </c>
    </row>
    <row r="1026" spans="1:15" x14ac:dyDescent="0.3">
      <c r="A1026">
        <v>1121</v>
      </c>
      <c r="B1026" s="34">
        <v>39486</v>
      </c>
      <c r="C1026">
        <v>1.4492</v>
      </c>
      <c r="D1026">
        <v>0</v>
      </c>
      <c r="F1026">
        <v>0.419899999999997</v>
      </c>
      <c r="G1026">
        <v>0.61538461538460298</v>
      </c>
      <c r="H1026">
        <v>0</v>
      </c>
      <c r="I1026">
        <v>0.5437109</v>
      </c>
      <c r="J1026">
        <v>2008</v>
      </c>
      <c r="K1026">
        <v>2</v>
      </c>
      <c r="L1026">
        <v>8</v>
      </c>
      <c r="M1026" t="s">
        <v>91</v>
      </c>
      <c r="N1026">
        <v>0</v>
      </c>
      <c r="O1026">
        <v>0</v>
      </c>
    </row>
    <row r="1027" spans="1:15" x14ac:dyDescent="0.3">
      <c r="A1027">
        <v>1122</v>
      </c>
      <c r="B1027" s="34">
        <v>39489</v>
      </c>
      <c r="C1027">
        <v>1.4503999999999999</v>
      </c>
      <c r="D1027">
        <v>0</v>
      </c>
      <c r="F1027">
        <v>0.419899999999997</v>
      </c>
      <c r="G1027">
        <v>0.61538461538460298</v>
      </c>
      <c r="H1027">
        <v>1</v>
      </c>
      <c r="I1027">
        <v>0.54411759999999998</v>
      </c>
      <c r="J1027">
        <v>2008</v>
      </c>
      <c r="K1027">
        <v>2</v>
      </c>
      <c r="L1027">
        <v>11</v>
      </c>
      <c r="M1027" t="s">
        <v>92</v>
      </c>
      <c r="N1027">
        <v>0</v>
      </c>
      <c r="O1027">
        <v>0</v>
      </c>
    </row>
    <row r="1028" spans="1:15" x14ac:dyDescent="0.3">
      <c r="A1028">
        <v>1123</v>
      </c>
      <c r="B1028" s="34">
        <v>39490</v>
      </c>
      <c r="C1028">
        <v>1.4517</v>
      </c>
      <c r="D1028">
        <v>-4</v>
      </c>
      <c r="F1028">
        <v>0.41419999999999702</v>
      </c>
      <c r="G1028">
        <v>1.9644970414201199</v>
      </c>
      <c r="H1028">
        <v>1</v>
      </c>
      <c r="I1028">
        <v>0.5445236</v>
      </c>
      <c r="J1028">
        <v>2008</v>
      </c>
      <c r="K1028">
        <v>2</v>
      </c>
      <c r="L1028">
        <v>12</v>
      </c>
      <c r="M1028" t="s">
        <v>93</v>
      </c>
      <c r="N1028">
        <v>0</v>
      </c>
      <c r="O1028">
        <v>0</v>
      </c>
    </row>
    <row r="1029" spans="1:15" x14ac:dyDescent="0.3">
      <c r="A1029">
        <v>1124</v>
      </c>
      <c r="B1029" s="34">
        <v>39491</v>
      </c>
      <c r="C1029">
        <v>1.4574</v>
      </c>
      <c r="D1029">
        <v>-10</v>
      </c>
      <c r="F1029">
        <v>0.41449999999999698</v>
      </c>
      <c r="G1029">
        <v>1.89349112426036</v>
      </c>
      <c r="H1029">
        <v>1</v>
      </c>
      <c r="I1029">
        <v>0.54492879999999999</v>
      </c>
      <c r="J1029">
        <v>2008</v>
      </c>
      <c r="K1029">
        <v>2</v>
      </c>
      <c r="L1029">
        <v>13</v>
      </c>
      <c r="M1029" t="s">
        <v>89</v>
      </c>
      <c r="N1029">
        <v>0</v>
      </c>
      <c r="O1029">
        <v>0</v>
      </c>
    </row>
    <row r="1030" spans="1:15" x14ac:dyDescent="0.3">
      <c r="A1030">
        <v>1125</v>
      </c>
      <c r="B1030" s="34">
        <v>39492</v>
      </c>
      <c r="C1030">
        <v>1.4571000000000001</v>
      </c>
      <c r="D1030">
        <v>0</v>
      </c>
      <c r="F1030">
        <v>0.41449999999999698</v>
      </c>
      <c r="G1030">
        <v>1.89349112426036</v>
      </c>
      <c r="H1030">
        <v>1</v>
      </c>
      <c r="I1030">
        <v>0.54533330000000002</v>
      </c>
      <c r="J1030">
        <v>2008</v>
      </c>
      <c r="K1030">
        <v>2</v>
      </c>
      <c r="L1030">
        <v>14</v>
      </c>
      <c r="M1030" t="s">
        <v>90</v>
      </c>
      <c r="N1030">
        <v>0</v>
      </c>
      <c r="O1030">
        <v>0</v>
      </c>
    </row>
    <row r="1031" spans="1:15" x14ac:dyDescent="0.3">
      <c r="A1031">
        <v>1126</v>
      </c>
      <c r="B1031" s="34">
        <v>39493</v>
      </c>
      <c r="C1031">
        <v>1.4639</v>
      </c>
      <c r="D1031">
        <v>-5</v>
      </c>
      <c r="F1031">
        <v>0.410299999999997</v>
      </c>
      <c r="G1031">
        <v>2.8875739644970499</v>
      </c>
      <c r="H1031">
        <v>0</v>
      </c>
      <c r="I1031">
        <v>0.54484900000000003</v>
      </c>
      <c r="J1031">
        <v>2008</v>
      </c>
      <c r="K1031">
        <v>2</v>
      </c>
      <c r="L1031">
        <v>15</v>
      </c>
      <c r="M1031" t="s">
        <v>91</v>
      </c>
      <c r="N1031">
        <v>0</v>
      </c>
      <c r="O1031">
        <v>0</v>
      </c>
    </row>
    <row r="1032" spans="1:15" x14ac:dyDescent="0.3">
      <c r="A1032">
        <v>1127</v>
      </c>
      <c r="B1032" s="34">
        <v>39496</v>
      </c>
      <c r="C1032">
        <v>1.4681</v>
      </c>
      <c r="D1032">
        <v>0</v>
      </c>
      <c r="F1032">
        <v>0.410299999999997</v>
      </c>
      <c r="G1032">
        <v>2.8875739644970499</v>
      </c>
      <c r="H1032">
        <v>0</v>
      </c>
      <c r="I1032">
        <v>0.54436560000000001</v>
      </c>
      <c r="J1032">
        <v>2008</v>
      </c>
      <c r="K1032">
        <v>2</v>
      </c>
      <c r="L1032">
        <v>18</v>
      </c>
      <c r="M1032" t="s">
        <v>92</v>
      </c>
      <c r="N1032">
        <v>0</v>
      </c>
      <c r="O1032">
        <v>0</v>
      </c>
    </row>
    <row r="1033" spans="1:15" x14ac:dyDescent="0.3">
      <c r="A1033">
        <v>1128</v>
      </c>
      <c r="B1033" s="34">
        <v>39497</v>
      </c>
      <c r="C1033">
        <v>1.4652000000000001</v>
      </c>
      <c r="D1033">
        <v>0</v>
      </c>
      <c r="F1033">
        <v>0.410299999999997</v>
      </c>
      <c r="G1033">
        <v>2.8875739644970499</v>
      </c>
      <c r="H1033">
        <v>1</v>
      </c>
      <c r="I1033">
        <v>0.54476950000000002</v>
      </c>
      <c r="J1033">
        <v>2008</v>
      </c>
      <c r="K1033">
        <v>2</v>
      </c>
      <c r="L1033">
        <v>19</v>
      </c>
      <c r="M1033" t="s">
        <v>93</v>
      </c>
      <c r="N1033">
        <v>0</v>
      </c>
      <c r="O1033">
        <v>0</v>
      </c>
    </row>
    <row r="1034" spans="1:15" x14ac:dyDescent="0.3">
      <c r="A1034">
        <v>1129</v>
      </c>
      <c r="B1034" s="34">
        <v>39498</v>
      </c>
      <c r="C1034">
        <v>1.4726999999999999</v>
      </c>
      <c r="D1034">
        <v>-10</v>
      </c>
      <c r="F1034">
        <v>0.411799999999997</v>
      </c>
      <c r="G1034">
        <v>2.5325443786982702</v>
      </c>
      <c r="H1034">
        <v>0</v>
      </c>
      <c r="I1034">
        <v>0.54428699999999997</v>
      </c>
      <c r="J1034">
        <v>2008</v>
      </c>
      <c r="K1034">
        <v>2</v>
      </c>
      <c r="L1034">
        <v>20</v>
      </c>
      <c r="M1034" t="s">
        <v>89</v>
      </c>
      <c r="N1034">
        <v>0</v>
      </c>
      <c r="O1034">
        <v>0</v>
      </c>
    </row>
    <row r="1035" spans="1:15" x14ac:dyDescent="0.3">
      <c r="A1035">
        <v>1130</v>
      </c>
      <c r="B1035" s="34">
        <v>39499</v>
      </c>
      <c r="C1035">
        <v>1.4712000000000001</v>
      </c>
      <c r="D1035">
        <v>0</v>
      </c>
      <c r="F1035">
        <v>0.411799999999997</v>
      </c>
      <c r="G1035">
        <v>2.5325443786982702</v>
      </c>
      <c r="H1035">
        <v>1</v>
      </c>
      <c r="I1035">
        <v>0.54469029999999996</v>
      </c>
      <c r="J1035">
        <v>2008</v>
      </c>
      <c r="K1035">
        <v>2</v>
      </c>
      <c r="L1035">
        <v>21</v>
      </c>
      <c r="M1035" t="s">
        <v>90</v>
      </c>
      <c r="N1035">
        <v>0</v>
      </c>
      <c r="O1035">
        <v>0</v>
      </c>
    </row>
    <row r="1036" spans="1:15" x14ac:dyDescent="0.3">
      <c r="A1036">
        <v>1131</v>
      </c>
      <c r="B1036" s="34">
        <v>39500</v>
      </c>
      <c r="C1036">
        <v>1.482</v>
      </c>
      <c r="D1036">
        <v>-4</v>
      </c>
      <c r="F1036">
        <v>0.41099999999999698</v>
      </c>
      <c r="G1036">
        <v>2.7218934911242898</v>
      </c>
      <c r="H1036">
        <v>0</v>
      </c>
      <c r="I1036">
        <v>0.54420860000000004</v>
      </c>
      <c r="J1036">
        <v>2008</v>
      </c>
      <c r="K1036">
        <v>2</v>
      </c>
      <c r="L1036">
        <v>22</v>
      </c>
      <c r="M1036" t="s">
        <v>91</v>
      </c>
      <c r="N1036">
        <v>0</v>
      </c>
      <c r="O1036">
        <v>0</v>
      </c>
    </row>
    <row r="1037" spans="1:15" x14ac:dyDescent="0.3">
      <c r="A1037">
        <v>1132</v>
      </c>
      <c r="B1037" s="34">
        <v>39503</v>
      </c>
      <c r="C1037">
        <v>1.4827999999999999</v>
      </c>
      <c r="D1037">
        <v>0</v>
      </c>
      <c r="F1037">
        <v>0.41099999999999698</v>
      </c>
      <c r="G1037">
        <v>2.7218934911242898</v>
      </c>
      <c r="H1037">
        <v>0</v>
      </c>
      <c r="I1037">
        <v>0.54372790000000004</v>
      </c>
      <c r="J1037">
        <v>2008</v>
      </c>
      <c r="K1037">
        <v>2</v>
      </c>
      <c r="L1037">
        <v>25</v>
      </c>
      <c r="M1037" t="s">
        <v>92</v>
      </c>
      <c r="N1037">
        <v>0</v>
      </c>
      <c r="O1037">
        <v>0</v>
      </c>
    </row>
    <row r="1038" spans="1:15" x14ac:dyDescent="0.3">
      <c r="A1038">
        <v>1133</v>
      </c>
      <c r="B1038" s="34">
        <v>39504</v>
      </c>
      <c r="C1038">
        <v>1.4827999999999999</v>
      </c>
      <c r="D1038">
        <v>-32</v>
      </c>
      <c r="F1038">
        <v>0.39279999999999698</v>
      </c>
      <c r="G1038">
        <v>7.0295857988166199</v>
      </c>
      <c r="H1038">
        <v>0.5</v>
      </c>
      <c r="I1038">
        <v>0.54368930000000004</v>
      </c>
      <c r="J1038">
        <v>2008</v>
      </c>
      <c r="K1038">
        <v>2</v>
      </c>
      <c r="L1038">
        <v>26</v>
      </c>
      <c r="M1038" t="s">
        <v>93</v>
      </c>
      <c r="N1038">
        <v>0</v>
      </c>
      <c r="O1038">
        <v>0</v>
      </c>
    </row>
    <row r="1039" spans="1:15" x14ac:dyDescent="0.3">
      <c r="A1039">
        <v>1134</v>
      </c>
      <c r="B1039" s="34">
        <v>39505</v>
      </c>
      <c r="C1039">
        <v>1.5009999999999999</v>
      </c>
      <c r="D1039">
        <v>-61</v>
      </c>
      <c r="F1039">
        <v>0.382099999999997</v>
      </c>
      <c r="G1039">
        <v>9.5621301775148897</v>
      </c>
      <c r="H1039">
        <v>0.5</v>
      </c>
      <c r="I1039">
        <v>0.54365079999999999</v>
      </c>
      <c r="J1039">
        <v>2008</v>
      </c>
      <c r="K1039">
        <v>2</v>
      </c>
      <c r="L1039">
        <v>27</v>
      </c>
      <c r="M1039" t="s">
        <v>89</v>
      </c>
      <c r="N1039">
        <v>0</v>
      </c>
      <c r="O1039">
        <v>0</v>
      </c>
    </row>
    <row r="1040" spans="1:15" x14ac:dyDescent="0.3">
      <c r="A1040">
        <v>1135</v>
      </c>
      <c r="B1040" s="34">
        <v>39506</v>
      </c>
      <c r="C1040">
        <v>1.5117</v>
      </c>
      <c r="D1040">
        <v>0</v>
      </c>
      <c r="F1040">
        <v>0.382099999999997</v>
      </c>
      <c r="G1040">
        <v>9.5621301775148897</v>
      </c>
      <c r="H1040">
        <v>0</v>
      </c>
      <c r="I1040">
        <v>0.54317179999999998</v>
      </c>
      <c r="J1040">
        <v>2008</v>
      </c>
      <c r="K1040">
        <v>2</v>
      </c>
      <c r="L1040">
        <v>28</v>
      </c>
      <c r="M1040" t="s">
        <v>90</v>
      </c>
      <c r="N1040">
        <v>0</v>
      </c>
      <c r="O1040">
        <v>0</v>
      </c>
    </row>
    <row r="1041" spans="1:15" x14ac:dyDescent="0.3">
      <c r="A1041">
        <v>1136</v>
      </c>
      <c r="B1041" s="34">
        <v>39507</v>
      </c>
      <c r="C1041">
        <v>1.5188999999999999</v>
      </c>
      <c r="D1041">
        <v>0</v>
      </c>
      <c r="F1041">
        <v>0.382099999999997</v>
      </c>
      <c r="G1041">
        <v>9.5621301775148897</v>
      </c>
      <c r="H1041">
        <v>0</v>
      </c>
      <c r="I1041">
        <v>0.54269369999999995</v>
      </c>
      <c r="J1041">
        <v>2008</v>
      </c>
      <c r="K1041">
        <v>2</v>
      </c>
      <c r="L1041">
        <v>29</v>
      </c>
      <c r="M1041" t="s">
        <v>91</v>
      </c>
      <c r="N1041">
        <v>0</v>
      </c>
      <c r="O1041">
        <v>0</v>
      </c>
    </row>
    <row r="1042" spans="1:15" x14ac:dyDescent="0.3">
      <c r="A1042">
        <v>1137</v>
      </c>
      <c r="B1042" s="34">
        <v>39510</v>
      </c>
      <c r="C1042">
        <v>1.5178</v>
      </c>
      <c r="D1042">
        <v>0</v>
      </c>
      <c r="F1042">
        <v>0.382099999999997</v>
      </c>
      <c r="G1042">
        <v>9.5621301775148897</v>
      </c>
      <c r="H1042">
        <v>1</v>
      </c>
      <c r="I1042">
        <v>0.54309589999999996</v>
      </c>
      <c r="J1042">
        <v>2008</v>
      </c>
      <c r="K1042">
        <v>3</v>
      </c>
      <c r="L1042">
        <v>3</v>
      </c>
      <c r="M1042" t="s">
        <v>92</v>
      </c>
      <c r="N1042">
        <v>0</v>
      </c>
      <c r="O1042">
        <v>0</v>
      </c>
    </row>
    <row r="1043" spans="1:15" x14ac:dyDescent="0.3">
      <c r="A1043">
        <v>1138</v>
      </c>
      <c r="B1043" s="34">
        <v>39511</v>
      </c>
      <c r="C1043">
        <v>1.5196000000000001</v>
      </c>
      <c r="D1043">
        <v>-4</v>
      </c>
      <c r="F1043">
        <v>0.381599999999997</v>
      </c>
      <c r="G1043">
        <v>9.6804733727811492</v>
      </c>
      <c r="H1043">
        <v>0</v>
      </c>
      <c r="I1043">
        <v>0.54261859999999995</v>
      </c>
      <c r="J1043">
        <v>2008</v>
      </c>
      <c r="K1043">
        <v>3</v>
      </c>
      <c r="L1043">
        <v>4</v>
      </c>
      <c r="M1043" t="s">
        <v>93</v>
      </c>
      <c r="N1043">
        <v>0</v>
      </c>
      <c r="O1043">
        <v>0</v>
      </c>
    </row>
    <row r="1044" spans="1:15" x14ac:dyDescent="0.3">
      <c r="A1044">
        <v>1139</v>
      </c>
      <c r="B1044" s="34">
        <v>39512</v>
      </c>
      <c r="C1044">
        <v>1.5201</v>
      </c>
      <c r="D1044">
        <v>1</v>
      </c>
      <c r="E1044" t="s">
        <v>330</v>
      </c>
      <c r="F1044">
        <v>0.38889999999999703</v>
      </c>
      <c r="G1044">
        <v>7.9526627218935504</v>
      </c>
      <c r="H1044">
        <v>0</v>
      </c>
      <c r="I1044">
        <v>0.54214220000000002</v>
      </c>
      <c r="J1044">
        <v>2008</v>
      </c>
      <c r="K1044">
        <v>3</v>
      </c>
      <c r="L1044">
        <v>5</v>
      </c>
      <c r="M1044" t="s">
        <v>89</v>
      </c>
      <c r="N1044">
        <v>0</v>
      </c>
      <c r="O1044">
        <v>0</v>
      </c>
    </row>
    <row r="1045" spans="1:15" x14ac:dyDescent="0.3">
      <c r="A1045">
        <v>1140</v>
      </c>
      <c r="B1045" s="34">
        <v>39513</v>
      </c>
      <c r="C1045">
        <v>1.5274000000000001</v>
      </c>
      <c r="D1045">
        <v>-1</v>
      </c>
      <c r="F1045">
        <v>0.37739999999999702</v>
      </c>
      <c r="G1045">
        <v>10.6745562130177</v>
      </c>
      <c r="H1045">
        <v>0</v>
      </c>
      <c r="I1045">
        <v>0.54166669999999995</v>
      </c>
      <c r="J1045">
        <v>2008</v>
      </c>
      <c r="K1045">
        <v>3</v>
      </c>
      <c r="L1045">
        <v>6</v>
      </c>
      <c r="M1045" t="s">
        <v>90</v>
      </c>
      <c r="N1045">
        <v>0</v>
      </c>
      <c r="O1045">
        <v>0</v>
      </c>
    </row>
    <row r="1046" spans="1:15" x14ac:dyDescent="0.3">
      <c r="A1046">
        <v>1141</v>
      </c>
      <c r="B1046" s="34">
        <v>39514</v>
      </c>
      <c r="C1046">
        <v>1.5388999999999999</v>
      </c>
      <c r="D1046">
        <v>0</v>
      </c>
      <c r="F1046">
        <v>0.37739999999999702</v>
      </c>
      <c r="G1046">
        <v>10.6745562130177</v>
      </c>
      <c r="H1046">
        <v>0</v>
      </c>
      <c r="I1046">
        <v>0.54119189999999995</v>
      </c>
      <c r="J1046">
        <v>2008</v>
      </c>
      <c r="K1046">
        <v>3</v>
      </c>
      <c r="L1046">
        <v>7</v>
      </c>
      <c r="M1046" t="s">
        <v>91</v>
      </c>
      <c r="N1046">
        <v>0</v>
      </c>
      <c r="O1046">
        <v>0</v>
      </c>
    </row>
    <row r="1047" spans="1:15" x14ac:dyDescent="0.3">
      <c r="A1047">
        <v>1142</v>
      </c>
      <c r="B1047" s="34">
        <v>39517</v>
      </c>
      <c r="C1047">
        <v>1.5354000000000001</v>
      </c>
      <c r="D1047">
        <v>0</v>
      </c>
      <c r="F1047">
        <v>0.37739999999999702</v>
      </c>
      <c r="G1047">
        <v>10.6745562130177</v>
      </c>
      <c r="H1047">
        <v>1</v>
      </c>
      <c r="I1047">
        <v>0.54159369999999996</v>
      </c>
      <c r="J1047">
        <v>2008</v>
      </c>
      <c r="K1047">
        <v>3</v>
      </c>
      <c r="L1047">
        <v>10</v>
      </c>
      <c r="M1047" t="s">
        <v>92</v>
      </c>
      <c r="N1047">
        <v>0</v>
      </c>
      <c r="O1047">
        <v>0</v>
      </c>
    </row>
    <row r="1048" spans="1:15" x14ac:dyDescent="0.3">
      <c r="A1048">
        <v>1143</v>
      </c>
      <c r="B1048" s="34">
        <v>39518</v>
      </c>
      <c r="C1048">
        <v>1.5366</v>
      </c>
      <c r="D1048">
        <v>-2</v>
      </c>
      <c r="F1048">
        <v>0.37979999999999697</v>
      </c>
      <c r="G1048">
        <v>10.1065088757396</v>
      </c>
      <c r="H1048">
        <v>0</v>
      </c>
      <c r="I1048">
        <v>0.54111989999999999</v>
      </c>
      <c r="J1048">
        <v>2008</v>
      </c>
      <c r="K1048">
        <v>3</v>
      </c>
      <c r="L1048">
        <v>11</v>
      </c>
      <c r="M1048" t="s">
        <v>93</v>
      </c>
      <c r="N1048">
        <v>0</v>
      </c>
      <c r="O1048">
        <v>0</v>
      </c>
    </row>
    <row r="1049" spans="1:15" x14ac:dyDescent="0.3">
      <c r="A1049">
        <v>1144</v>
      </c>
      <c r="B1049" s="34">
        <v>39519</v>
      </c>
      <c r="C1049">
        <v>1.5342</v>
      </c>
      <c r="D1049">
        <v>1</v>
      </c>
      <c r="E1049" t="s">
        <v>331</v>
      </c>
      <c r="F1049">
        <v>0.39849999999999702</v>
      </c>
      <c r="G1049">
        <v>5.6804733727811003</v>
      </c>
      <c r="H1049">
        <v>1</v>
      </c>
      <c r="I1049">
        <v>0.54152100000000003</v>
      </c>
      <c r="J1049">
        <v>2008</v>
      </c>
      <c r="K1049">
        <v>3</v>
      </c>
      <c r="L1049">
        <v>12</v>
      </c>
      <c r="M1049" t="s">
        <v>89</v>
      </c>
      <c r="N1049">
        <v>0</v>
      </c>
      <c r="O1049">
        <v>0</v>
      </c>
    </row>
    <row r="1050" spans="1:15" x14ac:dyDescent="0.3">
      <c r="A1050">
        <v>1145</v>
      </c>
      <c r="B1050" s="34">
        <v>39520</v>
      </c>
      <c r="C1050">
        <v>1.5528999999999999</v>
      </c>
      <c r="D1050">
        <v>-4</v>
      </c>
      <c r="F1050">
        <v>0.390099999999997</v>
      </c>
      <c r="G1050">
        <v>7.6686390532544699</v>
      </c>
      <c r="H1050">
        <v>0</v>
      </c>
      <c r="I1050">
        <v>0.54104799999999997</v>
      </c>
      <c r="J1050">
        <v>2008</v>
      </c>
      <c r="K1050">
        <v>3</v>
      </c>
      <c r="L1050">
        <v>13</v>
      </c>
      <c r="M1050" t="s">
        <v>90</v>
      </c>
      <c r="N1050">
        <v>0</v>
      </c>
      <c r="O1050">
        <v>0</v>
      </c>
    </row>
    <row r="1051" spans="1:15" x14ac:dyDescent="0.3">
      <c r="A1051">
        <v>1146</v>
      </c>
      <c r="B1051" s="34">
        <v>39521</v>
      </c>
      <c r="C1051">
        <v>1.5612999999999999</v>
      </c>
      <c r="D1051">
        <v>0</v>
      </c>
      <c r="F1051">
        <v>0.390099999999997</v>
      </c>
      <c r="G1051">
        <v>7.6686390532544699</v>
      </c>
      <c r="H1051">
        <v>0</v>
      </c>
      <c r="I1051">
        <v>0.5405759</v>
      </c>
      <c r="J1051">
        <v>2008</v>
      </c>
      <c r="K1051">
        <v>3</v>
      </c>
      <c r="L1051">
        <v>14</v>
      </c>
      <c r="M1051" t="s">
        <v>91</v>
      </c>
      <c r="N1051">
        <v>0</v>
      </c>
      <c r="O1051">
        <v>0</v>
      </c>
    </row>
    <row r="1052" spans="1:15" x14ac:dyDescent="0.3">
      <c r="A1052">
        <v>1147</v>
      </c>
      <c r="B1052" s="34">
        <v>39524</v>
      </c>
      <c r="C1052">
        <v>1.5672999999999999</v>
      </c>
      <c r="D1052">
        <v>0</v>
      </c>
      <c r="F1052">
        <v>0.390099999999997</v>
      </c>
      <c r="G1052">
        <v>7.6686390532544699</v>
      </c>
      <c r="H1052">
        <v>0</v>
      </c>
      <c r="I1052">
        <v>0.54010460000000005</v>
      </c>
      <c r="J1052">
        <v>2008</v>
      </c>
      <c r="K1052">
        <v>3</v>
      </c>
      <c r="L1052">
        <v>17</v>
      </c>
      <c r="M1052" t="s">
        <v>92</v>
      </c>
      <c r="N1052">
        <v>0</v>
      </c>
      <c r="O1052">
        <v>0</v>
      </c>
    </row>
    <row r="1053" spans="1:15" x14ac:dyDescent="0.3">
      <c r="A1053">
        <v>1148</v>
      </c>
      <c r="B1053" s="34">
        <v>39525</v>
      </c>
      <c r="C1053">
        <v>1.5716000000000001</v>
      </c>
      <c r="D1053">
        <v>0</v>
      </c>
      <c r="F1053">
        <v>0.390099999999997</v>
      </c>
      <c r="G1053">
        <v>7.6686390532544699</v>
      </c>
      <c r="H1053">
        <v>0</v>
      </c>
      <c r="I1053">
        <v>0.53963419999999995</v>
      </c>
      <c r="J1053">
        <v>2008</v>
      </c>
      <c r="K1053">
        <v>3</v>
      </c>
      <c r="L1053">
        <v>18</v>
      </c>
      <c r="M1053" t="s">
        <v>93</v>
      </c>
      <c r="N1053">
        <v>0</v>
      </c>
      <c r="O1053">
        <v>0</v>
      </c>
    </row>
    <row r="1054" spans="1:15" x14ac:dyDescent="0.3">
      <c r="A1054">
        <v>1149</v>
      </c>
      <c r="B1054" s="34">
        <v>39526</v>
      </c>
      <c r="C1054">
        <v>1.5638000000000001</v>
      </c>
      <c r="D1054">
        <v>5</v>
      </c>
      <c r="E1054" t="s">
        <v>332</v>
      </c>
      <c r="F1054">
        <v>0.39039999999999703</v>
      </c>
      <c r="G1054">
        <v>7.5976331360947196</v>
      </c>
      <c r="H1054">
        <v>1</v>
      </c>
      <c r="I1054">
        <v>0.54003480000000004</v>
      </c>
      <c r="J1054">
        <v>2008</v>
      </c>
      <c r="K1054">
        <v>3</v>
      </c>
      <c r="L1054">
        <v>19</v>
      </c>
      <c r="M1054" t="s">
        <v>89</v>
      </c>
      <c r="N1054">
        <v>0</v>
      </c>
      <c r="O1054">
        <v>0</v>
      </c>
    </row>
    <row r="1055" spans="1:15" x14ac:dyDescent="0.3">
      <c r="A1055">
        <v>1150</v>
      </c>
      <c r="B1055" s="34">
        <v>39527</v>
      </c>
      <c r="C1055">
        <v>1.5641</v>
      </c>
      <c r="D1055">
        <v>-1</v>
      </c>
      <c r="F1055">
        <v>0.40999999999999698</v>
      </c>
      <c r="G1055">
        <v>2.9585798816568101</v>
      </c>
      <c r="H1055">
        <v>0</v>
      </c>
      <c r="I1055">
        <v>0.53956519999999997</v>
      </c>
      <c r="J1055">
        <v>2008</v>
      </c>
      <c r="K1055">
        <v>3</v>
      </c>
      <c r="L1055">
        <v>20</v>
      </c>
      <c r="M1055" t="s">
        <v>90</v>
      </c>
      <c r="N1055">
        <v>0</v>
      </c>
      <c r="O1055">
        <v>0</v>
      </c>
    </row>
    <row r="1056" spans="1:15" x14ac:dyDescent="0.3">
      <c r="A1056">
        <v>1151</v>
      </c>
      <c r="B1056" s="34">
        <v>39528</v>
      </c>
      <c r="C1056">
        <v>1.5445</v>
      </c>
      <c r="D1056">
        <v>2</v>
      </c>
      <c r="E1056" t="s">
        <v>333</v>
      </c>
      <c r="F1056">
        <v>0.40869999999999701</v>
      </c>
      <c r="G1056">
        <v>3.26627218934913</v>
      </c>
      <c r="H1056">
        <v>1</v>
      </c>
      <c r="I1056">
        <v>0.53996529999999998</v>
      </c>
      <c r="J1056">
        <v>2008</v>
      </c>
      <c r="K1056">
        <v>3</v>
      </c>
      <c r="L1056">
        <v>21</v>
      </c>
      <c r="M1056" t="s">
        <v>91</v>
      </c>
      <c r="N1056">
        <v>0</v>
      </c>
      <c r="O1056">
        <v>0</v>
      </c>
    </row>
    <row r="1057" spans="1:15" x14ac:dyDescent="0.3">
      <c r="A1057">
        <v>1152</v>
      </c>
      <c r="B1057" s="34">
        <v>39531</v>
      </c>
      <c r="C1057">
        <v>1.5431999999999999</v>
      </c>
      <c r="D1057">
        <v>0</v>
      </c>
      <c r="F1057">
        <v>0.40869999999999701</v>
      </c>
      <c r="G1057">
        <v>3.26627218934913</v>
      </c>
      <c r="H1057">
        <v>0</v>
      </c>
      <c r="I1057">
        <v>0.53949650000000005</v>
      </c>
      <c r="J1057">
        <v>2008</v>
      </c>
      <c r="K1057">
        <v>3</v>
      </c>
      <c r="L1057">
        <v>24</v>
      </c>
      <c r="M1057" t="s">
        <v>92</v>
      </c>
      <c r="N1057">
        <v>0</v>
      </c>
      <c r="O1057">
        <v>0</v>
      </c>
    </row>
    <row r="1058" spans="1:15" x14ac:dyDescent="0.3">
      <c r="A1058">
        <v>1153</v>
      </c>
      <c r="B1058" s="34">
        <v>39532</v>
      </c>
      <c r="C1058">
        <v>1.5409999999999999</v>
      </c>
      <c r="D1058">
        <v>0</v>
      </c>
      <c r="F1058">
        <v>0.40869999999999701</v>
      </c>
      <c r="G1058">
        <v>3.26627218934913</v>
      </c>
      <c r="H1058">
        <v>0</v>
      </c>
      <c r="I1058">
        <v>0.53902859999999997</v>
      </c>
      <c r="J1058">
        <v>2008</v>
      </c>
      <c r="K1058">
        <v>3</v>
      </c>
      <c r="L1058">
        <v>25</v>
      </c>
      <c r="M1058" t="s">
        <v>93</v>
      </c>
      <c r="N1058">
        <v>0</v>
      </c>
      <c r="O1058">
        <v>0</v>
      </c>
    </row>
    <row r="1059" spans="1:15" x14ac:dyDescent="0.3">
      <c r="A1059">
        <v>1154</v>
      </c>
      <c r="B1059" s="34">
        <v>39533</v>
      </c>
      <c r="C1059">
        <v>1.5629999999999999</v>
      </c>
      <c r="D1059">
        <v>-3</v>
      </c>
      <c r="F1059">
        <v>0.38849999999999701</v>
      </c>
      <c r="G1059">
        <v>8.0473372781065606</v>
      </c>
      <c r="H1059">
        <v>0</v>
      </c>
      <c r="I1059">
        <v>0.53856150000000003</v>
      </c>
      <c r="J1059">
        <v>2008</v>
      </c>
      <c r="K1059">
        <v>3</v>
      </c>
      <c r="L1059">
        <v>26</v>
      </c>
      <c r="M1059" t="s">
        <v>89</v>
      </c>
      <c r="N1059">
        <v>0</v>
      </c>
      <c r="O1059">
        <v>0</v>
      </c>
    </row>
    <row r="1060" spans="1:15" x14ac:dyDescent="0.3">
      <c r="A1060">
        <v>1155</v>
      </c>
      <c r="B1060" s="34">
        <v>39534</v>
      </c>
      <c r="C1060">
        <v>1.5831999999999999</v>
      </c>
      <c r="D1060">
        <v>0</v>
      </c>
      <c r="F1060">
        <v>0.38849999999999701</v>
      </c>
      <c r="G1060">
        <v>8.0473372781065606</v>
      </c>
      <c r="H1060">
        <v>0</v>
      </c>
      <c r="I1060">
        <v>0.5380952</v>
      </c>
      <c r="J1060">
        <v>2008</v>
      </c>
      <c r="K1060">
        <v>3</v>
      </c>
      <c r="L1060">
        <v>27</v>
      </c>
      <c r="M1060" t="s">
        <v>90</v>
      </c>
      <c r="N1060">
        <v>0</v>
      </c>
      <c r="O1060">
        <v>0</v>
      </c>
    </row>
    <row r="1061" spans="1:15" x14ac:dyDescent="0.3">
      <c r="A1061">
        <v>1156</v>
      </c>
      <c r="B1061" s="34">
        <v>39535</v>
      </c>
      <c r="C1061">
        <v>1.5811999999999999</v>
      </c>
      <c r="D1061">
        <v>0</v>
      </c>
      <c r="F1061">
        <v>0.38849999999999701</v>
      </c>
      <c r="G1061">
        <v>8.0473372781065606</v>
      </c>
      <c r="H1061">
        <v>1</v>
      </c>
      <c r="I1061">
        <v>0.53849480000000005</v>
      </c>
      <c r="J1061">
        <v>2008</v>
      </c>
      <c r="K1061">
        <v>3</v>
      </c>
      <c r="L1061">
        <v>28</v>
      </c>
      <c r="M1061" t="s">
        <v>91</v>
      </c>
      <c r="N1061">
        <v>0</v>
      </c>
      <c r="O1061">
        <v>0</v>
      </c>
    </row>
    <row r="1062" spans="1:15" x14ac:dyDescent="0.3">
      <c r="A1062">
        <v>1157</v>
      </c>
      <c r="B1062" s="34">
        <v>39538</v>
      </c>
      <c r="C1062">
        <v>1.5793999999999999</v>
      </c>
      <c r="D1062">
        <v>-1</v>
      </c>
      <c r="F1062">
        <v>0.39179999999999698</v>
      </c>
      <c r="G1062">
        <v>7.2662721893491904</v>
      </c>
      <c r="H1062">
        <v>1</v>
      </c>
      <c r="I1062">
        <v>0.53889370000000003</v>
      </c>
      <c r="J1062">
        <v>2008</v>
      </c>
      <c r="K1062">
        <v>3</v>
      </c>
      <c r="L1062">
        <v>31</v>
      </c>
      <c r="M1062" t="s">
        <v>92</v>
      </c>
      <c r="N1062">
        <v>0</v>
      </c>
      <c r="O1062">
        <v>0</v>
      </c>
    </row>
    <row r="1063" spans="1:15" x14ac:dyDescent="0.3">
      <c r="A1063">
        <v>1158</v>
      </c>
      <c r="B1063" s="34">
        <v>39539</v>
      </c>
      <c r="C1063">
        <v>1.5761000000000001</v>
      </c>
      <c r="D1063">
        <v>4</v>
      </c>
      <c r="E1063" t="s">
        <v>334</v>
      </c>
      <c r="F1063">
        <v>0.37789999999999702</v>
      </c>
      <c r="G1063">
        <v>10.556213017751499</v>
      </c>
      <c r="H1063">
        <v>1</v>
      </c>
      <c r="I1063">
        <v>0.53929190000000005</v>
      </c>
      <c r="J1063">
        <v>2008</v>
      </c>
      <c r="K1063">
        <v>4</v>
      </c>
      <c r="L1063">
        <v>1</v>
      </c>
      <c r="M1063" t="s">
        <v>93</v>
      </c>
      <c r="N1063">
        <v>0</v>
      </c>
      <c r="O1063">
        <v>0</v>
      </c>
    </row>
    <row r="1064" spans="1:15" x14ac:dyDescent="0.3">
      <c r="A1064">
        <v>1159</v>
      </c>
      <c r="B1064" s="34">
        <v>39540</v>
      </c>
      <c r="C1064">
        <v>1.5622</v>
      </c>
      <c r="D1064">
        <v>11</v>
      </c>
      <c r="E1064" t="s">
        <v>335</v>
      </c>
      <c r="F1064">
        <v>0.38449999999999701</v>
      </c>
      <c r="G1064">
        <v>8.9940828402367892</v>
      </c>
      <c r="H1064">
        <v>1</v>
      </c>
      <c r="I1064">
        <v>0.53968939999999999</v>
      </c>
      <c r="J1064">
        <v>2008</v>
      </c>
      <c r="K1064">
        <v>4</v>
      </c>
      <c r="L1064">
        <v>2</v>
      </c>
      <c r="M1064" t="s">
        <v>89</v>
      </c>
      <c r="N1064">
        <v>0</v>
      </c>
      <c r="O1064">
        <v>0</v>
      </c>
    </row>
    <row r="1065" spans="1:15" x14ac:dyDescent="0.3">
      <c r="A1065">
        <v>1160</v>
      </c>
      <c r="B1065" s="34">
        <v>39541</v>
      </c>
      <c r="C1065">
        <v>1.5688</v>
      </c>
      <c r="D1065">
        <v>-1</v>
      </c>
      <c r="F1065">
        <v>0.385099999999997</v>
      </c>
      <c r="G1065">
        <v>8.8520710059172796</v>
      </c>
      <c r="H1065">
        <v>1</v>
      </c>
      <c r="I1065">
        <v>0.54008619999999996</v>
      </c>
      <c r="J1065">
        <v>2008</v>
      </c>
      <c r="K1065">
        <v>4</v>
      </c>
      <c r="L1065">
        <v>3</v>
      </c>
      <c r="M1065" t="s">
        <v>90</v>
      </c>
      <c r="N1065">
        <v>0</v>
      </c>
      <c r="O1065">
        <v>0</v>
      </c>
    </row>
    <row r="1066" spans="1:15" x14ac:dyDescent="0.3">
      <c r="A1066">
        <v>1161</v>
      </c>
      <c r="B1066" s="34">
        <v>39542</v>
      </c>
      <c r="C1066">
        <v>1.5682</v>
      </c>
      <c r="D1066">
        <v>5</v>
      </c>
      <c r="E1066" t="s">
        <v>336</v>
      </c>
      <c r="F1066">
        <v>0.39059999999999701</v>
      </c>
      <c r="G1066">
        <v>7.5502958579882602</v>
      </c>
      <c r="H1066">
        <v>0</v>
      </c>
      <c r="I1066">
        <v>0.53962100000000002</v>
      </c>
      <c r="J1066">
        <v>2008</v>
      </c>
      <c r="K1066">
        <v>4</v>
      </c>
      <c r="L1066">
        <v>4</v>
      </c>
      <c r="M1066" t="s">
        <v>91</v>
      </c>
      <c r="N1066">
        <v>0</v>
      </c>
      <c r="O1066">
        <v>0</v>
      </c>
    </row>
    <row r="1067" spans="1:15" x14ac:dyDescent="0.3">
      <c r="A1067">
        <v>1162</v>
      </c>
      <c r="B1067" s="34">
        <v>39545</v>
      </c>
      <c r="C1067">
        <v>1.5737000000000001</v>
      </c>
      <c r="D1067">
        <v>0</v>
      </c>
      <c r="F1067">
        <v>0.39059999999999701</v>
      </c>
      <c r="G1067">
        <v>7.5502958579882602</v>
      </c>
      <c r="H1067">
        <v>1</v>
      </c>
      <c r="I1067">
        <v>0.54001719999999998</v>
      </c>
      <c r="J1067">
        <v>2008</v>
      </c>
      <c r="K1067">
        <v>4</v>
      </c>
      <c r="L1067">
        <v>7</v>
      </c>
      <c r="M1067" t="s">
        <v>92</v>
      </c>
      <c r="N1067">
        <v>0</v>
      </c>
      <c r="O1067">
        <v>0</v>
      </c>
    </row>
    <row r="1068" spans="1:15" x14ac:dyDescent="0.3">
      <c r="A1068">
        <v>1163</v>
      </c>
      <c r="B1068" s="34">
        <v>39546</v>
      </c>
      <c r="C1068">
        <v>1.5704</v>
      </c>
      <c r="D1068">
        <v>0</v>
      </c>
      <c r="F1068">
        <v>0.39059999999999701</v>
      </c>
      <c r="G1068">
        <v>7.5502958579882602</v>
      </c>
      <c r="H1068">
        <v>1</v>
      </c>
      <c r="I1068">
        <v>0.54041269999999997</v>
      </c>
      <c r="J1068">
        <v>2008</v>
      </c>
      <c r="K1068">
        <v>4</v>
      </c>
      <c r="L1068">
        <v>8</v>
      </c>
      <c r="M1068" t="s">
        <v>93</v>
      </c>
      <c r="N1068">
        <v>0</v>
      </c>
      <c r="O1068">
        <v>0</v>
      </c>
    </row>
    <row r="1069" spans="1:15" x14ac:dyDescent="0.3">
      <c r="A1069">
        <v>1164</v>
      </c>
      <c r="B1069" s="34">
        <v>39547</v>
      </c>
      <c r="C1069">
        <v>1.5703</v>
      </c>
      <c r="D1069">
        <v>0</v>
      </c>
      <c r="F1069">
        <v>0.39059999999999701</v>
      </c>
      <c r="G1069">
        <v>7.5502958579882602</v>
      </c>
      <c r="H1069">
        <v>1</v>
      </c>
      <c r="I1069">
        <v>0.5408075</v>
      </c>
      <c r="J1069">
        <v>2008</v>
      </c>
      <c r="K1069">
        <v>4</v>
      </c>
      <c r="L1069">
        <v>9</v>
      </c>
      <c r="M1069" t="s">
        <v>89</v>
      </c>
      <c r="N1069">
        <v>0</v>
      </c>
      <c r="O1069">
        <v>0</v>
      </c>
    </row>
    <row r="1070" spans="1:15" x14ac:dyDescent="0.3">
      <c r="A1070">
        <v>1165</v>
      </c>
      <c r="B1070" s="34">
        <v>39548</v>
      </c>
      <c r="C1070">
        <v>1.5835999999999999</v>
      </c>
      <c r="D1070">
        <v>-4</v>
      </c>
      <c r="F1070">
        <v>0.39989999999999698</v>
      </c>
      <c r="G1070">
        <v>5.34911242603562</v>
      </c>
      <c r="H1070">
        <v>0</v>
      </c>
      <c r="I1070">
        <v>0.54034329999999997</v>
      </c>
      <c r="J1070">
        <v>2008</v>
      </c>
      <c r="K1070">
        <v>4</v>
      </c>
      <c r="L1070">
        <v>10</v>
      </c>
      <c r="M1070" t="s">
        <v>90</v>
      </c>
      <c r="N1070">
        <v>0</v>
      </c>
      <c r="O1070">
        <v>0</v>
      </c>
    </row>
    <row r="1071" spans="1:15" x14ac:dyDescent="0.3">
      <c r="A1071">
        <v>1166</v>
      </c>
      <c r="B1071" s="34">
        <v>39549</v>
      </c>
      <c r="C1071">
        <v>1.5743</v>
      </c>
      <c r="D1071">
        <v>0</v>
      </c>
      <c r="F1071">
        <v>0.39989999999999698</v>
      </c>
      <c r="G1071">
        <v>5.34911242603562</v>
      </c>
      <c r="H1071">
        <v>1</v>
      </c>
      <c r="I1071">
        <v>0.54073760000000004</v>
      </c>
      <c r="J1071">
        <v>2008</v>
      </c>
      <c r="K1071">
        <v>4</v>
      </c>
      <c r="L1071">
        <v>11</v>
      </c>
      <c r="M1071" t="s">
        <v>91</v>
      </c>
      <c r="N1071">
        <v>0</v>
      </c>
      <c r="O1071">
        <v>0</v>
      </c>
    </row>
    <row r="1072" spans="1:15" x14ac:dyDescent="0.3">
      <c r="A1072">
        <v>1167</v>
      </c>
      <c r="B1072" s="34">
        <v>39552</v>
      </c>
      <c r="C1072">
        <v>1.5807</v>
      </c>
      <c r="D1072">
        <v>-1</v>
      </c>
      <c r="F1072">
        <v>0.39709999999999701</v>
      </c>
      <c r="G1072">
        <v>6.0118343195267299</v>
      </c>
      <c r="H1072">
        <v>0</v>
      </c>
      <c r="I1072">
        <v>0.54027420000000004</v>
      </c>
      <c r="J1072">
        <v>2008</v>
      </c>
      <c r="K1072">
        <v>4</v>
      </c>
      <c r="L1072">
        <v>14</v>
      </c>
      <c r="M1072" t="s">
        <v>92</v>
      </c>
      <c r="N1072">
        <v>0</v>
      </c>
      <c r="O1072">
        <v>0</v>
      </c>
    </row>
    <row r="1073" spans="1:15" x14ac:dyDescent="0.3">
      <c r="A1073">
        <v>1168</v>
      </c>
      <c r="B1073" s="34">
        <v>39553</v>
      </c>
      <c r="C1073">
        <v>1.5834999999999999</v>
      </c>
      <c r="D1073">
        <v>0</v>
      </c>
      <c r="F1073">
        <v>0.39709999999999701</v>
      </c>
      <c r="G1073">
        <v>6.0118343195267299</v>
      </c>
      <c r="H1073">
        <v>0</v>
      </c>
      <c r="I1073">
        <v>0.53981170000000001</v>
      </c>
      <c r="J1073">
        <v>2008</v>
      </c>
      <c r="K1073">
        <v>4</v>
      </c>
      <c r="L1073">
        <v>15</v>
      </c>
      <c r="M1073" t="s">
        <v>93</v>
      </c>
      <c r="N1073">
        <v>0</v>
      </c>
      <c r="O1073">
        <v>0</v>
      </c>
    </row>
    <row r="1074" spans="1:15" x14ac:dyDescent="0.3">
      <c r="A1074">
        <v>1169</v>
      </c>
      <c r="B1074" s="34">
        <v>39554</v>
      </c>
      <c r="C1074">
        <v>1.5786</v>
      </c>
      <c r="D1074">
        <v>0</v>
      </c>
      <c r="F1074">
        <v>0.39709999999999701</v>
      </c>
      <c r="G1074">
        <v>6.0118343195267299</v>
      </c>
      <c r="H1074">
        <v>1</v>
      </c>
      <c r="I1074">
        <v>0.5402053</v>
      </c>
      <c r="J1074">
        <v>2008</v>
      </c>
      <c r="K1074">
        <v>4</v>
      </c>
      <c r="L1074">
        <v>16</v>
      </c>
      <c r="M1074" t="s">
        <v>89</v>
      </c>
      <c r="N1074">
        <v>0</v>
      </c>
      <c r="O1074">
        <v>0</v>
      </c>
    </row>
    <row r="1075" spans="1:15" x14ac:dyDescent="0.3">
      <c r="A1075">
        <v>1170</v>
      </c>
      <c r="B1075" s="34">
        <v>39555</v>
      </c>
      <c r="C1075">
        <v>1.5942000000000001</v>
      </c>
      <c r="D1075">
        <v>-6</v>
      </c>
      <c r="F1075">
        <v>0.40209999999999702</v>
      </c>
      <c r="G1075">
        <v>4.82840236686397</v>
      </c>
      <c r="H1075">
        <v>0</v>
      </c>
      <c r="I1075">
        <v>0.53974359999999999</v>
      </c>
      <c r="J1075">
        <v>2008</v>
      </c>
      <c r="K1075">
        <v>4</v>
      </c>
      <c r="L1075">
        <v>17</v>
      </c>
      <c r="M1075" t="s">
        <v>90</v>
      </c>
      <c r="N1075">
        <v>0</v>
      </c>
      <c r="O1075">
        <v>0</v>
      </c>
    </row>
    <row r="1076" spans="1:15" x14ac:dyDescent="0.3">
      <c r="A1076">
        <v>1171</v>
      </c>
      <c r="B1076" s="34">
        <v>39556</v>
      </c>
      <c r="C1076">
        <v>1.5891999999999999</v>
      </c>
      <c r="D1076">
        <v>0</v>
      </c>
      <c r="F1076">
        <v>0.40209999999999702</v>
      </c>
      <c r="G1076">
        <v>4.82840236686397</v>
      </c>
      <c r="H1076">
        <v>1</v>
      </c>
      <c r="I1076">
        <v>0.54013659999999997</v>
      </c>
      <c r="J1076">
        <v>2008</v>
      </c>
      <c r="K1076">
        <v>4</v>
      </c>
      <c r="L1076">
        <v>18</v>
      </c>
      <c r="M1076" t="s">
        <v>91</v>
      </c>
      <c r="N1076">
        <v>0</v>
      </c>
      <c r="O1076">
        <v>0</v>
      </c>
    </row>
    <row r="1077" spans="1:15" x14ac:dyDescent="0.3">
      <c r="A1077">
        <v>1172</v>
      </c>
      <c r="B1077" s="34">
        <v>39559</v>
      </c>
      <c r="C1077">
        <v>1.5815999999999999</v>
      </c>
      <c r="D1077">
        <v>5</v>
      </c>
      <c r="E1077" t="s">
        <v>337</v>
      </c>
      <c r="F1077">
        <v>0.41119999999999701</v>
      </c>
      <c r="G1077">
        <v>2.6745562130177798</v>
      </c>
      <c r="H1077">
        <v>1</v>
      </c>
      <c r="I1077">
        <v>0.54052900000000004</v>
      </c>
      <c r="J1077">
        <v>2008</v>
      </c>
      <c r="K1077">
        <v>4</v>
      </c>
      <c r="L1077">
        <v>21</v>
      </c>
      <c r="M1077" t="s">
        <v>92</v>
      </c>
      <c r="N1077">
        <v>0</v>
      </c>
      <c r="O1077">
        <v>0</v>
      </c>
    </row>
    <row r="1078" spans="1:15" x14ac:dyDescent="0.3">
      <c r="A1078">
        <v>1173</v>
      </c>
      <c r="B1078" s="34">
        <v>39560</v>
      </c>
      <c r="C1078">
        <v>1.5907</v>
      </c>
      <c r="D1078">
        <v>-4</v>
      </c>
      <c r="F1078">
        <v>0.402199999999997</v>
      </c>
      <c r="G1078">
        <v>4.8047337278106701</v>
      </c>
      <c r="H1078">
        <v>0</v>
      </c>
      <c r="I1078">
        <v>0.5400682</v>
      </c>
      <c r="J1078">
        <v>2008</v>
      </c>
      <c r="K1078">
        <v>4</v>
      </c>
      <c r="L1078">
        <v>22</v>
      </c>
      <c r="M1078" t="s">
        <v>93</v>
      </c>
      <c r="N1078">
        <v>0</v>
      </c>
      <c r="O1078">
        <v>0</v>
      </c>
    </row>
    <row r="1079" spans="1:15" x14ac:dyDescent="0.3">
      <c r="A1079">
        <v>1174</v>
      </c>
      <c r="B1079" s="34">
        <v>39561</v>
      </c>
      <c r="C1079">
        <v>1.5996999999999999</v>
      </c>
      <c r="D1079">
        <v>0</v>
      </c>
      <c r="F1079">
        <v>0.402199999999997</v>
      </c>
      <c r="G1079">
        <v>4.8047337278106701</v>
      </c>
      <c r="H1079">
        <v>0</v>
      </c>
      <c r="I1079">
        <v>0.53960819999999998</v>
      </c>
      <c r="J1079">
        <v>2008</v>
      </c>
      <c r="K1079">
        <v>4</v>
      </c>
      <c r="L1079">
        <v>23</v>
      </c>
      <c r="M1079" t="s">
        <v>89</v>
      </c>
      <c r="N1079">
        <v>0</v>
      </c>
      <c r="O1079">
        <v>0</v>
      </c>
    </row>
    <row r="1080" spans="1:15" x14ac:dyDescent="0.3">
      <c r="A1080">
        <v>1175</v>
      </c>
      <c r="B1080" s="34">
        <v>39562</v>
      </c>
      <c r="C1080">
        <v>1.5883</v>
      </c>
      <c r="D1080">
        <v>0</v>
      </c>
      <c r="F1080">
        <v>0.402199999999997</v>
      </c>
      <c r="G1080">
        <v>4.8047337278106701</v>
      </c>
      <c r="H1080">
        <v>1</v>
      </c>
      <c r="I1080">
        <v>0.54</v>
      </c>
      <c r="J1080">
        <v>2008</v>
      </c>
      <c r="K1080">
        <v>4</v>
      </c>
      <c r="L1080">
        <v>24</v>
      </c>
      <c r="M1080" t="s">
        <v>90</v>
      </c>
      <c r="N1080">
        <v>0</v>
      </c>
      <c r="O1080">
        <v>0</v>
      </c>
    </row>
    <row r="1081" spans="1:15" x14ac:dyDescent="0.3">
      <c r="A1081">
        <v>1176</v>
      </c>
      <c r="B1081" s="34">
        <v>39563</v>
      </c>
      <c r="C1081">
        <v>1.5680000000000001</v>
      </c>
      <c r="D1081">
        <v>5</v>
      </c>
      <c r="E1081" t="s">
        <v>338</v>
      </c>
      <c r="F1081">
        <v>0.39709999999999701</v>
      </c>
      <c r="G1081">
        <v>6.0118343195266801</v>
      </c>
      <c r="H1081">
        <v>1</v>
      </c>
      <c r="I1081">
        <v>0.54039110000000001</v>
      </c>
      <c r="J1081">
        <v>2008</v>
      </c>
      <c r="K1081">
        <v>4</v>
      </c>
      <c r="L1081">
        <v>25</v>
      </c>
      <c r="M1081" t="s">
        <v>91</v>
      </c>
      <c r="N1081">
        <v>0</v>
      </c>
      <c r="O1081">
        <v>0</v>
      </c>
    </row>
    <row r="1082" spans="1:15" x14ac:dyDescent="0.3">
      <c r="A1082">
        <v>1177</v>
      </c>
      <c r="B1082" s="34">
        <v>39566</v>
      </c>
      <c r="C1082">
        <v>1.5629</v>
      </c>
      <c r="D1082">
        <v>0</v>
      </c>
      <c r="F1082">
        <v>0.39709999999999701</v>
      </c>
      <c r="G1082">
        <v>6.0118343195266801</v>
      </c>
      <c r="H1082">
        <v>0</v>
      </c>
      <c r="I1082">
        <v>0.53993199999999997</v>
      </c>
      <c r="J1082">
        <v>2008</v>
      </c>
      <c r="K1082">
        <v>4</v>
      </c>
      <c r="L1082">
        <v>28</v>
      </c>
      <c r="M1082" t="s">
        <v>92</v>
      </c>
      <c r="N1082">
        <v>0</v>
      </c>
      <c r="O1082">
        <v>0</v>
      </c>
    </row>
    <row r="1083" spans="1:15" x14ac:dyDescent="0.3">
      <c r="A1083">
        <v>1178</v>
      </c>
      <c r="B1083" s="34">
        <v>39567</v>
      </c>
      <c r="C1083">
        <v>1.5652999999999999</v>
      </c>
      <c r="D1083">
        <v>0</v>
      </c>
      <c r="F1083">
        <v>0.39709999999999701</v>
      </c>
      <c r="G1083">
        <v>6.0118343195266801</v>
      </c>
      <c r="H1083">
        <v>1</v>
      </c>
      <c r="I1083">
        <v>0.54032259999999999</v>
      </c>
      <c r="J1083">
        <v>2008</v>
      </c>
      <c r="K1083">
        <v>4</v>
      </c>
      <c r="L1083">
        <v>29</v>
      </c>
      <c r="M1083" t="s">
        <v>93</v>
      </c>
      <c r="N1083">
        <v>0</v>
      </c>
      <c r="O1083">
        <v>0</v>
      </c>
    </row>
    <row r="1084" spans="1:15" x14ac:dyDescent="0.3">
      <c r="A1084">
        <v>1179</v>
      </c>
      <c r="B1084" s="34">
        <v>39568</v>
      </c>
      <c r="C1084">
        <v>1.5565</v>
      </c>
      <c r="D1084">
        <v>8</v>
      </c>
      <c r="E1084" t="s">
        <v>339</v>
      </c>
      <c r="F1084">
        <v>0.40249999999999703</v>
      </c>
      <c r="G1084">
        <v>4.73372781065091</v>
      </c>
      <c r="H1084">
        <v>0</v>
      </c>
      <c r="I1084">
        <v>0.53986429999999996</v>
      </c>
      <c r="J1084">
        <v>2008</v>
      </c>
      <c r="K1084">
        <v>4</v>
      </c>
      <c r="L1084">
        <v>30</v>
      </c>
      <c r="M1084" t="s">
        <v>89</v>
      </c>
      <c r="N1084">
        <v>0</v>
      </c>
      <c r="O1084">
        <v>0</v>
      </c>
    </row>
    <row r="1085" spans="1:15" x14ac:dyDescent="0.3">
      <c r="A1085">
        <v>1180</v>
      </c>
      <c r="B1085" s="34">
        <v>39569</v>
      </c>
      <c r="C1085">
        <v>1.5619000000000001</v>
      </c>
      <c r="D1085">
        <v>0</v>
      </c>
      <c r="F1085">
        <v>0.40249999999999703</v>
      </c>
      <c r="G1085">
        <v>4.73372781065091</v>
      </c>
      <c r="H1085">
        <v>1</v>
      </c>
      <c r="I1085">
        <v>0.54025420000000002</v>
      </c>
      <c r="J1085">
        <v>2008</v>
      </c>
      <c r="K1085">
        <v>5</v>
      </c>
      <c r="L1085">
        <v>1</v>
      </c>
      <c r="M1085" t="s">
        <v>90</v>
      </c>
      <c r="N1085">
        <v>0</v>
      </c>
      <c r="O1085">
        <v>0</v>
      </c>
    </row>
    <row r="1086" spans="1:15" x14ac:dyDescent="0.3">
      <c r="A1086">
        <v>1181</v>
      </c>
      <c r="B1086" s="34">
        <v>39570</v>
      </c>
      <c r="C1086">
        <v>1.5467</v>
      </c>
      <c r="D1086">
        <v>11</v>
      </c>
      <c r="E1086" t="s">
        <v>340</v>
      </c>
      <c r="F1086">
        <v>0.39809999999999701</v>
      </c>
      <c r="G1086">
        <v>5.7751479289941097</v>
      </c>
      <c r="H1086">
        <v>0</v>
      </c>
      <c r="I1086">
        <v>0.53979679999999997</v>
      </c>
      <c r="J1086">
        <v>2008</v>
      </c>
      <c r="K1086">
        <v>5</v>
      </c>
      <c r="L1086">
        <v>2</v>
      </c>
      <c r="M1086" t="s">
        <v>91</v>
      </c>
      <c r="N1086">
        <v>0</v>
      </c>
      <c r="O1086">
        <v>0</v>
      </c>
    </row>
    <row r="1087" spans="1:15" x14ac:dyDescent="0.3">
      <c r="A1087">
        <v>1182</v>
      </c>
      <c r="B1087" s="34">
        <v>39573</v>
      </c>
      <c r="C1087">
        <v>1.5423</v>
      </c>
      <c r="D1087">
        <v>0</v>
      </c>
      <c r="F1087">
        <v>0.39809999999999701</v>
      </c>
      <c r="G1087">
        <v>5.7751479289941097</v>
      </c>
      <c r="H1087">
        <v>0</v>
      </c>
      <c r="I1087">
        <v>0.53934009999999999</v>
      </c>
      <c r="J1087">
        <v>2008</v>
      </c>
      <c r="K1087">
        <v>5</v>
      </c>
      <c r="L1087">
        <v>5</v>
      </c>
      <c r="M1087" t="s">
        <v>92</v>
      </c>
      <c r="N1087">
        <v>0</v>
      </c>
      <c r="O1087">
        <v>0</v>
      </c>
    </row>
    <row r="1088" spans="1:15" x14ac:dyDescent="0.3">
      <c r="A1088">
        <v>1183</v>
      </c>
      <c r="B1088" s="34">
        <v>39574</v>
      </c>
      <c r="C1088">
        <v>1.5498000000000001</v>
      </c>
      <c r="D1088">
        <v>0</v>
      </c>
      <c r="F1088">
        <v>0.39809999999999701</v>
      </c>
      <c r="G1088">
        <v>5.7751479289941097</v>
      </c>
      <c r="H1088">
        <v>1</v>
      </c>
      <c r="I1088">
        <v>0.53972949999999997</v>
      </c>
      <c r="J1088">
        <v>2008</v>
      </c>
      <c r="K1088">
        <v>5</v>
      </c>
      <c r="L1088">
        <v>6</v>
      </c>
      <c r="M1088" t="s">
        <v>93</v>
      </c>
      <c r="N1088">
        <v>0</v>
      </c>
      <c r="O1088">
        <v>0</v>
      </c>
    </row>
    <row r="1089" spans="1:15" x14ac:dyDescent="0.3">
      <c r="A1089">
        <v>1184</v>
      </c>
      <c r="B1089" s="34">
        <v>39575</v>
      </c>
      <c r="C1089">
        <v>1.5530999999999999</v>
      </c>
      <c r="D1089">
        <v>-4</v>
      </c>
      <c r="F1089">
        <v>0.41159999999999702</v>
      </c>
      <c r="G1089">
        <v>2.57988165680477</v>
      </c>
      <c r="H1089">
        <v>1</v>
      </c>
      <c r="I1089">
        <v>0.54011819999999999</v>
      </c>
      <c r="J1089">
        <v>2008</v>
      </c>
      <c r="K1089">
        <v>5</v>
      </c>
      <c r="L1089">
        <v>7</v>
      </c>
      <c r="M1089" t="s">
        <v>89</v>
      </c>
      <c r="N1089">
        <v>0</v>
      </c>
      <c r="O1089">
        <v>0</v>
      </c>
    </row>
    <row r="1090" spans="1:15" x14ac:dyDescent="0.3">
      <c r="A1090">
        <v>1185</v>
      </c>
      <c r="B1090" s="34">
        <v>39576</v>
      </c>
      <c r="C1090">
        <v>1.5396000000000001</v>
      </c>
      <c r="D1090">
        <v>2</v>
      </c>
      <c r="E1090" t="s">
        <v>341</v>
      </c>
      <c r="F1090">
        <v>0.412299999999997</v>
      </c>
      <c r="G1090">
        <v>2.4142011834320098</v>
      </c>
      <c r="H1090">
        <v>0</v>
      </c>
      <c r="I1090">
        <v>0.53966239999999999</v>
      </c>
      <c r="J1090">
        <v>2008</v>
      </c>
      <c r="K1090">
        <v>5</v>
      </c>
      <c r="L1090">
        <v>8</v>
      </c>
      <c r="M1090" t="s">
        <v>90</v>
      </c>
      <c r="N1090">
        <v>0</v>
      </c>
      <c r="O1090">
        <v>0</v>
      </c>
    </row>
    <row r="1091" spans="1:15" x14ac:dyDescent="0.3">
      <c r="A1091">
        <v>1186</v>
      </c>
      <c r="B1091" s="34">
        <v>39577</v>
      </c>
      <c r="C1091">
        <v>1.5403</v>
      </c>
      <c r="D1091">
        <v>0</v>
      </c>
      <c r="F1091">
        <v>0.412299999999997</v>
      </c>
      <c r="G1091">
        <v>2.4142011834320098</v>
      </c>
      <c r="H1091">
        <v>1</v>
      </c>
      <c r="I1091">
        <v>0.54005060000000005</v>
      </c>
      <c r="J1091">
        <v>2008</v>
      </c>
      <c r="K1091">
        <v>5</v>
      </c>
      <c r="L1091">
        <v>9</v>
      </c>
      <c r="M1091" t="s">
        <v>91</v>
      </c>
      <c r="N1091">
        <v>0</v>
      </c>
      <c r="O1091">
        <v>0</v>
      </c>
    </row>
    <row r="1092" spans="1:15" x14ac:dyDescent="0.3">
      <c r="A1092">
        <v>1187</v>
      </c>
      <c r="B1092" s="34">
        <v>39580</v>
      </c>
      <c r="C1092">
        <v>1.548</v>
      </c>
      <c r="D1092">
        <v>0</v>
      </c>
      <c r="F1092">
        <v>0.412299999999997</v>
      </c>
      <c r="G1092">
        <v>2.4142011834320098</v>
      </c>
      <c r="H1092">
        <v>1</v>
      </c>
      <c r="I1092">
        <v>0.54043810000000003</v>
      </c>
      <c r="J1092">
        <v>2008</v>
      </c>
      <c r="K1092">
        <v>5</v>
      </c>
      <c r="L1092">
        <v>12</v>
      </c>
      <c r="M1092" t="s">
        <v>92</v>
      </c>
      <c r="N1092">
        <v>0</v>
      </c>
      <c r="O1092">
        <v>0</v>
      </c>
    </row>
    <row r="1093" spans="1:15" x14ac:dyDescent="0.3">
      <c r="A1093">
        <v>1188</v>
      </c>
      <c r="B1093" s="34">
        <v>39581</v>
      </c>
      <c r="C1093">
        <v>1.5539000000000001</v>
      </c>
      <c r="D1093">
        <v>-1</v>
      </c>
      <c r="F1093">
        <v>0.419399999999997</v>
      </c>
      <c r="G1093">
        <v>0.73372781065091597</v>
      </c>
      <c r="H1093">
        <v>1</v>
      </c>
      <c r="I1093">
        <v>0.54082490000000005</v>
      </c>
      <c r="J1093">
        <v>2008</v>
      </c>
      <c r="K1093">
        <v>5</v>
      </c>
      <c r="L1093">
        <v>13</v>
      </c>
      <c r="M1093" t="s">
        <v>93</v>
      </c>
      <c r="N1093">
        <v>0</v>
      </c>
      <c r="O1093">
        <v>0</v>
      </c>
    </row>
    <row r="1094" spans="1:15" x14ac:dyDescent="0.3">
      <c r="A1094">
        <v>1189</v>
      </c>
      <c r="B1094" s="34">
        <v>39582</v>
      </c>
      <c r="C1094">
        <v>1.5468</v>
      </c>
      <c r="D1094">
        <v>0</v>
      </c>
      <c r="F1094">
        <v>0.419399999999997</v>
      </c>
      <c r="G1094">
        <v>0.73372781065091597</v>
      </c>
      <c r="H1094">
        <v>1</v>
      </c>
      <c r="I1094">
        <v>0.54121109999999994</v>
      </c>
      <c r="J1094">
        <v>2008</v>
      </c>
      <c r="K1094">
        <v>5</v>
      </c>
      <c r="L1094">
        <v>14</v>
      </c>
      <c r="M1094" t="s">
        <v>89</v>
      </c>
      <c r="N1094">
        <v>0</v>
      </c>
      <c r="O1094">
        <v>0</v>
      </c>
    </row>
    <row r="1095" spans="1:15" x14ac:dyDescent="0.3">
      <c r="A1095">
        <v>1190</v>
      </c>
      <c r="B1095" s="34">
        <v>39583</v>
      </c>
      <c r="C1095">
        <v>1.5477000000000001</v>
      </c>
      <c r="D1095">
        <v>-7</v>
      </c>
      <c r="F1095">
        <v>0.422899999999997</v>
      </c>
      <c r="G1095">
        <v>0</v>
      </c>
      <c r="H1095">
        <v>1</v>
      </c>
      <c r="I1095">
        <v>0.54159670000000004</v>
      </c>
      <c r="J1095">
        <v>2008</v>
      </c>
      <c r="K1095">
        <v>5</v>
      </c>
      <c r="L1095">
        <v>15</v>
      </c>
      <c r="M1095" t="s">
        <v>90</v>
      </c>
      <c r="N1095">
        <v>0</v>
      </c>
      <c r="O1095">
        <v>0</v>
      </c>
    </row>
    <row r="1096" spans="1:15" x14ac:dyDescent="0.3">
      <c r="A1096">
        <v>1191</v>
      </c>
      <c r="B1096" s="34">
        <v>39584</v>
      </c>
      <c r="C1096">
        <v>1.5442</v>
      </c>
      <c r="D1096">
        <v>1</v>
      </c>
      <c r="E1096" t="s">
        <v>342</v>
      </c>
      <c r="F1096">
        <v>0.43629999999999702</v>
      </c>
      <c r="G1096">
        <v>0</v>
      </c>
      <c r="H1096">
        <v>0</v>
      </c>
      <c r="I1096">
        <v>0.54114189999999995</v>
      </c>
      <c r="J1096">
        <v>2008</v>
      </c>
      <c r="K1096">
        <v>5</v>
      </c>
      <c r="L1096">
        <v>16</v>
      </c>
      <c r="M1096" t="s">
        <v>91</v>
      </c>
      <c r="N1096">
        <v>0</v>
      </c>
      <c r="O1096">
        <v>0</v>
      </c>
    </row>
    <row r="1097" spans="1:15" x14ac:dyDescent="0.3">
      <c r="A1097">
        <v>1192</v>
      </c>
      <c r="B1097" s="34">
        <v>39587</v>
      </c>
      <c r="C1097">
        <v>1.5576000000000001</v>
      </c>
      <c r="D1097">
        <v>0</v>
      </c>
      <c r="F1097">
        <v>0.43629999999999702</v>
      </c>
      <c r="G1097">
        <v>0</v>
      </c>
      <c r="H1097">
        <v>1</v>
      </c>
      <c r="I1097">
        <v>0.54152690000000003</v>
      </c>
      <c r="J1097">
        <v>2008</v>
      </c>
      <c r="K1097">
        <v>5</v>
      </c>
      <c r="L1097">
        <v>19</v>
      </c>
      <c r="M1097" t="s">
        <v>92</v>
      </c>
      <c r="N1097">
        <v>0</v>
      </c>
      <c r="O1097">
        <v>0</v>
      </c>
    </row>
    <row r="1098" spans="1:15" x14ac:dyDescent="0.3">
      <c r="A1098">
        <v>1193</v>
      </c>
      <c r="B1098" s="34">
        <v>39588</v>
      </c>
      <c r="C1098">
        <v>1.5518000000000001</v>
      </c>
      <c r="D1098">
        <v>0</v>
      </c>
      <c r="F1098">
        <v>0.43629999999999702</v>
      </c>
      <c r="G1098">
        <v>0</v>
      </c>
      <c r="H1098">
        <v>1</v>
      </c>
      <c r="I1098">
        <v>0.54191109999999998</v>
      </c>
      <c r="J1098">
        <v>2008</v>
      </c>
      <c r="K1098">
        <v>5</v>
      </c>
      <c r="L1098">
        <v>20</v>
      </c>
      <c r="M1098" t="s">
        <v>93</v>
      </c>
      <c r="N1098">
        <v>0</v>
      </c>
      <c r="O1098">
        <v>0</v>
      </c>
    </row>
    <row r="1099" spans="1:15" x14ac:dyDescent="0.3">
      <c r="A1099">
        <v>1194</v>
      </c>
      <c r="B1099" s="34">
        <v>39589</v>
      </c>
      <c r="C1099">
        <v>1.5652999999999999</v>
      </c>
      <c r="D1099">
        <v>-3</v>
      </c>
      <c r="F1099">
        <v>0.42219999999999702</v>
      </c>
      <c r="G1099">
        <v>3.2317212926885301</v>
      </c>
      <c r="H1099">
        <v>1</v>
      </c>
      <c r="I1099">
        <v>0.54229479999999997</v>
      </c>
      <c r="J1099">
        <v>2008</v>
      </c>
      <c r="K1099">
        <v>5</v>
      </c>
      <c r="L1099">
        <v>21</v>
      </c>
      <c r="M1099" t="s">
        <v>89</v>
      </c>
      <c r="N1099">
        <v>0</v>
      </c>
      <c r="O1099">
        <v>0</v>
      </c>
    </row>
    <row r="1100" spans="1:15" x14ac:dyDescent="0.3">
      <c r="A1100">
        <v>1195</v>
      </c>
      <c r="B1100" s="34">
        <v>39590</v>
      </c>
      <c r="C1100">
        <v>1.5793999999999999</v>
      </c>
      <c r="D1100">
        <v>0</v>
      </c>
      <c r="F1100">
        <v>0.42219999999999702</v>
      </c>
      <c r="G1100">
        <v>3.2317212926885301</v>
      </c>
      <c r="H1100">
        <v>0</v>
      </c>
      <c r="I1100">
        <v>0.54184100000000002</v>
      </c>
      <c r="J1100">
        <v>2008</v>
      </c>
      <c r="K1100">
        <v>5</v>
      </c>
      <c r="L1100">
        <v>22</v>
      </c>
      <c r="M1100" t="s">
        <v>90</v>
      </c>
      <c r="N1100">
        <v>0</v>
      </c>
      <c r="O1100">
        <v>0</v>
      </c>
    </row>
    <row r="1101" spans="1:15" x14ac:dyDescent="0.3">
      <c r="A1101">
        <v>1196</v>
      </c>
      <c r="B1101" s="34">
        <v>39591</v>
      </c>
      <c r="C1101">
        <v>1.5723</v>
      </c>
      <c r="D1101">
        <v>0</v>
      </c>
      <c r="F1101">
        <v>0.42219999999999702</v>
      </c>
      <c r="G1101">
        <v>3.2317212926885301</v>
      </c>
      <c r="H1101">
        <v>1</v>
      </c>
      <c r="I1101">
        <v>0.54222409999999999</v>
      </c>
      <c r="J1101">
        <v>2008</v>
      </c>
      <c r="K1101">
        <v>5</v>
      </c>
      <c r="L1101">
        <v>23</v>
      </c>
      <c r="M1101" t="s">
        <v>91</v>
      </c>
      <c r="N1101">
        <v>0</v>
      </c>
      <c r="O1101">
        <v>0</v>
      </c>
    </row>
    <row r="1102" spans="1:15" x14ac:dyDescent="0.3">
      <c r="A1102">
        <v>1197</v>
      </c>
      <c r="B1102" s="34">
        <v>39594</v>
      </c>
      <c r="C1102">
        <v>1.5761000000000001</v>
      </c>
      <c r="D1102">
        <v>-15</v>
      </c>
      <c r="F1102">
        <v>0.42099999999999699</v>
      </c>
      <c r="G1102">
        <v>3.50676140270454</v>
      </c>
      <c r="H1102">
        <v>0</v>
      </c>
      <c r="I1102">
        <v>0.54177109999999995</v>
      </c>
      <c r="J1102">
        <v>2008</v>
      </c>
      <c r="K1102">
        <v>5</v>
      </c>
      <c r="L1102">
        <v>26</v>
      </c>
      <c r="M1102" t="s">
        <v>92</v>
      </c>
      <c r="N1102">
        <v>0</v>
      </c>
      <c r="O1102">
        <v>0</v>
      </c>
    </row>
    <row r="1103" spans="1:15" x14ac:dyDescent="0.3">
      <c r="A1103">
        <v>1198</v>
      </c>
      <c r="B1103" s="34">
        <v>39595</v>
      </c>
      <c r="C1103">
        <v>1.5772999999999999</v>
      </c>
      <c r="D1103">
        <v>0</v>
      </c>
      <c r="F1103">
        <v>0.42099999999999699</v>
      </c>
      <c r="G1103">
        <v>3.50676140270454</v>
      </c>
      <c r="H1103">
        <v>0</v>
      </c>
      <c r="I1103">
        <v>0.54131890000000005</v>
      </c>
      <c r="J1103">
        <v>2008</v>
      </c>
      <c r="K1103">
        <v>5</v>
      </c>
      <c r="L1103">
        <v>27</v>
      </c>
      <c r="M1103" t="s">
        <v>93</v>
      </c>
      <c r="N1103">
        <v>0</v>
      </c>
      <c r="O1103">
        <v>0</v>
      </c>
    </row>
    <row r="1104" spans="1:15" x14ac:dyDescent="0.3">
      <c r="A1104">
        <v>1199</v>
      </c>
      <c r="B1104" s="34">
        <v>39596</v>
      </c>
      <c r="C1104">
        <v>1.5678000000000001</v>
      </c>
      <c r="D1104">
        <v>2</v>
      </c>
      <c r="E1104" t="s">
        <v>343</v>
      </c>
      <c r="F1104">
        <v>0.41779999999999701</v>
      </c>
      <c r="G1104">
        <v>4.2402016960806899</v>
      </c>
      <c r="H1104">
        <v>1</v>
      </c>
      <c r="I1104">
        <v>0.5417014</v>
      </c>
      <c r="J1104">
        <v>2008</v>
      </c>
      <c r="K1104">
        <v>5</v>
      </c>
      <c r="L1104">
        <v>28</v>
      </c>
      <c r="M1104" t="s">
        <v>89</v>
      </c>
      <c r="N1104">
        <v>0</v>
      </c>
      <c r="O1104">
        <v>0</v>
      </c>
    </row>
    <row r="1105" spans="1:15" x14ac:dyDescent="0.3">
      <c r="A1105">
        <v>1200</v>
      </c>
      <c r="B1105" s="34">
        <v>39597</v>
      </c>
      <c r="C1105">
        <v>1.5646</v>
      </c>
      <c r="D1105">
        <v>0</v>
      </c>
      <c r="F1105">
        <v>0.41779999999999701</v>
      </c>
      <c r="G1105">
        <v>4.2402016960806899</v>
      </c>
      <c r="H1105">
        <v>0</v>
      </c>
      <c r="I1105">
        <v>0.54125000000000001</v>
      </c>
      <c r="J1105">
        <v>2008</v>
      </c>
      <c r="K1105">
        <v>5</v>
      </c>
      <c r="L1105">
        <v>29</v>
      </c>
      <c r="M1105" t="s">
        <v>90</v>
      </c>
      <c r="N1105">
        <v>0</v>
      </c>
      <c r="O1105">
        <v>0</v>
      </c>
    </row>
    <row r="1106" spans="1:15" x14ac:dyDescent="0.3">
      <c r="A1106">
        <v>1201</v>
      </c>
      <c r="B1106" s="34">
        <v>39598</v>
      </c>
      <c r="C1106">
        <v>1.5510999999999999</v>
      </c>
      <c r="D1106">
        <v>1</v>
      </c>
      <c r="E1106" t="s">
        <v>344</v>
      </c>
      <c r="F1106">
        <v>0.42209999999999698</v>
      </c>
      <c r="G1106">
        <v>3.2546413018565299</v>
      </c>
      <c r="H1106">
        <v>0</v>
      </c>
      <c r="I1106">
        <v>0.54079929999999998</v>
      </c>
      <c r="J1106">
        <v>2008</v>
      </c>
      <c r="K1106">
        <v>5</v>
      </c>
      <c r="L1106">
        <v>30</v>
      </c>
      <c r="M1106" t="s">
        <v>91</v>
      </c>
      <c r="N1106">
        <v>0</v>
      </c>
      <c r="O1106">
        <v>0</v>
      </c>
    </row>
    <row r="1107" spans="1:15" x14ac:dyDescent="0.3">
      <c r="A1107">
        <v>1202</v>
      </c>
      <c r="B1107" s="34">
        <v>39601</v>
      </c>
      <c r="C1107">
        <v>1.5553999999999999</v>
      </c>
      <c r="D1107">
        <v>0</v>
      </c>
      <c r="F1107">
        <v>0.42209999999999698</v>
      </c>
      <c r="G1107">
        <v>3.2546413018565299</v>
      </c>
      <c r="H1107">
        <v>1</v>
      </c>
      <c r="I1107">
        <v>0.54118140000000003</v>
      </c>
      <c r="J1107">
        <v>2008</v>
      </c>
      <c r="K1107">
        <v>6</v>
      </c>
      <c r="L1107">
        <v>2</v>
      </c>
      <c r="M1107" t="s">
        <v>92</v>
      </c>
      <c r="N1107">
        <v>0</v>
      </c>
      <c r="O1107">
        <v>0</v>
      </c>
    </row>
    <row r="1108" spans="1:15" x14ac:dyDescent="0.3">
      <c r="A1108">
        <v>1203</v>
      </c>
      <c r="B1108" s="34">
        <v>39602</v>
      </c>
      <c r="C1108">
        <v>1.5539000000000001</v>
      </c>
      <c r="D1108">
        <v>4</v>
      </c>
      <c r="E1108" t="s">
        <v>345</v>
      </c>
      <c r="F1108">
        <v>0.41139999999999699</v>
      </c>
      <c r="G1108">
        <v>5.7070822828329701</v>
      </c>
      <c r="H1108">
        <v>0</v>
      </c>
      <c r="I1108">
        <v>0.54073150000000003</v>
      </c>
      <c r="J1108">
        <v>2008</v>
      </c>
      <c r="K1108">
        <v>6</v>
      </c>
      <c r="L1108">
        <v>3</v>
      </c>
      <c r="M1108" t="s">
        <v>93</v>
      </c>
      <c r="N1108">
        <v>0</v>
      </c>
      <c r="O1108">
        <v>0</v>
      </c>
    </row>
    <row r="1109" spans="1:15" x14ac:dyDescent="0.3">
      <c r="A1109">
        <v>1204</v>
      </c>
      <c r="B1109" s="34">
        <v>39603</v>
      </c>
      <c r="C1109">
        <v>1.5431999999999999</v>
      </c>
      <c r="D1109">
        <v>0</v>
      </c>
      <c r="F1109">
        <v>0.41139999999999699</v>
      </c>
      <c r="G1109">
        <v>5.7070822828329701</v>
      </c>
      <c r="H1109">
        <v>0</v>
      </c>
      <c r="I1109">
        <v>0.54028240000000005</v>
      </c>
      <c r="J1109">
        <v>2008</v>
      </c>
      <c r="K1109">
        <v>6</v>
      </c>
      <c r="L1109">
        <v>4</v>
      </c>
      <c r="M1109" t="s">
        <v>89</v>
      </c>
      <c r="N1109">
        <v>0</v>
      </c>
      <c r="O1109">
        <v>0</v>
      </c>
    </row>
    <row r="1110" spans="1:15" x14ac:dyDescent="0.3">
      <c r="A1110">
        <v>1205</v>
      </c>
      <c r="B1110" s="34">
        <v>39604</v>
      </c>
      <c r="C1110">
        <v>1.5425</v>
      </c>
      <c r="D1110">
        <v>0</v>
      </c>
      <c r="F1110">
        <v>0.41139999999999699</v>
      </c>
      <c r="G1110">
        <v>5.7070822828329701</v>
      </c>
      <c r="H1110">
        <v>0</v>
      </c>
      <c r="I1110">
        <v>0.53983400000000004</v>
      </c>
      <c r="J1110">
        <v>2008</v>
      </c>
      <c r="K1110">
        <v>6</v>
      </c>
      <c r="L1110">
        <v>5</v>
      </c>
      <c r="M1110" t="s">
        <v>90</v>
      </c>
      <c r="N1110">
        <v>0</v>
      </c>
      <c r="O1110">
        <v>0</v>
      </c>
    </row>
    <row r="1111" spans="1:15" x14ac:dyDescent="0.3">
      <c r="A1111">
        <v>1206</v>
      </c>
      <c r="B1111" s="34">
        <v>39605</v>
      </c>
      <c r="C1111">
        <v>1.5581</v>
      </c>
      <c r="D1111">
        <v>0</v>
      </c>
      <c r="F1111">
        <v>0.41139999999999699</v>
      </c>
      <c r="G1111">
        <v>5.7070822828329701</v>
      </c>
      <c r="H1111">
        <v>1</v>
      </c>
      <c r="I1111">
        <v>0.54021560000000002</v>
      </c>
      <c r="J1111">
        <v>2008</v>
      </c>
      <c r="K1111">
        <v>6</v>
      </c>
      <c r="L1111">
        <v>6</v>
      </c>
      <c r="M1111" t="s">
        <v>91</v>
      </c>
      <c r="N1111">
        <v>0</v>
      </c>
      <c r="O1111">
        <v>0</v>
      </c>
    </row>
    <row r="1112" spans="1:15" x14ac:dyDescent="0.3">
      <c r="A1112">
        <v>1207</v>
      </c>
      <c r="B1112" s="34">
        <v>39608</v>
      </c>
      <c r="C1112">
        <v>1.5777000000000001</v>
      </c>
      <c r="D1112">
        <v>0</v>
      </c>
      <c r="F1112">
        <v>0.41139999999999699</v>
      </c>
      <c r="G1112">
        <v>5.7070822828329701</v>
      </c>
      <c r="H1112">
        <v>1</v>
      </c>
      <c r="I1112">
        <v>0.54059650000000004</v>
      </c>
      <c r="J1112">
        <v>2008</v>
      </c>
      <c r="K1112">
        <v>6</v>
      </c>
      <c r="L1112">
        <v>9</v>
      </c>
      <c r="M1112" t="s">
        <v>92</v>
      </c>
      <c r="N1112">
        <v>0</v>
      </c>
      <c r="O1112">
        <v>0</v>
      </c>
    </row>
    <row r="1113" spans="1:15" x14ac:dyDescent="0.3">
      <c r="A1113">
        <v>1208</v>
      </c>
      <c r="B1113" s="34">
        <v>39609</v>
      </c>
      <c r="C1113">
        <v>1.5641</v>
      </c>
      <c r="D1113">
        <v>0</v>
      </c>
      <c r="F1113">
        <v>0.41139999999999699</v>
      </c>
      <c r="G1113">
        <v>5.7070822828329701</v>
      </c>
      <c r="H1113">
        <v>1</v>
      </c>
      <c r="I1113">
        <v>0.54097680000000004</v>
      </c>
      <c r="J1113">
        <v>2008</v>
      </c>
      <c r="K1113">
        <v>6</v>
      </c>
      <c r="L1113">
        <v>10</v>
      </c>
      <c r="M1113" t="s">
        <v>93</v>
      </c>
      <c r="N1113">
        <v>0</v>
      </c>
      <c r="O1113">
        <v>0</v>
      </c>
    </row>
    <row r="1114" spans="1:15" x14ac:dyDescent="0.3">
      <c r="A1114">
        <v>1209</v>
      </c>
      <c r="B1114" s="34">
        <v>39610</v>
      </c>
      <c r="C1114">
        <v>1.5455000000000001</v>
      </c>
      <c r="D1114">
        <v>5</v>
      </c>
      <c r="E1114" t="s">
        <v>346</v>
      </c>
      <c r="F1114">
        <v>0.42149999999999699</v>
      </c>
      <c r="G1114">
        <v>3.3921613568645901</v>
      </c>
      <c r="H1114">
        <v>0</v>
      </c>
      <c r="I1114">
        <v>0.54052940000000005</v>
      </c>
      <c r="J1114">
        <v>2008</v>
      </c>
      <c r="K1114">
        <v>6</v>
      </c>
      <c r="L1114">
        <v>11</v>
      </c>
      <c r="M1114" t="s">
        <v>89</v>
      </c>
      <c r="N1114">
        <v>0</v>
      </c>
      <c r="O1114">
        <v>0</v>
      </c>
    </row>
    <row r="1115" spans="1:15" x14ac:dyDescent="0.3">
      <c r="A1115">
        <v>1210</v>
      </c>
      <c r="B1115" s="34">
        <v>39611</v>
      </c>
      <c r="C1115">
        <v>1.5556000000000001</v>
      </c>
      <c r="D1115">
        <v>0</v>
      </c>
      <c r="F1115">
        <v>0.42149999999999699</v>
      </c>
      <c r="G1115">
        <v>3.3921613568645901</v>
      </c>
      <c r="H1115">
        <v>1</v>
      </c>
      <c r="I1115">
        <v>0.54090910000000003</v>
      </c>
      <c r="J1115">
        <v>2008</v>
      </c>
      <c r="K1115">
        <v>6</v>
      </c>
      <c r="L1115">
        <v>12</v>
      </c>
      <c r="M1115" t="s">
        <v>90</v>
      </c>
      <c r="N1115">
        <v>0</v>
      </c>
      <c r="O1115">
        <v>0</v>
      </c>
    </row>
    <row r="1116" spans="1:15" x14ac:dyDescent="0.3">
      <c r="A1116">
        <v>1211</v>
      </c>
      <c r="B1116" s="34">
        <v>39612</v>
      </c>
      <c r="C1116">
        <v>1.5449999999999999</v>
      </c>
      <c r="D1116">
        <v>6</v>
      </c>
      <c r="E1116" t="s">
        <v>347</v>
      </c>
      <c r="F1116">
        <v>0.41439999999999699</v>
      </c>
      <c r="G1116">
        <v>5.0194820077928304</v>
      </c>
      <c r="H1116">
        <v>0</v>
      </c>
      <c r="I1116">
        <v>0.54046240000000001</v>
      </c>
      <c r="J1116">
        <v>2008</v>
      </c>
      <c r="K1116">
        <v>6</v>
      </c>
      <c r="L1116">
        <v>13</v>
      </c>
      <c r="M1116" t="s">
        <v>91</v>
      </c>
      <c r="N1116">
        <v>0</v>
      </c>
      <c r="O1116">
        <v>0</v>
      </c>
    </row>
    <row r="1117" spans="1:15" x14ac:dyDescent="0.3">
      <c r="A1117">
        <v>1212</v>
      </c>
      <c r="B1117" s="34">
        <v>39615</v>
      </c>
      <c r="C1117">
        <v>1.5379</v>
      </c>
      <c r="D1117">
        <v>0</v>
      </c>
      <c r="F1117">
        <v>0.41439999999999699</v>
      </c>
      <c r="G1117">
        <v>5.0194820077928304</v>
      </c>
      <c r="H1117">
        <v>0</v>
      </c>
      <c r="I1117">
        <v>0.54001650000000001</v>
      </c>
      <c r="J1117">
        <v>2008</v>
      </c>
      <c r="K1117">
        <v>6</v>
      </c>
      <c r="L1117">
        <v>16</v>
      </c>
      <c r="M1117" t="s">
        <v>92</v>
      </c>
      <c r="N1117">
        <v>0</v>
      </c>
      <c r="O1117">
        <v>0</v>
      </c>
    </row>
    <row r="1118" spans="1:15" x14ac:dyDescent="0.3">
      <c r="A1118">
        <v>1213</v>
      </c>
      <c r="B1118" s="34">
        <v>39616</v>
      </c>
      <c r="C1118">
        <v>1.5467</v>
      </c>
      <c r="D1118">
        <v>0</v>
      </c>
      <c r="F1118">
        <v>0.41439999999999699</v>
      </c>
      <c r="G1118">
        <v>5.0194820077928304</v>
      </c>
      <c r="H1118">
        <v>1</v>
      </c>
      <c r="I1118">
        <v>0.54039570000000003</v>
      </c>
      <c r="J1118">
        <v>2008</v>
      </c>
      <c r="K1118">
        <v>6</v>
      </c>
      <c r="L1118">
        <v>17</v>
      </c>
      <c r="M1118" t="s">
        <v>93</v>
      </c>
      <c r="N1118">
        <v>0</v>
      </c>
      <c r="O1118">
        <v>0</v>
      </c>
    </row>
    <row r="1119" spans="1:15" x14ac:dyDescent="0.3">
      <c r="A1119">
        <v>1214</v>
      </c>
      <c r="B1119" s="34">
        <v>39617</v>
      </c>
      <c r="C1119">
        <v>1.5505</v>
      </c>
      <c r="D1119">
        <v>-8</v>
      </c>
      <c r="F1119">
        <v>0.41219999999999701</v>
      </c>
      <c r="G1119">
        <v>5.52372220948891</v>
      </c>
      <c r="H1119">
        <v>1</v>
      </c>
      <c r="I1119">
        <v>0.54077430000000004</v>
      </c>
      <c r="J1119">
        <v>2008</v>
      </c>
      <c r="K1119">
        <v>6</v>
      </c>
      <c r="L1119">
        <v>18</v>
      </c>
      <c r="M1119" t="s">
        <v>89</v>
      </c>
      <c r="N1119">
        <v>0</v>
      </c>
      <c r="O1119">
        <v>0</v>
      </c>
    </row>
    <row r="1120" spans="1:15" x14ac:dyDescent="0.3">
      <c r="A1120">
        <v>1215</v>
      </c>
      <c r="B1120" s="34">
        <v>39618</v>
      </c>
      <c r="C1120">
        <v>1.5527</v>
      </c>
      <c r="D1120">
        <v>0</v>
      </c>
      <c r="F1120">
        <v>0.41219999999999701</v>
      </c>
      <c r="G1120">
        <v>5.52372220948891</v>
      </c>
      <c r="H1120">
        <v>1</v>
      </c>
      <c r="I1120">
        <v>0.54115219999999997</v>
      </c>
      <c r="J1120">
        <v>2008</v>
      </c>
      <c r="K1120">
        <v>6</v>
      </c>
      <c r="L1120">
        <v>19</v>
      </c>
      <c r="M1120" t="s">
        <v>90</v>
      </c>
      <c r="N1120">
        <v>0</v>
      </c>
      <c r="O1120">
        <v>0</v>
      </c>
    </row>
    <row r="1121" spans="1:15" x14ac:dyDescent="0.3">
      <c r="A1121">
        <v>1216</v>
      </c>
      <c r="B1121" s="34">
        <v>39619</v>
      </c>
      <c r="C1121">
        <v>1.5501</v>
      </c>
      <c r="D1121">
        <v>0</v>
      </c>
      <c r="F1121">
        <v>0.41219999999999701</v>
      </c>
      <c r="G1121">
        <v>5.52372220948891</v>
      </c>
      <c r="H1121">
        <v>0</v>
      </c>
      <c r="I1121">
        <v>0.54070720000000005</v>
      </c>
      <c r="J1121">
        <v>2008</v>
      </c>
      <c r="K1121">
        <v>6</v>
      </c>
      <c r="L1121">
        <v>20</v>
      </c>
      <c r="M1121" t="s">
        <v>91</v>
      </c>
      <c r="N1121">
        <v>0</v>
      </c>
      <c r="O1121">
        <v>0</v>
      </c>
    </row>
    <row r="1122" spans="1:15" x14ac:dyDescent="0.3">
      <c r="A1122">
        <v>1217</v>
      </c>
      <c r="B1122" s="34">
        <v>39622</v>
      </c>
      <c r="C1122">
        <v>1.5606</v>
      </c>
      <c r="D1122">
        <v>-5</v>
      </c>
      <c r="F1122">
        <v>0.42129999999999701</v>
      </c>
      <c r="G1122">
        <v>3.43800137520059</v>
      </c>
      <c r="H1122">
        <v>1</v>
      </c>
      <c r="I1122">
        <v>0.54108460000000003</v>
      </c>
      <c r="J1122">
        <v>2008</v>
      </c>
      <c r="K1122">
        <v>6</v>
      </c>
      <c r="L1122">
        <v>23</v>
      </c>
      <c r="M1122" t="s">
        <v>92</v>
      </c>
      <c r="N1122">
        <v>0</v>
      </c>
      <c r="O1122">
        <v>0</v>
      </c>
    </row>
    <row r="1123" spans="1:15" x14ac:dyDescent="0.3">
      <c r="A1123">
        <v>1218</v>
      </c>
      <c r="B1123" s="34">
        <v>39623</v>
      </c>
      <c r="C1123">
        <v>1.5515000000000001</v>
      </c>
      <c r="D1123">
        <v>0</v>
      </c>
      <c r="F1123">
        <v>0.42129999999999701</v>
      </c>
      <c r="G1123">
        <v>3.43800137520059</v>
      </c>
      <c r="H1123">
        <v>1</v>
      </c>
      <c r="I1123">
        <v>0.54146139999999998</v>
      </c>
      <c r="J1123">
        <v>2008</v>
      </c>
      <c r="K1123">
        <v>6</v>
      </c>
      <c r="L1123">
        <v>24</v>
      </c>
      <c r="M1123" t="s">
        <v>93</v>
      </c>
      <c r="N1123">
        <v>0</v>
      </c>
      <c r="O1123">
        <v>0</v>
      </c>
    </row>
    <row r="1124" spans="1:15" x14ac:dyDescent="0.3">
      <c r="A1124">
        <v>1219</v>
      </c>
      <c r="B1124" s="34">
        <v>39624</v>
      </c>
      <c r="C1124">
        <v>1.5569</v>
      </c>
      <c r="D1124">
        <v>-5</v>
      </c>
      <c r="F1124">
        <v>0.41169999999999701</v>
      </c>
      <c r="G1124">
        <v>5.63832225532897</v>
      </c>
      <c r="H1124">
        <v>1</v>
      </c>
      <c r="I1124">
        <v>0.54183760000000003</v>
      </c>
      <c r="J1124">
        <v>2008</v>
      </c>
      <c r="K1124">
        <v>6</v>
      </c>
      <c r="L1124">
        <v>25</v>
      </c>
      <c r="M1124" t="s">
        <v>89</v>
      </c>
      <c r="N1124">
        <v>0</v>
      </c>
      <c r="O1124">
        <v>0</v>
      </c>
    </row>
    <row r="1125" spans="1:15" x14ac:dyDescent="0.3">
      <c r="A1125">
        <v>1220</v>
      </c>
      <c r="B1125" s="34">
        <v>39625</v>
      </c>
      <c r="C1125">
        <v>1.5665</v>
      </c>
      <c r="D1125">
        <v>0</v>
      </c>
      <c r="F1125">
        <v>0.41169999999999701</v>
      </c>
      <c r="G1125">
        <v>5.63832225532897</v>
      </c>
      <c r="H1125">
        <v>0</v>
      </c>
      <c r="I1125">
        <v>0.54139349999999997</v>
      </c>
      <c r="J1125">
        <v>2008</v>
      </c>
      <c r="K1125">
        <v>6</v>
      </c>
      <c r="L1125">
        <v>26</v>
      </c>
      <c r="M1125" t="s">
        <v>90</v>
      </c>
      <c r="N1125">
        <v>0</v>
      </c>
      <c r="O1125">
        <v>0</v>
      </c>
    </row>
    <row r="1126" spans="1:15" x14ac:dyDescent="0.3">
      <c r="A1126">
        <v>1221</v>
      </c>
      <c r="B1126" s="34">
        <v>39626</v>
      </c>
      <c r="C1126">
        <v>1.5749</v>
      </c>
      <c r="D1126">
        <v>0</v>
      </c>
      <c r="F1126">
        <v>0.41169999999999701</v>
      </c>
      <c r="G1126">
        <v>5.63832225532897</v>
      </c>
      <c r="H1126">
        <v>0</v>
      </c>
      <c r="I1126">
        <v>0.54095009999999999</v>
      </c>
      <c r="J1126">
        <v>2008</v>
      </c>
      <c r="K1126">
        <v>6</v>
      </c>
      <c r="L1126">
        <v>27</v>
      </c>
      <c r="M1126" t="s">
        <v>91</v>
      </c>
      <c r="N1126">
        <v>0</v>
      </c>
      <c r="O1126">
        <v>0</v>
      </c>
    </row>
    <row r="1127" spans="1:15" x14ac:dyDescent="0.3">
      <c r="A1127">
        <v>1222</v>
      </c>
      <c r="B1127" s="34">
        <v>39629</v>
      </c>
      <c r="C1127">
        <v>1.5790999999999999</v>
      </c>
      <c r="D1127">
        <v>0</v>
      </c>
      <c r="F1127">
        <v>0.41169999999999701</v>
      </c>
      <c r="G1127">
        <v>5.63832225532897</v>
      </c>
      <c r="H1127">
        <v>0</v>
      </c>
      <c r="I1127">
        <v>0.54050739999999997</v>
      </c>
      <c r="J1127">
        <v>2008</v>
      </c>
      <c r="K1127">
        <v>6</v>
      </c>
      <c r="L1127">
        <v>30</v>
      </c>
      <c r="M1127" t="s">
        <v>92</v>
      </c>
      <c r="N1127">
        <v>0</v>
      </c>
      <c r="O1127">
        <v>0</v>
      </c>
    </row>
    <row r="1128" spans="1:15" x14ac:dyDescent="0.3">
      <c r="A1128">
        <v>1223</v>
      </c>
      <c r="B1128" s="34">
        <v>39630</v>
      </c>
      <c r="C1128">
        <v>1.5752999999999999</v>
      </c>
      <c r="D1128">
        <v>2</v>
      </c>
      <c r="E1128" t="s">
        <v>348</v>
      </c>
      <c r="F1128">
        <v>0.41579999999999701</v>
      </c>
      <c r="G1128">
        <v>4.69860187944081</v>
      </c>
      <c r="H1128">
        <v>1</v>
      </c>
      <c r="I1128">
        <v>0.54088309999999995</v>
      </c>
      <c r="J1128">
        <v>2008</v>
      </c>
      <c r="K1128">
        <v>7</v>
      </c>
      <c r="L1128">
        <v>1</v>
      </c>
      <c r="M1128" t="s">
        <v>93</v>
      </c>
      <c r="N1128">
        <v>0</v>
      </c>
      <c r="O1128">
        <v>0</v>
      </c>
    </row>
    <row r="1129" spans="1:15" x14ac:dyDescent="0.3">
      <c r="A1129">
        <v>1224</v>
      </c>
      <c r="B1129" s="34">
        <v>39631</v>
      </c>
      <c r="C1129">
        <v>1.5793999999999999</v>
      </c>
      <c r="D1129">
        <v>-11</v>
      </c>
      <c r="F1129">
        <v>0.406299999999997</v>
      </c>
      <c r="G1129">
        <v>6.8760027504011898</v>
      </c>
      <c r="H1129">
        <v>1</v>
      </c>
      <c r="I1129">
        <v>0.54125820000000002</v>
      </c>
      <c r="J1129">
        <v>2008</v>
      </c>
      <c r="K1129">
        <v>7</v>
      </c>
      <c r="L1129">
        <v>2</v>
      </c>
      <c r="M1129" t="s">
        <v>89</v>
      </c>
      <c r="N1129">
        <v>0</v>
      </c>
      <c r="O1129">
        <v>0</v>
      </c>
    </row>
    <row r="1130" spans="1:15" x14ac:dyDescent="0.3">
      <c r="A1130">
        <v>1225</v>
      </c>
      <c r="B1130" s="34">
        <v>39632</v>
      </c>
      <c r="C1130">
        <v>1.5889</v>
      </c>
      <c r="D1130">
        <v>0</v>
      </c>
      <c r="F1130">
        <v>0.406299999999997</v>
      </c>
      <c r="G1130">
        <v>6.8760027504011898</v>
      </c>
      <c r="H1130">
        <v>0</v>
      </c>
      <c r="I1130">
        <v>0.54081630000000003</v>
      </c>
      <c r="J1130">
        <v>2008</v>
      </c>
      <c r="K1130">
        <v>7</v>
      </c>
      <c r="L1130">
        <v>3</v>
      </c>
      <c r="M1130" t="s">
        <v>90</v>
      </c>
      <c r="N1130">
        <v>0</v>
      </c>
      <c r="O1130">
        <v>0</v>
      </c>
    </row>
    <row r="1131" spans="1:15" x14ac:dyDescent="0.3">
      <c r="A1131">
        <v>1226</v>
      </c>
      <c r="B1131" s="34">
        <v>39633</v>
      </c>
      <c r="C1131">
        <v>1.5696000000000001</v>
      </c>
      <c r="D1131">
        <v>0</v>
      </c>
      <c r="F1131">
        <v>0.406299999999997</v>
      </c>
      <c r="G1131">
        <v>6.8760027504011898</v>
      </c>
      <c r="H1131">
        <v>1</v>
      </c>
      <c r="I1131">
        <v>0.54119090000000003</v>
      </c>
      <c r="J1131">
        <v>2008</v>
      </c>
      <c r="K1131">
        <v>7</v>
      </c>
      <c r="L1131">
        <v>4</v>
      </c>
      <c r="M1131" t="s">
        <v>91</v>
      </c>
      <c r="N1131">
        <v>0</v>
      </c>
      <c r="O1131">
        <v>0</v>
      </c>
    </row>
    <row r="1132" spans="1:15" x14ac:dyDescent="0.3">
      <c r="A1132">
        <v>1227</v>
      </c>
      <c r="B1132" s="34">
        <v>39636</v>
      </c>
      <c r="C1132">
        <v>1.5706</v>
      </c>
      <c r="D1132">
        <v>0</v>
      </c>
      <c r="F1132">
        <v>0.406299999999997</v>
      </c>
      <c r="G1132">
        <v>6.8760027504011898</v>
      </c>
      <c r="H1132">
        <v>1</v>
      </c>
      <c r="I1132">
        <v>0.54156479999999996</v>
      </c>
      <c r="J1132">
        <v>2008</v>
      </c>
      <c r="K1132">
        <v>7</v>
      </c>
      <c r="L1132">
        <v>7</v>
      </c>
      <c r="M1132" t="s">
        <v>92</v>
      </c>
      <c r="N1132">
        <v>0</v>
      </c>
      <c r="O1132">
        <v>0</v>
      </c>
    </row>
    <row r="1133" spans="1:15" x14ac:dyDescent="0.3">
      <c r="A1133">
        <v>1228</v>
      </c>
      <c r="B1133" s="34">
        <v>39637</v>
      </c>
      <c r="C1133">
        <v>1.5722</v>
      </c>
      <c r="D1133">
        <v>0</v>
      </c>
      <c r="F1133">
        <v>0.406299999999997</v>
      </c>
      <c r="G1133">
        <v>6.8760027504011898</v>
      </c>
      <c r="H1133">
        <v>1</v>
      </c>
      <c r="I1133">
        <v>0.54193809999999998</v>
      </c>
      <c r="J1133">
        <v>2008</v>
      </c>
      <c r="K1133">
        <v>7</v>
      </c>
      <c r="L1133">
        <v>8</v>
      </c>
      <c r="M1133" t="s">
        <v>93</v>
      </c>
      <c r="N1133">
        <v>0</v>
      </c>
      <c r="O1133">
        <v>0</v>
      </c>
    </row>
    <row r="1134" spans="1:15" x14ac:dyDescent="0.3">
      <c r="A1134">
        <v>1229</v>
      </c>
      <c r="B1134" s="34">
        <v>39638</v>
      </c>
      <c r="C1134">
        <v>1.5665</v>
      </c>
      <c r="D1134">
        <v>8</v>
      </c>
      <c r="E1134" t="s">
        <v>349</v>
      </c>
      <c r="F1134">
        <v>0.41359999999999703</v>
      </c>
      <c r="G1134">
        <v>5.2028420811368896</v>
      </c>
      <c r="H1134">
        <v>0</v>
      </c>
      <c r="I1134">
        <v>0.54149720000000001</v>
      </c>
      <c r="J1134">
        <v>2008</v>
      </c>
      <c r="K1134">
        <v>7</v>
      </c>
      <c r="L1134">
        <v>9</v>
      </c>
      <c r="M1134" t="s">
        <v>89</v>
      </c>
      <c r="N1134">
        <v>0</v>
      </c>
      <c r="O1134">
        <v>0</v>
      </c>
    </row>
    <row r="1135" spans="1:15" x14ac:dyDescent="0.3">
      <c r="A1135">
        <v>1230</v>
      </c>
      <c r="B1135" s="34">
        <v>39639</v>
      </c>
      <c r="C1135">
        <v>1.5738000000000001</v>
      </c>
      <c r="D1135">
        <v>0</v>
      </c>
      <c r="F1135">
        <v>0.41359999999999703</v>
      </c>
      <c r="G1135">
        <v>5.2028420811368896</v>
      </c>
      <c r="H1135">
        <v>1</v>
      </c>
      <c r="I1135">
        <v>0.54186990000000002</v>
      </c>
      <c r="J1135">
        <v>2008</v>
      </c>
      <c r="K1135">
        <v>7</v>
      </c>
      <c r="L1135">
        <v>10</v>
      </c>
      <c r="M1135" t="s">
        <v>90</v>
      </c>
      <c r="N1135">
        <v>0</v>
      </c>
      <c r="O1135">
        <v>0</v>
      </c>
    </row>
    <row r="1136" spans="1:15" x14ac:dyDescent="0.3">
      <c r="A1136">
        <v>1231</v>
      </c>
      <c r="B1136" s="34">
        <v>39640</v>
      </c>
      <c r="C1136">
        <v>1.5784</v>
      </c>
      <c r="D1136">
        <v>-2</v>
      </c>
      <c r="F1136">
        <v>0.398199999999997</v>
      </c>
      <c r="G1136">
        <v>8.7325234930094897</v>
      </c>
      <c r="H1136">
        <v>1</v>
      </c>
      <c r="I1136">
        <v>0.54224209999999995</v>
      </c>
      <c r="J1136">
        <v>2008</v>
      </c>
      <c r="K1136">
        <v>7</v>
      </c>
      <c r="L1136">
        <v>11</v>
      </c>
      <c r="M1136" t="s">
        <v>91</v>
      </c>
      <c r="N1136">
        <v>0</v>
      </c>
      <c r="O1136">
        <v>0</v>
      </c>
    </row>
    <row r="1137" spans="1:15" x14ac:dyDescent="0.3">
      <c r="A1137">
        <v>1232</v>
      </c>
      <c r="B1137" s="34">
        <v>39643</v>
      </c>
      <c r="C1137">
        <v>1.5938000000000001</v>
      </c>
      <c r="D1137">
        <v>0</v>
      </c>
      <c r="F1137">
        <v>0.398199999999997</v>
      </c>
      <c r="G1137">
        <v>8.7325234930094897</v>
      </c>
      <c r="H1137">
        <v>0</v>
      </c>
      <c r="I1137">
        <v>0.54180189999999995</v>
      </c>
      <c r="J1137">
        <v>2008</v>
      </c>
      <c r="K1137">
        <v>7</v>
      </c>
      <c r="L1137">
        <v>14</v>
      </c>
      <c r="M1137" t="s">
        <v>92</v>
      </c>
      <c r="N1137">
        <v>0</v>
      </c>
      <c r="O1137">
        <v>0</v>
      </c>
    </row>
    <row r="1138" spans="1:15" x14ac:dyDescent="0.3">
      <c r="A1138">
        <v>1233</v>
      </c>
      <c r="B1138" s="34">
        <v>39644</v>
      </c>
      <c r="C1138">
        <v>1.5903</v>
      </c>
      <c r="D1138">
        <v>0</v>
      </c>
      <c r="F1138">
        <v>0.398199999999997</v>
      </c>
      <c r="G1138">
        <v>8.7325234930094897</v>
      </c>
      <c r="H1138">
        <v>1</v>
      </c>
      <c r="I1138">
        <v>0.54217360000000003</v>
      </c>
      <c r="J1138">
        <v>2008</v>
      </c>
      <c r="K1138">
        <v>7</v>
      </c>
      <c r="L1138">
        <v>15</v>
      </c>
      <c r="M1138" t="s">
        <v>93</v>
      </c>
      <c r="N1138">
        <v>0</v>
      </c>
      <c r="O1138">
        <v>0</v>
      </c>
    </row>
    <row r="1139" spans="1:15" x14ac:dyDescent="0.3">
      <c r="A1139">
        <v>1234</v>
      </c>
      <c r="B1139" s="34">
        <v>39645</v>
      </c>
      <c r="C1139">
        <v>1.5911999999999999</v>
      </c>
      <c r="D1139">
        <v>-1</v>
      </c>
      <c r="F1139">
        <v>0.40749999999999698</v>
      </c>
      <c r="G1139">
        <v>6.6009626403851698</v>
      </c>
      <c r="H1139">
        <v>0</v>
      </c>
      <c r="I1139">
        <v>0.54173420000000005</v>
      </c>
      <c r="J1139">
        <v>2008</v>
      </c>
      <c r="K1139">
        <v>7</v>
      </c>
      <c r="L1139">
        <v>16</v>
      </c>
      <c r="M1139" t="s">
        <v>89</v>
      </c>
      <c r="N1139">
        <v>0</v>
      </c>
      <c r="O1139">
        <v>0</v>
      </c>
    </row>
    <row r="1140" spans="1:15" x14ac:dyDescent="0.3">
      <c r="A1140">
        <v>1235</v>
      </c>
      <c r="B1140" s="34">
        <v>39646</v>
      </c>
      <c r="C1140">
        <v>1.5819000000000001</v>
      </c>
      <c r="D1140">
        <v>9</v>
      </c>
      <c r="E1140" t="s">
        <v>350</v>
      </c>
      <c r="F1140">
        <v>0.41139999999999699</v>
      </c>
      <c r="G1140">
        <v>5.7070822828330199</v>
      </c>
      <c r="H1140">
        <v>1</v>
      </c>
      <c r="I1140">
        <v>0.54210530000000001</v>
      </c>
      <c r="J1140">
        <v>2008</v>
      </c>
      <c r="K1140">
        <v>7</v>
      </c>
      <c r="L1140">
        <v>17</v>
      </c>
      <c r="M1140" t="s">
        <v>90</v>
      </c>
      <c r="N1140">
        <v>0</v>
      </c>
      <c r="O1140">
        <v>0</v>
      </c>
    </row>
    <row r="1141" spans="1:15" x14ac:dyDescent="0.3">
      <c r="A1141">
        <v>1236</v>
      </c>
      <c r="B1141" s="34">
        <v>39647</v>
      </c>
      <c r="C1141">
        <v>1.5858000000000001</v>
      </c>
      <c r="D1141">
        <v>-1</v>
      </c>
      <c r="F1141">
        <v>0.41249999999999698</v>
      </c>
      <c r="G1141">
        <v>5.4549621819849596</v>
      </c>
      <c r="H1141">
        <v>0</v>
      </c>
      <c r="I1141">
        <v>0.54166669999999995</v>
      </c>
      <c r="J1141">
        <v>2008</v>
      </c>
      <c r="K1141">
        <v>7</v>
      </c>
      <c r="L1141">
        <v>18</v>
      </c>
      <c r="M1141" t="s">
        <v>91</v>
      </c>
      <c r="N1141">
        <v>0</v>
      </c>
      <c r="O1141">
        <v>0</v>
      </c>
    </row>
    <row r="1142" spans="1:15" x14ac:dyDescent="0.3">
      <c r="A1142">
        <v>1237</v>
      </c>
      <c r="B1142" s="34">
        <v>39650</v>
      </c>
      <c r="C1142">
        <v>1.5847</v>
      </c>
      <c r="D1142">
        <v>5</v>
      </c>
      <c r="E1142" t="s">
        <v>351</v>
      </c>
      <c r="F1142">
        <v>0.42029999999999701</v>
      </c>
      <c r="G1142">
        <v>3.6672014668806598</v>
      </c>
      <c r="H1142">
        <v>1</v>
      </c>
      <c r="I1142">
        <v>0.5420372</v>
      </c>
      <c r="J1142">
        <v>2008</v>
      </c>
      <c r="K1142">
        <v>7</v>
      </c>
      <c r="L1142">
        <v>21</v>
      </c>
      <c r="M1142" t="s">
        <v>92</v>
      </c>
      <c r="N1142">
        <v>0</v>
      </c>
      <c r="O1142">
        <v>0</v>
      </c>
    </row>
    <row r="1143" spans="1:15" x14ac:dyDescent="0.3">
      <c r="A1143">
        <v>1238</v>
      </c>
      <c r="B1143" s="34">
        <v>39651</v>
      </c>
      <c r="C1143">
        <v>1.5925</v>
      </c>
      <c r="D1143">
        <v>0</v>
      </c>
      <c r="F1143">
        <v>0.42029999999999701</v>
      </c>
      <c r="G1143">
        <v>3.6672014668806598</v>
      </c>
      <c r="H1143">
        <v>0</v>
      </c>
      <c r="I1143">
        <v>0.54159930000000001</v>
      </c>
      <c r="J1143">
        <v>2008</v>
      </c>
      <c r="K1143">
        <v>7</v>
      </c>
      <c r="L1143">
        <v>22</v>
      </c>
      <c r="M1143" t="s">
        <v>93</v>
      </c>
      <c r="N1143">
        <v>0</v>
      </c>
      <c r="O1143">
        <v>0</v>
      </c>
    </row>
    <row r="1144" spans="1:15" x14ac:dyDescent="0.3">
      <c r="A1144">
        <v>1239</v>
      </c>
      <c r="B1144" s="34">
        <v>39652</v>
      </c>
      <c r="C1144">
        <v>1.5787</v>
      </c>
      <c r="D1144">
        <v>0</v>
      </c>
      <c r="F1144">
        <v>0.42029999999999701</v>
      </c>
      <c r="G1144">
        <v>3.6672014668806598</v>
      </c>
      <c r="H1144">
        <v>1</v>
      </c>
      <c r="I1144">
        <v>0.54196940000000005</v>
      </c>
      <c r="J1144">
        <v>2008</v>
      </c>
      <c r="K1144">
        <v>7</v>
      </c>
      <c r="L1144">
        <v>23</v>
      </c>
      <c r="M1144" t="s">
        <v>89</v>
      </c>
      <c r="N1144">
        <v>0</v>
      </c>
      <c r="O1144">
        <v>0</v>
      </c>
    </row>
    <row r="1145" spans="1:15" x14ac:dyDescent="0.3">
      <c r="A1145">
        <v>1240</v>
      </c>
      <c r="B1145" s="34">
        <v>39653</v>
      </c>
      <c r="C1145">
        <v>1.5684</v>
      </c>
      <c r="D1145">
        <v>0</v>
      </c>
      <c r="F1145">
        <v>0.42029999999999701</v>
      </c>
      <c r="G1145">
        <v>3.6672014668806598</v>
      </c>
      <c r="H1145">
        <v>0</v>
      </c>
      <c r="I1145">
        <v>0.54153229999999997</v>
      </c>
      <c r="J1145">
        <v>2008</v>
      </c>
      <c r="K1145">
        <v>7</v>
      </c>
      <c r="L1145">
        <v>24</v>
      </c>
      <c r="M1145" t="s">
        <v>90</v>
      </c>
      <c r="N1145">
        <v>0</v>
      </c>
      <c r="O1145">
        <v>0</v>
      </c>
    </row>
    <row r="1146" spans="1:15" x14ac:dyDescent="0.3">
      <c r="A1146">
        <v>1241</v>
      </c>
      <c r="B1146" s="34">
        <v>39654</v>
      </c>
      <c r="C1146">
        <v>1.5679000000000001</v>
      </c>
      <c r="D1146">
        <v>0</v>
      </c>
      <c r="F1146">
        <v>0.42029999999999701</v>
      </c>
      <c r="G1146">
        <v>3.6672014668806598</v>
      </c>
      <c r="H1146">
        <v>0</v>
      </c>
      <c r="I1146">
        <v>0.54109589999999996</v>
      </c>
      <c r="J1146">
        <v>2008</v>
      </c>
      <c r="K1146">
        <v>7</v>
      </c>
      <c r="L1146">
        <v>25</v>
      </c>
      <c r="M1146" t="s">
        <v>91</v>
      </c>
      <c r="N1146">
        <v>0</v>
      </c>
      <c r="O1146">
        <v>0</v>
      </c>
    </row>
    <row r="1147" spans="1:15" x14ac:dyDescent="0.3">
      <c r="A1147">
        <v>1242</v>
      </c>
      <c r="B1147" s="34">
        <v>39657</v>
      </c>
      <c r="C1147">
        <v>1.5709</v>
      </c>
      <c r="D1147">
        <v>0</v>
      </c>
      <c r="F1147">
        <v>0.42029999999999701</v>
      </c>
      <c r="G1147">
        <v>3.6672014668806598</v>
      </c>
      <c r="H1147">
        <v>1</v>
      </c>
      <c r="I1147">
        <v>0.54146539999999999</v>
      </c>
      <c r="J1147">
        <v>2008</v>
      </c>
      <c r="K1147">
        <v>7</v>
      </c>
      <c r="L1147">
        <v>28</v>
      </c>
      <c r="M1147" t="s">
        <v>92</v>
      </c>
      <c r="N1147">
        <v>0</v>
      </c>
      <c r="O1147">
        <v>0</v>
      </c>
    </row>
    <row r="1148" spans="1:15" x14ac:dyDescent="0.3">
      <c r="A1148">
        <v>1243</v>
      </c>
      <c r="B1148" s="34">
        <v>39658</v>
      </c>
      <c r="C1148">
        <v>1.5737000000000001</v>
      </c>
      <c r="D1148">
        <v>-12</v>
      </c>
      <c r="F1148">
        <v>0.43569999999999698</v>
      </c>
      <c r="G1148">
        <v>0.137520055008058</v>
      </c>
      <c r="H1148">
        <v>1</v>
      </c>
      <c r="I1148">
        <v>0.54183429999999999</v>
      </c>
      <c r="J1148">
        <v>2008</v>
      </c>
      <c r="K1148">
        <v>7</v>
      </c>
      <c r="L1148">
        <v>29</v>
      </c>
      <c r="M1148" t="s">
        <v>93</v>
      </c>
      <c r="N1148">
        <v>0</v>
      </c>
      <c r="O1148">
        <v>0</v>
      </c>
    </row>
    <row r="1149" spans="1:15" x14ac:dyDescent="0.3">
      <c r="A1149">
        <v>1244</v>
      </c>
      <c r="B1149" s="34">
        <v>39659</v>
      </c>
      <c r="C1149">
        <v>1.5583</v>
      </c>
      <c r="D1149">
        <v>1</v>
      </c>
      <c r="E1149" t="s">
        <v>352</v>
      </c>
      <c r="F1149">
        <v>0.43509999999999699</v>
      </c>
      <c r="G1149">
        <v>0.27504011001606599</v>
      </c>
      <c r="H1149">
        <v>0</v>
      </c>
      <c r="I1149">
        <v>0.54139870000000001</v>
      </c>
      <c r="J1149">
        <v>2008</v>
      </c>
      <c r="K1149">
        <v>7</v>
      </c>
      <c r="L1149">
        <v>30</v>
      </c>
      <c r="M1149" t="s">
        <v>89</v>
      </c>
      <c r="N1149">
        <v>0</v>
      </c>
      <c r="O1149">
        <v>0</v>
      </c>
    </row>
    <row r="1150" spans="1:15" x14ac:dyDescent="0.3">
      <c r="A1150">
        <v>1245</v>
      </c>
      <c r="B1150" s="34">
        <v>39660</v>
      </c>
      <c r="C1150">
        <v>1.5577000000000001</v>
      </c>
      <c r="D1150">
        <v>0</v>
      </c>
      <c r="F1150">
        <v>0.43509999999999699</v>
      </c>
      <c r="G1150">
        <v>0.27504011001606599</v>
      </c>
      <c r="H1150">
        <v>0</v>
      </c>
      <c r="I1150">
        <v>0.54096379999999999</v>
      </c>
      <c r="J1150">
        <v>2008</v>
      </c>
      <c r="K1150">
        <v>7</v>
      </c>
      <c r="L1150">
        <v>31</v>
      </c>
      <c r="M1150" t="s">
        <v>90</v>
      </c>
      <c r="N1150">
        <v>0</v>
      </c>
      <c r="O1150">
        <v>0</v>
      </c>
    </row>
    <row r="1151" spans="1:15" x14ac:dyDescent="0.3">
      <c r="A1151">
        <v>1246</v>
      </c>
      <c r="B1151" s="34">
        <v>39661</v>
      </c>
      <c r="C1151">
        <v>1.5597000000000001</v>
      </c>
      <c r="D1151">
        <v>0</v>
      </c>
      <c r="F1151">
        <v>0.43509999999999699</v>
      </c>
      <c r="G1151">
        <v>0.27504011001606599</v>
      </c>
      <c r="H1151">
        <v>1</v>
      </c>
      <c r="I1151">
        <v>0.54133220000000004</v>
      </c>
      <c r="J1151">
        <v>2008</v>
      </c>
      <c r="K1151">
        <v>8</v>
      </c>
      <c r="L1151">
        <v>1</v>
      </c>
      <c r="M1151" t="s">
        <v>91</v>
      </c>
      <c r="N1151">
        <v>0</v>
      </c>
      <c r="O1151">
        <v>0</v>
      </c>
    </row>
    <row r="1152" spans="1:15" x14ac:dyDescent="0.3">
      <c r="A1152">
        <v>1247</v>
      </c>
      <c r="B1152" s="34">
        <v>39664</v>
      </c>
      <c r="C1152">
        <v>1.5564</v>
      </c>
      <c r="D1152">
        <v>9</v>
      </c>
      <c r="E1152" t="s">
        <v>353</v>
      </c>
      <c r="F1152">
        <v>0.43579999999999702</v>
      </c>
      <c r="G1152">
        <v>0.11460004584005699</v>
      </c>
      <c r="H1152">
        <v>0</v>
      </c>
      <c r="I1152">
        <v>0.54089810000000005</v>
      </c>
      <c r="J1152">
        <v>2008</v>
      </c>
      <c r="K1152">
        <v>8</v>
      </c>
      <c r="L1152">
        <v>4</v>
      </c>
      <c r="M1152" t="s">
        <v>92</v>
      </c>
      <c r="N1152">
        <v>0</v>
      </c>
      <c r="O1152">
        <v>0</v>
      </c>
    </row>
    <row r="1153" spans="1:15" x14ac:dyDescent="0.3">
      <c r="A1153">
        <v>1248</v>
      </c>
      <c r="B1153" s="34">
        <v>39665</v>
      </c>
      <c r="C1153">
        <v>1.5570999999999999</v>
      </c>
      <c r="D1153">
        <v>0</v>
      </c>
      <c r="F1153">
        <v>0.43579999999999702</v>
      </c>
      <c r="G1153">
        <v>0.11460004584005699</v>
      </c>
      <c r="H1153">
        <v>1</v>
      </c>
      <c r="I1153">
        <v>0.54126600000000002</v>
      </c>
      <c r="J1153">
        <v>2008</v>
      </c>
      <c r="K1153">
        <v>8</v>
      </c>
      <c r="L1153">
        <v>5</v>
      </c>
      <c r="M1153" t="s">
        <v>93</v>
      </c>
      <c r="N1153">
        <v>0</v>
      </c>
      <c r="O1153">
        <v>0</v>
      </c>
    </row>
    <row r="1154" spans="1:15" x14ac:dyDescent="0.3">
      <c r="A1154">
        <v>1249</v>
      </c>
      <c r="B1154" s="34">
        <v>39666</v>
      </c>
      <c r="C1154">
        <v>1.5448999999999999</v>
      </c>
      <c r="D1154">
        <v>3</v>
      </c>
      <c r="E1154" t="s">
        <v>354</v>
      </c>
      <c r="F1154">
        <v>0.43229999999999702</v>
      </c>
      <c r="G1154">
        <v>0.91680036672015197</v>
      </c>
      <c r="H1154">
        <v>0</v>
      </c>
      <c r="I1154">
        <v>0.5408326</v>
      </c>
      <c r="J1154">
        <v>2008</v>
      </c>
      <c r="K1154">
        <v>8</v>
      </c>
      <c r="L1154">
        <v>6</v>
      </c>
      <c r="M1154" t="s">
        <v>89</v>
      </c>
      <c r="N1154">
        <v>0</v>
      </c>
      <c r="O1154">
        <v>0</v>
      </c>
    </row>
    <row r="1155" spans="1:15" x14ac:dyDescent="0.3">
      <c r="A1155">
        <v>1250</v>
      </c>
      <c r="B1155" s="34">
        <v>39667</v>
      </c>
      <c r="C1155">
        <v>1.5414000000000001</v>
      </c>
      <c r="D1155">
        <v>0</v>
      </c>
      <c r="F1155">
        <v>0.43229999999999702</v>
      </c>
      <c r="G1155">
        <v>0.91680036672015197</v>
      </c>
      <c r="H1155">
        <v>0</v>
      </c>
      <c r="I1155">
        <v>0.54039999999999999</v>
      </c>
      <c r="J1155">
        <v>2008</v>
      </c>
      <c r="K1155">
        <v>8</v>
      </c>
      <c r="L1155">
        <v>7</v>
      </c>
      <c r="M1155" t="s">
        <v>90</v>
      </c>
      <c r="N1155">
        <v>0</v>
      </c>
      <c r="O1155">
        <v>0</v>
      </c>
    </row>
    <row r="1156" spans="1:15" x14ac:dyDescent="0.3">
      <c r="A1156">
        <v>1251</v>
      </c>
      <c r="B1156" s="34">
        <v>39668</v>
      </c>
      <c r="C1156">
        <v>1.5323</v>
      </c>
      <c r="D1156">
        <v>0</v>
      </c>
      <c r="F1156">
        <v>0.43229999999999702</v>
      </c>
      <c r="G1156">
        <v>0.91680036672015197</v>
      </c>
      <c r="H1156">
        <v>0</v>
      </c>
      <c r="I1156">
        <v>0.539968</v>
      </c>
      <c r="J1156">
        <v>2008</v>
      </c>
      <c r="K1156">
        <v>8</v>
      </c>
      <c r="L1156">
        <v>8</v>
      </c>
      <c r="M1156" t="s">
        <v>91</v>
      </c>
      <c r="N1156">
        <v>0</v>
      </c>
      <c r="O1156">
        <v>0</v>
      </c>
    </row>
    <row r="1157" spans="1:15" x14ac:dyDescent="0.3">
      <c r="A1157">
        <v>1252</v>
      </c>
      <c r="B1157" s="34">
        <v>39671</v>
      </c>
      <c r="C1157">
        <v>1.5004999999999999</v>
      </c>
      <c r="D1157">
        <v>0</v>
      </c>
      <c r="F1157">
        <v>0.43229999999999702</v>
      </c>
      <c r="G1157">
        <v>0.91680036672015197</v>
      </c>
      <c r="H1157">
        <v>0</v>
      </c>
      <c r="I1157">
        <v>0.53953669999999998</v>
      </c>
      <c r="J1157">
        <v>2008</v>
      </c>
      <c r="K1157">
        <v>8</v>
      </c>
      <c r="L1157">
        <v>11</v>
      </c>
      <c r="M1157" t="s">
        <v>92</v>
      </c>
      <c r="N1157">
        <v>0</v>
      </c>
      <c r="O1157">
        <v>0</v>
      </c>
    </row>
    <row r="1158" spans="1:15" x14ac:dyDescent="0.3">
      <c r="A1158">
        <v>1253</v>
      </c>
      <c r="B1158" s="34">
        <v>39672</v>
      </c>
      <c r="C1158">
        <v>1.4892000000000001</v>
      </c>
      <c r="D1158">
        <v>0</v>
      </c>
      <c r="F1158">
        <v>0.43229999999999702</v>
      </c>
      <c r="G1158">
        <v>0.91680036672015197</v>
      </c>
      <c r="H1158">
        <v>0</v>
      </c>
      <c r="I1158">
        <v>0.53910610000000003</v>
      </c>
      <c r="J1158">
        <v>2008</v>
      </c>
      <c r="K1158">
        <v>8</v>
      </c>
      <c r="L1158">
        <v>12</v>
      </c>
      <c r="M1158" t="s">
        <v>93</v>
      </c>
      <c r="N1158">
        <v>0</v>
      </c>
      <c r="O1158">
        <v>0</v>
      </c>
    </row>
    <row r="1159" spans="1:15" x14ac:dyDescent="0.3">
      <c r="A1159">
        <v>1254</v>
      </c>
      <c r="B1159" s="34">
        <v>39673</v>
      </c>
      <c r="C1159">
        <v>1.4912000000000001</v>
      </c>
      <c r="D1159">
        <v>0</v>
      </c>
      <c r="F1159">
        <v>0.43229999999999702</v>
      </c>
      <c r="G1159">
        <v>0.91680036672015197</v>
      </c>
      <c r="H1159">
        <v>1</v>
      </c>
      <c r="I1159">
        <v>0.53947369999999994</v>
      </c>
      <c r="J1159">
        <v>2008</v>
      </c>
      <c r="K1159">
        <v>8</v>
      </c>
      <c r="L1159">
        <v>13</v>
      </c>
      <c r="M1159" t="s">
        <v>89</v>
      </c>
      <c r="N1159">
        <v>0</v>
      </c>
      <c r="O1159">
        <v>0</v>
      </c>
    </row>
    <row r="1160" spans="1:15" x14ac:dyDescent="0.3">
      <c r="A1160">
        <v>1255</v>
      </c>
      <c r="B1160" s="34">
        <v>39674</v>
      </c>
      <c r="C1160">
        <v>1.4921</v>
      </c>
      <c r="D1160">
        <v>-8</v>
      </c>
      <c r="F1160">
        <v>0.44419999999999699</v>
      </c>
      <c r="G1160">
        <v>0</v>
      </c>
      <c r="H1160">
        <v>0.5</v>
      </c>
      <c r="I1160">
        <v>0.53944219999999998</v>
      </c>
      <c r="J1160">
        <v>2008</v>
      </c>
      <c r="K1160">
        <v>8</v>
      </c>
      <c r="L1160">
        <v>14</v>
      </c>
      <c r="M1160" t="s">
        <v>90</v>
      </c>
      <c r="N1160">
        <v>0</v>
      </c>
      <c r="O1160">
        <v>0</v>
      </c>
    </row>
    <row r="1161" spans="1:15" x14ac:dyDescent="0.3">
      <c r="A1161">
        <v>1256</v>
      </c>
      <c r="B1161" s="34">
        <v>39675</v>
      </c>
      <c r="C1161">
        <v>1.4802</v>
      </c>
      <c r="D1161">
        <v>6</v>
      </c>
      <c r="E1161" t="s">
        <v>355</v>
      </c>
      <c r="F1161">
        <v>0.43289999999999701</v>
      </c>
      <c r="G1161">
        <v>2.5438991445294699</v>
      </c>
      <c r="H1161">
        <v>1</v>
      </c>
      <c r="I1161">
        <v>0.53980890000000004</v>
      </c>
      <c r="J1161">
        <v>2008</v>
      </c>
      <c r="K1161">
        <v>8</v>
      </c>
      <c r="L1161">
        <v>15</v>
      </c>
      <c r="M1161" t="s">
        <v>91</v>
      </c>
      <c r="N1161">
        <v>0</v>
      </c>
      <c r="O1161">
        <v>0</v>
      </c>
    </row>
    <row r="1162" spans="1:15" x14ac:dyDescent="0.3">
      <c r="A1162">
        <v>1257</v>
      </c>
      <c r="B1162" s="34">
        <v>39678</v>
      </c>
      <c r="C1162">
        <v>1.4689000000000001</v>
      </c>
      <c r="D1162">
        <v>0</v>
      </c>
      <c r="F1162">
        <v>0.43289999999999701</v>
      </c>
      <c r="G1162">
        <v>2.5438991445294699</v>
      </c>
      <c r="H1162">
        <v>0</v>
      </c>
      <c r="I1162">
        <v>0.53937950000000001</v>
      </c>
      <c r="J1162">
        <v>2008</v>
      </c>
      <c r="K1162">
        <v>8</v>
      </c>
      <c r="L1162">
        <v>18</v>
      </c>
      <c r="M1162" t="s">
        <v>92</v>
      </c>
      <c r="N1162">
        <v>0</v>
      </c>
      <c r="O1162">
        <v>0</v>
      </c>
    </row>
    <row r="1163" spans="1:15" x14ac:dyDescent="0.3">
      <c r="A1163">
        <v>1258</v>
      </c>
      <c r="B1163" s="34">
        <v>39679</v>
      </c>
      <c r="C1163">
        <v>1.4678</v>
      </c>
      <c r="D1163">
        <v>0</v>
      </c>
      <c r="F1163">
        <v>0.43289999999999701</v>
      </c>
      <c r="G1163">
        <v>2.5438991445294699</v>
      </c>
      <c r="H1163">
        <v>0</v>
      </c>
      <c r="I1163">
        <v>0.5389507</v>
      </c>
      <c r="J1163">
        <v>2008</v>
      </c>
      <c r="K1163">
        <v>8</v>
      </c>
      <c r="L1163">
        <v>19</v>
      </c>
      <c r="M1163" t="s">
        <v>93</v>
      </c>
      <c r="N1163">
        <v>0</v>
      </c>
      <c r="O1163">
        <v>0</v>
      </c>
    </row>
    <row r="1164" spans="1:15" x14ac:dyDescent="0.3">
      <c r="A1164">
        <v>1259</v>
      </c>
      <c r="B1164" s="34">
        <v>39680</v>
      </c>
      <c r="C1164">
        <v>1.4781</v>
      </c>
      <c r="D1164">
        <v>-2</v>
      </c>
      <c r="F1164">
        <v>0.43669999999999698</v>
      </c>
      <c r="G1164">
        <v>1.6884286357496301</v>
      </c>
      <c r="H1164">
        <v>1</v>
      </c>
      <c r="I1164">
        <v>0.53931689999999999</v>
      </c>
      <c r="J1164">
        <v>2008</v>
      </c>
      <c r="K1164">
        <v>8</v>
      </c>
      <c r="L1164">
        <v>20</v>
      </c>
      <c r="M1164" t="s">
        <v>89</v>
      </c>
      <c r="N1164">
        <v>0</v>
      </c>
      <c r="O1164">
        <v>0</v>
      </c>
    </row>
    <row r="1165" spans="1:15" x14ac:dyDescent="0.3">
      <c r="A1165">
        <v>1260</v>
      </c>
      <c r="B1165" s="34">
        <v>39681</v>
      </c>
      <c r="C1165">
        <v>1.4742999999999999</v>
      </c>
      <c r="D1165">
        <v>2</v>
      </c>
      <c r="E1165" t="s">
        <v>356</v>
      </c>
      <c r="F1165">
        <v>0.45199999999999702</v>
      </c>
      <c r="G1165">
        <v>0</v>
      </c>
      <c r="H1165">
        <v>0</v>
      </c>
      <c r="I1165">
        <v>0.5388889</v>
      </c>
      <c r="J1165">
        <v>2008</v>
      </c>
      <c r="K1165">
        <v>8</v>
      </c>
      <c r="L1165">
        <v>21</v>
      </c>
      <c r="M1165" t="s">
        <v>90</v>
      </c>
      <c r="N1165">
        <v>0</v>
      </c>
      <c r="O1165">
        <v>0</v>
      </c>
    </row>
    <row r="1166" spans="1:15" x14ac:dyDescent="0.3">
      <c r="A1166">
        <v>1261</v>
      </c>
      <c r="B1166" s="34">
        <v>39682</v>
      </c>
      <c r="C1166">
        <v>1.4896</v>
      </c>
      <c r="D1166">
        <v>-6</v>
      </c>
      <c r="F1166">
        <v>0.46229999999999699</v>
      </c>
      <c r="G1166">
        <v>0</v>
      </c>
      <c r="H1166">
        <v>1</v>
      </c>
      <c r="I1166">
        <v>0.53925449999999997</v>
      </c>
      <c r="J1166">
        <v>2008</v>
      </c>
      <c r="K1166">
        <v>8</v>
      </c>
      <c r="L1166">
        <v>22</v>
      </c>
      <c r="M1166" t="s">
        <v>91</v>
      </c>
      <c r="N1166">
        <v>0</v>
      </c>
      <c r="O1166">
        <v>0</v>
      </c>
    </row>
    <row r="1167" spans="1:15" x14ac:dyDescent="0.3">
      <c r="A1167">
        <v>1262</v>
      </c>
      <c r="B1167" s="34">
        <v>39685</v>
      </c>
      <c r="C1167">
        <v>1.4793000000000001</v>
      </c>
      <c r="D1167">
        <v>2</v>
      </c>
      <c r="E1167" t="s">
        <v>357</v>
      </c>
      <c r="F1167">
        <v>0.45829999999999699</v>
      </c>
      <c r="G1167">
        <v>0.86523902227990901</v>
      </c>
      <c r="H1167">
        <v>0.5</v>
      </c>
      <c r="I1167">
        <v>0.53922340000000002</v>
      </c>
      <c r="J1167">
        <v>2008</v>
      </c>
      <c r="K1167">
        <v>8</v>
      </c>
      <c r="L1167">
        <v>25</v>
      </c>
      <c r="M1167" t="s">
        <v>92</v>
      </c>
      <c r="N1167">
        <v>0</v>
      </c>
      <c r="O1167">
        <v>0</v>
      </c>
    </row>
    <row r="1168" spans="1:15" x14ac:dyDescent="0.3">
      <c r="A1168">
        <v>1263</v>
      </c>
      <c r="B1168" s="34">
        <v>39686</v>
      </c>
      <c r="C1168">
        <v>1.4753000000000001</v>
      </c>
      <c r="D1168">
        <v>0</v>
      </c>
      <c r="F1168">
        <v>0.45829999999999699</v>
      </c>
      <c r="G1168">
        <v>0.86523902227990901</v>
      </c>
      <c r="H1168">
        <v>0</v>
      </c>
      <c r="I1168">
        <v>0.53879650000000001</v>
      </c>
      <c r="J1168">
        <v>2008</v>
      </c>
      <c r="K1168">
        <v>8</v>
      </c>
      <c r="L1168">
        <v>26</v>
      </c>
      <c r="M1168" t="s">
        <v>93</v>
      </c>
      <c r="N1168">
        <v>0</v>
      </c>
      <c r="O1168">
        <v>0</v>
      </c>
    </row>
    <row r="1169" spans="1:15" x14ac:dyDescent="0.3">
      <c r="A1169">
        <v>1264</v>
      </c>
      <c r="B1169" s="34">
        <v>39687</v>
      </c>
      <c r="C1169">
        <v>1.4642999999999999</v>
      </c>
      <c r="D1169">
        <v>1</v>
      </c>
      <c r="E1169" t="s">
        <v>358</v>
      </c>
      <c r="F1169">
        <v>0.46549999999999803</v>
      </c>
      <c r="G1169">
        <v>0</v>
      </c>
      <c r="H1169">
        <v>0</v>
      </c>
      <c r="I1169">
        <v>0.53837029999999997</v>
      </c>
      <c r="J1169">
        <v>2008</v>
      </c>
      <c r="K1169">
        <v>8</v>
      </c>
      <c r="L1169">
        <v>27</v>
      </c>
      <c r="M1169" t="s">
        <v>89</v>
      </c>
      <c r="N1169">
        <v>0</v>
      </c>
      <c r="O1169">
        <v>0</v>
      </c>
    </row>
    <row r="1170" spans="1:15" x14ac:dyDescent="0.3">
      <c r="A1170">
        <v>1265</v>
      </c>
      <c r="B1170" s="34">
        <v>39688</v>
      </c>
      <c r="C1170">
        <v>1.4715</v>
      </c>
      <c r="D1170">
        <v>0</v>
      </c>
      <c r="F1170">
        <v>0.46549999999999803</v>
      </c>
      <c r="G1170">
        <v>0</v>
      </c>
      <c r="H1170">
        <v>1</v>
      </c>
      <c r="I1170">
        <v>0.53873519999999997</v>
      </c>
      <c r="J1170">
        <v>2008</v>
      </c>
      <c r="K1170">
        <v>8</v>
      </c>
      <c r="L1170">
        <v>28</v>
      </c>
      <c r="M1170" t="s">
        <v>90</v>
      </c>
      <c r="N1170">
        <v>0</v>
      </c>
      <c r="O1170">
        <v>0</v>
      </c>
    </row>
    <row r="1171" spans="1:15" x14ac:dyDescent="0.3">
      <c r="A1171">
        <v>1266</v>
      </c>
      <c r="B1171" s="34">
        <v>39689</v>
      </c>
      <c r="C1171">
        <v>1.4693000000000001</v>
      </c>
      <c r="D1171">
        <v>5</v>
      </c>
      <c r="E1171" t="s">
        <v>359</v>
      </c>
      <c r="F1171">
        <v>0.46399999999999703</v>
      </c>
      <c r="G1171">
        <v>0.322234156820636</v>
      </c>
      <c r="H1171">
        <v>0</v>
      </c>
      <c r="I1171">
        <v>0.53830960000000005</v>
      </c>
      <c r="J1171">
        <v>2008</v>
      </c>
      <c r="K1171">
        <v>8</v>
      </c>
      <c r="L1171">
        <v>29</v>
      </c>
      <c r="M1171" t="s">
        <v>91</v>
      </c>
      <c r="N1171">
        <v>0</v>
      </c>
      <c r="O1171">
        <v>0</v>
      </c>
    </row>
    <row r="1172" spans="1:15" x14ac:dyDescent="0.3">
      <c r="A1172">
        <v>1267</v>
      </c>
      <c r="B1172" s="34">
        <v>39692</v>
      </c>
      <c r="C1172">
        <v>1.4678</v>
      </c>
      <c r="D1172">
        <v>0</v>
      </c>
      <c r="F1172">
        <v>0.46399999999999703</v>
      </c>
      <c r="G1172">
        <v>0.322234156820636</v>
      </c>
      <c r="H1172">
        <v>0</v>
      </c>
      <c r="I1172">
        <v>0.53788480000000005</v>
      </c>
      <c r="J1172">
        <v>2008</v>
      </c>
      <c r="K1172">
        <v>9</v>
      </c>
      <c r="L1172">
        <v>1</v>
      </c>
      <c r="M1172" t="s">
        <v>92</v>
      </c>
      <c r="N1172">
        <v>0</v>
      </c>
      <c r="O1172">
        <v>0</v>
      </c>
    </row>
    <row r="1173" spans="1:15" x14ac:dyDescent="0.3">
      <c r="A1173">
        <v>1268</v>
      </c>
      <c r="B1173" s="34">
        <v>39693</v>
      </c>
      <c r="C1173">
        <v>1.4585999999999999</v>
      </c>
      <c r="D1173">
        <v>1</v>
      </c>
      <c r="E1173" t="s">
        <v>360</v>
      </c>
      <c r="F1173">
        <v>0.456699999999998</v>
      </c>
      <c r="G1173">
        <v>1.89044038668097</v>
      </c>
      <c r="H1173">
        <v>0.5</v>
      </c>
      <c r="I1173">
        <v>0.53785490000000002</v>
      </c>
      <c r="J1173">
        <v>2008</v>
      </c>
      <c r="K1173">
        <v>9</v>
      </c>
      <c r="L1173">
        <v>2</v>
      </c>
      <c r="M1173" t="s">
        <v>93</v>
      </c>
      <c r="N1173">
        <v>0</v>
      </c>
      <c r="O1173">
        <v>0</v>
      </c>
    </row>
    <row r="1174" spans="1:15" x14ac:dyDescent="0.3">
      <c r="A1174">
        <v>1269</v>
      </c>
      <c r="B1174" s="34">
        <v>39694</v>
      </c>
      <c r="C1174">
        <v>1.4513</v>
      </c>
      <c r="D1174">
        <v>0</v>
      </c>
      <c r="F1174">
        <v>0.456699999999998</v>
      </c>
      <c r="G1174">
        <v>1.89044038668097</v>
      </c>
      <c r="H1174">
        <v>0</v>
      </c>
      <c r="I1174">
        <v>0.53743110000000005</v>
      </c>
      <c r="J1174">
        <v>2008</v>
      </c>
      <c r="K1174">
        <v>9</v>
      </c>
      <c r="L1174">
        <v>3</v>
      </c>
      <c r="M1174" t="s">
        <v>89</v>
      </c>
      <c r="N1174">
        <v>0</v>
      </c>
      <c r="O1174">
        <v>0</v>
      </c>
    </row>
    <row r="1175" spans="1:15" x14ac:dyDescent="0.3">
      <c r="A1175">
        <v>1270</v>
      </c>
      <c r="B1175" s="34">
        <v>39695</v>
      </c>
      <c r="C1175">
        <v>1.4490000000000001</v>
      </c>
      <c r="D1175">
        <v>0</v>
      </c>
      <c r="F1175">
        <v>0.456699999999998</v>
      </c>
      <c r="G1175">
        <v>1.89044038668097</v>
      </c>
      <c r="H1175">
        <v>0</v>
      </c>
      <c r="I1175">
        <v>0.53700789999999998</v>
      </c>
      <c r="J1175">
        <v>2008</v>
      </c>
      <c r="K1175">
        <v>9</v>
      </c>
      <c r="L1175">
        <v>4</v>
      </c>
      <c r="M1175" t="s">
        <v>90</v>
      </c>
      <c r="N1175">
        <v>0</v>
      </c>
      <c r="O1175">
        <v>0</v>
      </c>
    </row>
    <row r="1176" spans="1:15" x14ac:dyDescent="0.3">
      <c r="A1176">
        <v>1271</v>
      </c>
      <c r="B1176" s="34">
        <v>39696</v>
      </c>
      <c r="C1176">
        <v>1.4239999999999999</v>
      </c>
      <c r="D1176">
        <v>1</v>
      </c>
      <c r="E1176" t="s">
        <v>361</v>
      </c>
      <c r="F1176">
        <v>0.45939999999999798</v>
      </c>
      <c r="G1176">
        <v>1.3104189044038199</v>
      </c>
      <c r="H1176">
        <v>0</v>
      </c>
      <c r="I1176">
        <v>0.53658539999999999</v>
      </c>
      <c r="J1176">
        <v>2008</v>
      </c>
      <c r="K1176">
        <v>9</v>
      </c>
      <c r="L1176">
        <v>5</v>
      </c>
      <c r="M1176" t="s">
        <v>91</v>
      </c>
      <c r="N1176">
        <v>0</v>
      </c>
      <c r="O1176">
        <v>0</v>
      </c>
    </row>
    <row r="1177" spans="1:15" x14ac:dyDescent="0.3">
      <c r="A1177">
        <v>1272</v>
      </c>
      <c r="B1177" s="34">
        <v>39699</v>
      </c>
      <c r="C1177">
        <v>1.4267000000000001</v>
      </c>
      <c r="D1177">
        <v>-1</v>
      </c>
      <c r="F1177">
        <v>0.47439999999999799</v>
      </c>
      <c r="G1177">
        <v>0</v>
      </c>
      <c r="H1177">
        <v>1</v>
      </c>
      <c r="I1177">
        <v>0.53694969999999997</v>
      </c>
      <c r="J1177">
        <v>2008</v>
      </c>
      <c r="K1177">
        <v>9</v>
      </c>
      <c r="L1177">
        <v>8</v>
      </c>
      <c r="M1177" t="s">
        <v>92</v>
      </c>
      <c r="N1177">
        <v>0</v>
      </c>
      <c r="O1177">
        <v>0</v>
      </c>
    </row>
    <row r="1178" spans="1:15" x14ac:dyDescent="0.3">
      <c r="A1178">
        <v>1273</v>
      </c>
      <c r="B1178" s="34">
        <v>39700</v>
      </c>
      <c r="C1178">
        <v>1.4117</v>
      </c>
      <c r="D1178">
        <v>7</v>
      </c>
      <c r="E1178" t="s">
        <v>362</v>
      </c>
      <c r="F1178">
        <v>0.473299999999998</v>
      </c>
      <c r="G1178">
        <v>0.23187183811127299</v>
      </c>
      <c r="H1178">
        <v>0</v>
      </c>
      <c r="I1178">
        <v>0.53652789999999995</v>
      </c>
      <c r="J1178">
        <v>2008</v>
      </c>
      <c r="K1178">
        <v>9</v>
      </c>
      <c r="L1178">
        <v>9</v>
      </c>
      <c r="M1178" t="s">
        <v>93</v>
      </c>
      <c r="N1178">
        <v>0</v>
      </c>
      <c r="O1178">
        <v>0</v>
      </c>
    </row>
    <row r="1179" spans="1:15" x14ac:dyDescent="0.3">
      <c r="A1179">
        <v>1274</v>
      </c>
      <c r="B1179" s="34">
        <v>39701</v>
      </c>
      <c r="C1179">
        <v>1.4106000000000001</v>
      </c>
      <c r="D1179">
        <v>0</v>
      </c>
      <c r="F1179">
        <v>0.473299999999998</v>
      </c>
      <c r="G1179">
        <v>0.23187183811127299</v>
      </c>
      <c r="H1179">
        <v>0</v>
      </c>
      <c r="I1179">
        <v>0.53610679999999999</v>
      </c>
      <c r="J1179">
        <v>2008</v>
      </c>
      <c r="K1179">
        <v>9</v>
      </c>
      <c r="L1179">
        <v>10</v>
      </c>
      <c r="M1179" t="s">
        <v>89</v>
      </c>
      <c r="N1179">
        <v>0</v>
      </c>
      <c r="O1179">
        <v>0</v>
      </c>
    </row>
    <row r="1180" spans="1:15" x14ac:dyDescent="0.3">
      <c r="A1180">
        <v>1275</v>
      </c>
      <c r="B1180" s="34">
        <v>39702</v>
      </c>
      <c r="C1180">
        <v>1.3964000000000001</v>
      </c>
      <c r="D1180">
        <v>1</v>
      </c>
      <c r="E1180" t="s">
        <v>363</v>
      </c>
      <c r="F1180">
        <v>0.47869999999999802</v>
      </c>
      <c r="G1180">
        <v>0</v>
      </c>
      <c r="H1180">
        <v>1</v>
      </c>
      <c r="I1180">
        <v>0.53647060000000002</v>
      </c>
      <c r="J1180">
        <v>2008</v>
      </c>
      <c r="K1180">
        <v>9</v>
      </c>
      <c r="L1180">
        <v>11</v>
      </c>
      <c r="M1180" t="s">
        <v>90</v>
      </c>
      <c r="N1180">
        <v>0</v>
      </c>
      <c r="O1180">
        <v>0</v>
      </c>
    </row>
    <row r="1181" spans="1:15" x14ac:dyDescent="0.3">
      <c r="A1181">
        <v>1276</v>
      </c>
      <c r="B1181" s="34">
        <v>39703</v>
      </c>
      <c r="C1181">
        <v>1.4017999999999999</v>
      </c>
      <c r="D1181">
        <v>0</v>
      </c>
      <c r="F1181">
        <v>0.47869999999999802</v>
      </c>
      <c r="G1181">
        <v>0</v>
      </c>
      <c r="H1181">
        <v>1</v>
      </c>
      <c r="I1181">
        <v>0.53683389999999997</v>
      </c>
      <c r="J1181">
        <v>2008</v>
      </c>
      <c r="K1181">
        <v>9</v>
      </c>
      <c r="L1181">
        <v>12</v>
      </c>
      <c r="M1181" t="s">
        <v>91</v>
      </c>
      <c r="N1181">
        <v>0</v>
      </c>
      <c r="O1181">
        <v>0</v>
      </c>
    </row>
    <row r="1182" spans="1:15" x14ac:dyDescent="0.3">
      <c r="A1182">
        <v>1277</v>
      </c>
      <c r="B1182" s="34">
        <v>39706</v>
      </c>
      <c r="C1182">
        <v>1.4222999999999999</v>
      </c>
      <c r="D1182">
        <v>-2</v>
      </c>
      <c r="F1182">
        <v>0.47359999999999802</v>
      </c>
      <c r="G1182">
        <v>1.0653854188427201</v>
      </c>
      <c r="H1182">
        <v>1</v>
      </c>
      <c r="I1182">
        <v>0.53719660000000002</v>
      </c>
      <c r="J1182">
        <v>2008</v>
      </c>
      <c r="K1182">
        <v>9</v>
      </c>
      <c r="L1182">
        <v>15</v>
      </c>
      <c r="M1182" t="s">
        <v>92</v>
      </c>
      <c r="N1182">
        <v>0</v>
      </c>
      <c r="O1182">
        <v>0</v>
      </c>
    </row>
    <row r="1183" spans="1:15" x14ac:dyDescent="0.3">
      <c r="A1183">
        <v>1278</v>
      </c>
      <c r="B1183" s="34">
        <v>39707</v>
      </c>
      <c r="C1183">
        <v>1.4274</v>
      </c>
      <c r="D1183">
        <v>0</v>
      </c>
      <c r="F1183">
        <v>0.47359999999999802</v>
      </c>
      <c r="G1183">
        <v>1.0653854188427201</v>
      </c>
      <c r="H1183">
        <v>0</v>
      </c>
      <c r="I1183">
        <v>0.53677620000000004</v>
      </c>
      <c r="J1183">
        <v>2008</v>
      </c>
      <c r="K1183">
        <v>9</v>
      </c>
      <c r="L1183">
        <v>16</v>
      </c>
      <c r="M1183" t="s">
        <v>93</v>
      </c>
      <c r="N1183">
        <v>0</v>
      </c>
      <c r="O1183">
        <v>0</v>
      </c>
    </row>
    <row r="1184" spans="1:15" x14ac:dyDescent="0.3">
      <c r="A1184">
        <v>1279</v>
      </c>
      <c r="B1184" s="34">
        <v>39708</v>
      </c>
      <c r="C1184">
        <v>1.4097999999999999</v>
      </c>
      <c r="D1184">
        <v>0</v>
      </c>
      <c r="F1184">
        <v>0.47359999999999802</v>
      </c>
      <c r="G1184">
        <v>1.0653854188427201</v>
      </c>
      <c r="H1184">
        <v>1</v>
      </c>
      <c r="I1184">
        <v>0.53713840000000002</v>
      </c>
      <c r="J1184">
        <v>2008</v>
      </c>
      <c r="K1184">
        <v>9</v>
      </c>
      <c r="L1184">
        <v>17</v>
      </c>
      <c r="M1184" t="s">
        <v>89</v>
      </c>
      <c r="N1184">
        <v>0</v>
      </c>
      <c r="O1184">
        <v>0</v>
      </c>
    </row>
    <row r="1185" spans="1:15" x14ac:dyDescent="0.3">
      <c r="A1185">
        <v>1280</v>
      </c>
      <c r="B1185" s="34">
        <v>39709</v>
      </c>
      <c r="C1185">
        <v>1.4306000000000001</v>
      </c>
      <c r="D1185">
        <v>-3</v>
      </c>
      <c r="F1185">
        <v>0.47189999999999799</v>
      </c>
      <c r="G1185">
        <v>1.42051389179025</v>
      </c>
      <c r="H1185">
        <v>1</v>
      </c>
      <c r="I1185">
        <v>0.53749999999999998</v>
      </c>
      <c r="J1185">
        <v>2008</v>
      </c>
      <c r="K1185">
        <v>9</v>
      </c>
      <c r="L1185">
        <v>18</v>
      </c>
      <c r="M1185" t="s">
        <v>90</v>
      </c>
      <c r="N1185">
        <v>0</v>
      </c>
      <c r="O1185">
        <v>0</v>
      </c>
    </row>
    <row r="1186" spans="1:15" x14ac:dyDescent="0.3">
      <c r="A1186">
        <v>1281</v>
      </c>
      <c r="B1186" s="34">
        <v>39710</v>
      </c>
      <c r="C1186">
        <v>1.4322999999999999</v>
      </c>
      <c r="D1186">
        <v>0</v>
      </c>
      <c r="F1186">
        <v>0.47189999999999799</v>
      </c>
      <c r="G1186">
        <v>1.42051389179025</v>
      </c>
      <c r="H1186">
        <v>0</v>
      </c>
      <c r="I1186">
        <v>0.53708040000000001</v>
      </c>
      <c r="J1186">
        <v>2008</v>
      </c>
      <c r="K1186">
        <v>9</v>
      </c>
      <c r="L1186">
        <v>19</v>
      </c>
      <c r="M1186" t="s">
        <v>91</v>
      </c>
      <c r="N1186">
        <v>0</v>
      </c>
      <c r="O1186">
        <v>0</v>
      </c>
    </row>
    <row r="1187" spans="1:15" x14ac:dyDescent="0.3">
      <c r="A1187">
        <v>1282</v>
      </c>
      <c r="B1187" s="34">
        <v>39713</v>
      </c>
      <c r="C1187">
        <v>1.4467000000000001</v>
      </c>
      <c r="D1187">
        <v>0</v>
      </c>
      <c r="F1187">
        <v>0.47189999999999799</v>
      </c>
      <c r="G1187">
        <v>1.42051389179025</v>
      </c>
      <c r="H1187">
        <v>0</v>
      </c>
      <c r="I1187">
        <v>0.53666139999999996</v>
      </c>
      <c r="J1187">
        <v>2008</v>
      </c>
      <c r="K1187">
        <v>9</v>
      </c>
      <c r="L1187">
        <v>22</v>
      </c>
      <c r="M1187" t="s">
        <v>92</v>
      </c>
      <c r="N1187">
        <v>0</v>
      </c>
      <c r="O1187">
        <v>0</v>
      </c>
    </row>
    <row r="1188" spans="1:15" x14ac:dyDescent="0.3">
      <c r="A1188">
        <v>1283</v>
      </c>
      <c r="B1188" s="34">
        <v>39714</v>
      </c>
      <c r="C1188">
        <v>1.4794</v>
      </c>
      <c r="D1188">
        <v>0</v>
      </c>
      <c r="F1188">
        <v>0.47189999999999799</v>
      </c>
      <c r="G1188">
        <v>1.42051389179025</v>
      </c>
      <c r="H1188">
        <v>0</v>
      </c>
      <c r="I1188">
        <v>0.53624320000000003</v>
      </c>
      <c r="J1188">
        <v>2008</v>
      </c>
      <c r="K1188">
        <v>9</v>
      </c>
      <c r="L1188">
        <v>23</v>
      </c>
      <c r="M1188" t="s">
        <v>93</v>
      </c>
      <c r="N1188">
        <v>0</v>
      </c>
      <c r="O1188">
        <v>0</v>
      </c>
    </row>
    <row r="1189" spans="1:15" x14ac:dyDescent="0.3">
      <c r="A1189">
        <v>1284</v>
      </c>
      <c r="B1189" s="34">
        <v>39715</v>
      </c>
      <c r="C1189">
        <v>1.4671000000000001</v>
      </c>
      <c r="D1189">
        <v>0</v>
      </c>
      <c r="F1189">
        <v>0.47189999999999799</v>
      </c>
      <c r="G1189">
        <v>1.42051389179025</v>
      </c>
      <c r="H1189">
        <v>1</v>
      </c>
      <c r="I1189">
        <v>0.53660430000000003</v>
      </c>
      <c r="J1189">
        <v>2008</v>
      </c>
      <c r="K1189">
        <v>9</v>
      </c>
      <c r="L1189">
        <v>24</v>
      </c>
      <c r="M1189" t="s">
        <v>89</v>
      </c>
      <c r="N1189">
        <v>0</v>
      </c>
      <c r="O1189">
        <v>0</v>
      </c>
    </row>
    <row r="1190" spans="1:15" x14ac:dyDescent="0.3">
      <c r="A1190">
        <v>1285</v>
      </c>
      <c r="B1190" s="34">
        <v>39716</v>
      </c>
      <c r="C1190">
        <v>1.4612000000000001</v>
      </c>
      <c r="D1190">
        <v>4</v>
      </c>
      <c r="E1190" t="s">
        <v>364</v>
      </c>
      <c r="F1190">
        <v>0.47239999999999799</v>
      </c>
      <c r="G1190">
        <v>1.3160643409233299</v>
      </c>
      <c r="H1190">
        <v>1</v>
      </c>
      <c r="I1190">
        <v>0.53696500000000003</v>
      </c>
      <c r="J1190">
        <v>2008</v>
      </c>
      <c r="K1190">
        <v>9</v>
      </c>
      <c r="L1190">
        <v>25</v>
      </c>
      <c r="M1190" t="s">
        <v>90</v>
      </c>
      <c r="N1190">
        <v>0</v>
      </c>
      <c r="O1190">
        <v>0</v>
      </c>
    </row>
    <row r="1191" spans="1:15" x14ac:dyDescent="0.3">
      <c r="A1191">
        <v>1286</v>
      </c>
      <c r="B1191" s="34">
        <v>39717</v>
      </c>
      <c r="C1191">
        <v>1.4617</v>
      </c>
      <c r="D1191">
        <v>-3</v>
      </c>
      <c r="F1191">
        <v>0.472799999999998</v>
      </c>
      <c r="G1191">
        <v>1.23250470022979</v>
      </c>
      <c r="H1191">
        <v>0</v>
      </c>
      <c r="I1191">
        <v>0.53654740000000001</v>
      </c>
      <c r="J1191">
        <v>2008</v>
      </c>
      <c r="K1191">
        <v>9</v>
      </c>
      <c r="L1191">
        <v>26</v>
      </c>
      <c r="M1191" t="s">
        <v>91</v>
      </c>
      <c r="N1191">
        <v>0</v>
      </c>
      <c r="O1191">
        <v>0</v>
      </c>
    </row>
    <row r="1192" spans="1:15" x14ac:dyDescent="0.3">
      <c r="A1192">
        <v>1287</v>
      </c>
      <c r="B1192" s="34">
        <v>39720</v>
      </c>
      <c r="C1192">
        <v>1.4613</v>
      </c>
      <c r="D1192">
        <v>3</v>
      </c>
      <c r="E1192" t="s">
        <v>365</v>
      </c>
      <c r="F1192">
        <v>0.453099999999998</v>
      </c>
      <c r="G1192">
        <v>5.3478170043869104</v>
      </c>
      <c r="H1192">
        <v>1</v>
      </c>
      <c r="I1192">
        <v>0.53690760000000004</v>
      </c>
      <c r="J1192">
        <v>2008</v>
      </c>
      <c r="K1192">
        <v>9</v>
      </c>
      <c r="L1192">
        <v>29</v>
      </c>
      <c r="M1192" t="s">
        <v>92</v>
      </c>
      <c r="N1192">
        <v>0</v>
      </c>
      <c r="O1192">
        <v>0</v>
      </c>
    </row>
    <row r="1193" spans="1:15" x14ac:dyDescent="0.3">
      <c r="A1193">
        <v>1288</v>
      </c>
      <c r="B1193" s="34">
        <v>39721</v>
      </c>
      <c r="C1193">
        <v>1.4416</v>
      </c>
      <c r="D1193">
        <v>10</v>
      </c>
      <c r="E1193" t="s">
        <v>366</v>
      </c>
      <c r="F1193">
        <v>0.42299999999999799</v>
      </c>
      <c r="G1193">
        <v>11.6356799665762</v>
      </c>
      <c r="H1193">
        <v>1</v>
      </c>
      <c r="I1193">
        <v>0.5372671</v>
      </c>
      <c r="J1193">
        <v>2008</v>
      </c>
      <c r="K1193">
        <v>9</v>
      </c>
      <c r="L1193">
        <v>30</v>
      </c>
      <c r="M1193" t="s">
        <v>93</v>
      </c>
      <c r="N1193">
        <v>0</v>
      </c>
      <c r="O1193">
        <v>0</v>
      </c>
    </row>
    <row r="1194" spans="1:15" x14ac:dyDescent="0.3">
      <c r="A1194">
        <v>1289</v>
      </c>
      <c r="B1194" s="34">
        <v>39722</v>
      </c>
      <c r="C1194">
        <v>1.4115</v>
      </c>
      <c r="D1194">
        <v>0</v>
      </c>
      <c r="F1194">
        <v>0.42299999999999799</v>
      </c>
      <c r="G1194">
        <v>11.6356799665762</v>
      </c>
      <c r="H1194">
        <v>1</v>
      </c>
      <c r="I1194">
        <v>0.5376261</v>
      </c>
      <c r="J1194">
        <v>2008</v>
      </c>
      <c r="K1194">
        <v>10</v>
      </c>
      <c r="L1194">
        <v>1</v>
      </c>
      <c r="M1194" t="s">
        <v>89</v>
      </c>
      <c r="N1194">
        <v>0</v>
      </c>
      <c r="O1194">
        <v>0</v>
      </c>
    </row>
    <row r="1195" spans="1:15" x14ac:dyDescent="0.3">
      <c r="A1195">
        <v>1290</v>
      </c>
      <c r="B1195" s="34">
        <v>39723</v>
      </c>
      <c r="C1195">
        <v>1.4008</v>
      </c>
      <c r="D1195">
        <v>0</v>
      </c>
      <c r="F1195">
        <v>0.42299999999999799</v>
      </c>
      <c r="G1195">
        <v>11.6356799665762</v>
      </c>
      <c r="H1195">
        <v>0</v>
      </c>
      <c r="I1195">
        <v>0.5372093</v>
      </c>
      <c r="J1195">
        <v>2008</v>
      </c>
      <c r="K1195">
        <v>10</v>
      </c>
      <c r="L1195">
        <v>2</v>
      </c>
      <c r="M1195" t="s">
        <v>90</v>
      </c>
      <c r="N1195">
        <v>0</v>
      </c>
      <c r="O1195">
        <v>0</v>
      </c>
    </row>
    <row r="1196" spans="1:15" x14ac:dyDescent="0.3">
      <c r="A1196">
        <v>1291</v>
      </c>
      <c r="B1196" s="34">
        <v>39724</v>
      </c>
      <c r="C1196">
        <v>1.38</v>
      </c>
      <c r="D1196">
        <v>-1</v>
      </c>
      <c r="F1196">
        <v>0.42599999999999799</v>
      </c>
      <c r="G1196">
        <v>11.008982661374599</v>
      </c>
      <c r="H1196">
        <v>0</v>
      </c>
      <c r="I1196">
        <v>0.53679319999999997</v>
      </c>
      <c r="J1196">
        <v>2008</v>
      </c>
      <c r="K1196">
        <v>10</v>
      </c>
      <c r="L1196">
        <v>3</v>
      </c>
      <c r="M1196" t="s">
        <v>91</v>
      </c>
      <c r="N1196">
        <v>0</v>
      </c>
      <c r="O1196">
        <v>0</v>
      </c>
    </row>
    <row r="1197" spans="1:15" x14ac:dyDescent="0.3">
      <c r="A1197">
        <v>1292</v>
      </c>
      <c r="B1197" s="34">
        <v>39727</v>
      </c>
      <c r="C1197">
        <v>1.377</v>
      </c>
      <c r="D1197">
        <v>-1</v>
      </c>
      <c r="F1197">
        <v>0.45469999999999799</v>
      </c>
      <c r="G1197">
        <v>5.0135784416127596</v>
      </c>
      <c r="H1197">
        <v>0</v>
      </c>
      <c r="I1197">
        <v>0.53637769999999996</v>
      </c>
      <c r="J1197">
        <v>2008</v>
      </c>
      <c r="K1197">
        <v>10</v>
      </c>
      <c r="L1197">
        <v>6</v>
      </c>
      <c r="M1197" t="s">
        <v>92</v>
      </c>
      <c r="N1197">
        <v>0</v>
      </c>
      <c r="O1197">
        <v>0</v>
      </c>
    </row>
    <row r="1198" spans="1:15" x14ac:dyDescent="0.3">
      <c r="A1198">
        <v>1293</v>
      </c>
      <c r="B1198" s="34">
        <v>39728</v>
      </c>
      <c r="C1198">
        <v>1.3483000000000001</v>
      </c>
      <c r="D1198">
        <v>3</v>
      </c>
      <c r="E1198" t="s">
        <v>367</v>
      </c>
      <c r="F1198">
        <v>0.46869999999999801</v>
      </c>
      <c r="G1198">
        <v>2.0889910173386799</v>
      </c>
      <c r="H1198">
        <v>0</v>
      </c>
      <c r="I1198">
        <v>0.53596290000000002</v>
      </c>
      <c r="J1198">
        <v>2008</v>
      </c>
      <c r="K1198">
        <v>10</v>
      </c>
      <c r="L1198">
        <v>7</v>
      </c>
      <c r="M1198" t="s">
        <v>93</v>
      </c>
      <c r="N1198">
        <v>0</v>
      </c>
      <c r="O1198">
        <v>0</v>
      </c>
    </row>
    <row r="1199" spans="1:15" x14ac:dyDescent="0.3">
      <c r="A1199">
        <v>1294</v>
      </c>
      <c r="B1199" s="34">
        <v>39729</v>
      </c>
      <c r="C1199">
        <v>1.3623000000000001</v>
      </c>
      <c r="D1199">
        <v>0</v>
      </c>
      <c r="F1199">
        <v>0.46869999999999801</v>
      </c>
      <c r="G1199">
        <v>2.0889910173386799</v>
      </c>
      <c r="H1199">
        <v>1</v>
      </c>
      <c r="I1199">
        <v>0.53632150000000001</v>
      </c>
      <c r="J1199">
        <v>2008</v>
      </c>
      <c r="K1199">
        <v>10</v>
      </c>
      <c r="L1199">
        <v>8</v>
      </c>
      <c r="M1199" t="s">
        <v>89</v>
      </c>
      <c r="N1199">
        <v>0</v>
      </c>
      <c r="O1199">
        <v>0</v>
      </c>
    </row>
    <row r="1200" spans="1:15" x14ac:dyDescent="0.3">
      <c r="A1200">
        <v>1295</v>
      </c>
      <c r="B1200" s="34">
        <v>39730</v>
      </c>
      <c r="C1200">
        <v>1.3632</v>
      </c>
      <c r="D1200">
        <v>-3</v>
      </c>
      <c r="F1200">
        <v>0.47219999999999801</v>
      </c>
      <c r="G1200">
        <v>1.35784416127014</v>
      </c>
      <c r="H1200">
        <v>1</v>
      </c>
      <c r="I1200">
        <v>0.53667960000000003</v>
      </c>
      <c r="J1200">
        <v>2008</v>
      </c>
      <c r="K1200">
        <v>10</v>
      </c>
      <c r="L1200">
        <v>9</v>
      </c>
      <c r="M1200" t="s">
        <v>90</v>
      </c>
      <c r="N1200">
        <v>0</v>
      </c>
      <c r="O1200">
        <v>0</v>
      </c>
    </row>
    <row r="1201" spans="1:15" x14ac:dyDescent="0.3">
      <c r="A1201">
        <v>1296</v>
      </c>
      <c r="B1201" s="34">
        <v>39731</v>
      </c>
      <c r="C1201">
        <v>1.3596999999999999</v>
      </c>
      <c r="D1201">
        <v>3</v>
      </c>
      <c r="E1201" t="s">
        <v>368</v>
      </c>
      <c r="F1201">
        <v>0.45329999999999798</v>
      </c>
      <c r="G1201">
        <v>5.3060371840401404</v>
      </c>
      <c r="H1201">
        <v>1</v>
      </c>
      <c r="I1201">
        <v>0.53703699999999999</v>
      </c>
      <c r="J1201">
        <v>2008</v>
      </c>
      <c r="K1201">
        <v>10</v>
      </c>
      <c r="L1201">
        <v>10</v>
      </c>
      <c r="M1201" t="s">
        <v>91</v>
      </c>
      <c r="N1201">
        <v>0</v>
      </c>
      <c r="O1201">
        <v>0</v>
      </c>
    </row>
    <row r="1202" spans="1:15" x14ac:dyDescent="0.3">
      <c r="A1202">
        <v>1297</v>
      </c>
      <c r="B1202" s="34">
        <v>39734</v>
      </c>
      <c r="C1202">
        <v>1.3408</v>
      </c>
      <c r="D1202">
        <v>1</v>
      </c>
      <c r="E1202" t="s">
        <v>369</v>
      </c>
      <c r="F1202">
        <v>0.47219999999999801</v>
      </c>
      <c r="G1202">
        <v>1.35784416127014</v>
      </c>
      <c r="H1202">
        <v>0</v>
      </c>
      <c r="I1202">
        <v>0.53662299999999996</v>
      </c>
      <c r="J1202">
        <v>2008</v>
      </c>
      <c r="K1202">
        <v>10</v>
      </c>
      <c r="L1202">
        <v>13</v>
      </c>
      <c r="M1202" t="s">
        <v>92</v>
      </c>
      <c r="N1202">
        <v>0</v>
      </c>
      <c r="O1202">
        <v>0</v>
      </c>
    </row>
    <row r="1203" spans="1:15" x14ac:dyDescent="0.3">
      <c r="A1203">
        <v>1298</v>
      </c>
      <c r="B1203" s="34">
        <v>39735</v>
      </c>
      <c r="C1203">
        <v>1.3596999999999999</v>
      </c>
      <c r="D1203">
        <v>0</v>
      </c>
      <c r="F1203">
        <v>0.47219999999999801</v>
      </c>
      <c r="G1203">
        <v>1.35784416127014</v>
      </c>
      <c r="H1203">
        <v>1</v>
      </c>
      <c r="I1203">
        <v>0.53698000000000001</v>
      </c>
      <c r="J1203">
        <v>2008</v>
      </c>
      <c r="K1203">
        <v>10</v>
      </c>
      <c r="L1203">
        <v>14</v>
      </c>
      <c r="M1203" t="s">
        <v>93</v>
      </c>
      <c r="N1203">
        <v>0</v>
      </c>
      <c r="O1203">
        <v>0</v>
      </c>
    </row>
    <row r="1204" spans="1:15" x14ac:dyDescent="0.3">
      <c r="A1204">
        <v>1299</v>
      </c>
      <c r="B1204" s="34">
        <v>39736</v>
      </c>
      <c r="C1204">
        <v>1.3617999999999999</v>
      </c>
      <c r="D1204">
        <v>-7</v>
      </c>
      <c r="F1204">
        <v>0.48799999999999799</v>
      </c>
      <c r="G1204">
        <v>0</v>
      </c>
      <c r="H1204">
        <v>0</v>
      </c>
      <c r="I1204">
        <v>0.5365666</v>
      </c>
      <c r="J1204">
        <v>2008</v>
      </c>
      <c r="K1204">
        <v>10</v>
      </c>
      <c r="L1204">
        <v>15</v>
      </c>
      <c r="M1204" t="s">
        <v>89</v>
      </c>
      <c r="N1204">
        <v>0</v>
      </c>
      <c r="O1204">
        <v>0</v>
      </c>
    </row>
    <row r="1205" spans="1:15" x14ac:dyDescent="0.3">
      <c r="A1205">
        <v>1300</v>
      </c>
      <c r="B1205" s="34">
        <v>39737</v>
      </c>
      <c r="C1205">
        <v>1.3460000000000001</v>
      </c>
      <c r="D1205">
        <v>0</v>
      </c>
      <c r="F1205">
        <v>0.48799999999999799</v>
      </c>
      <c r="G1205">
        <v>0</v>
      </c>
      <c r="H1205">
        <v>1</v>
      </c>
      <c r="I1205">
        <v>0.53692309999999999</v>
      </c>
      <c r="J1205">
        <v>2008</v>
      </c>
      <c r="K1205">
        <v>10</v>
      </c>
      <c r="L1205">
        <v>16</v>
      </c>
      <c r="M1205" t="s">
        <v>90</v>
      </c>
      <c r="N1205">
        <v>0</v>
      </c>
      <c r="O1205">
        <v>0</v>
      </c>
    </row>
    <row r="1206" spans="1:15" x14ac:dyDescent="0.3">
      <c r="A1206">
        <v>1301</v>
      </c>
      <c r="B1206" s="34">
        <v>39738</v>
      </c>
      <c r="C1206">
        <v>1.3480000000000001</v>
      </c>
      <c r="D1206">
        <v>0</v>
      </c>
      <c r="F1206">
        <v>0.48799999999999799</v>
      </c>
      <c r="G1206">
        <v>0</v>
      </c>
      <c r="H1206">
        <v>1</v>
      </c>
      <c r="I1206">
        <v>0.53727899999999995</v>
      </c>
      <c r="J1206">
        <v>2008</v>
      </c>
      <c r="K1206">
        <v>10</v>
      </c>
      <c r="L1206">
        <v>17</v>
      </c>
      <c r="M1206" t="s">
        <v>91</v>
      </c>
      <c r="N1206">
        <v>0</v>
      </c>
      <c r="O1206">
        <v>0</v>
      </c>
    </row>
    <row r="1207" spans="1:15" x14ac:dyDescent="0.3">
      <c r="A1207">
        <v>1302</v>
      </c>
      <c r="B1207" s="34">
        <v>39741</v>
      </c>
      <c r="C1207">
        <v>1.3408</v>
      </c>
      <c r="D1207">
        <v>1</v>
      </c>
      <c r="E1207" t="s">
        <v>370</v>
      </c>
      <c r="F1207">
        <v>0.48019999999999702</v>
      </c>
      <c r="G1207">
        <v>1.5983606557377099</v>
      </c>
      <c r="H1207">
        <v>0</v>
      </c>
      <c r="I1207">
        <v>0.53686639999999997</v>
      </c>
      <c r="J1207">
        <v>2008</v>
      </c>
      <c r="K1207">
        <v>10</v>
      </c>
      <c r="L1207">
        <v>20</v>
      </c>
      <c r="M1207" t="s">
        <v>92</v>
      </c>
      <c r="N1207">
        <v>0</v>
      </c>
      <c r="O1207">
        <v>0</v>
      </c>
    </row>
    <row r="1208" spans="1:15" x14ac:dyDescent="0.3">
      <c r="A1208">
        <v>1303</v>
      </c>
      <c r="B1208" s="34">
        <v>39742</v>
      </c>
      <c r="C1208">
        <v>1.333</v>
      </c>
      <c r="D1208">
        <v>0</v>
      </c>
      <c r="F1208">
        <v>0.48019999999999702</v>
      </c>
      <c r="G1208">
        <v>1.5983606557377099</v>
      </c>
      <c r="H1208">
        <v>0</v>
      </c>
      <c r="I1208">
        <v>0.53645430000000005</v>
      </c>
      <c r="J1208">
        <v>2008</v>
      </c>
      <c r="K1208">
        <v>10</v>
      </c>
      <c r="L1208">
        <v>21</v>
      </c>
      <c r="M1208" t="s">
        <v>93</v>
      </c>
      <c r="N1208">
        <v>0</v>
      </c>
      <c r="O1208">
        <v>0</v>
      </c>
    </row>
    <row r="1209" spans="1:15" x14ac:dyDescent="0.3">
      <c r="A1209">
        <v>1304</v>
      </c>
      <c r="B1209" s="34">
        <v>39743</v>
      </c>
      <c r="C1209">
        <v>1.3053999999999999</v>
      </c>
      <c r="D1209">
        <v>0</v>
      </c>
      <c r="F1209">
        <v>0.48019999999999702</v>
      </c>
      <c r="G1209">
        <v>1.5983606557377099</v>
      </c>
      <c r="H1209">
        <v>0</v>
      </c>
      <c r="I1209">
        <v>0.53604289999999999</v>
      </c>
      <c r="J1209">
        <v>2008</v>
      </c>
      <c r="K1209">
        <v>10</v>
      </c>
      <c r="L1209">
        <v>22</v>
      </c>
      <c r="M1209" t="s">
        <v>89</v>
      </c>
      <c r="N1209">
        <v>0</v>
      </c>
      <c r="O1209">
        <v>0</v>
      </c>
    </row>
    <row r="1210" spans="1:15" x14ac:dyDescent="0.3">
      <c r="A1210">
        <v>1305</v>
      </c>
      <c r="B1210" s="34">
        <v>39744</v>
      </c>
      <c r="C1210">
        <v>1.2824</v>
      </c>
      <c r="D1210">
        <v>0</v>
      </c>
      <c r="F1210">
        <v>0.48019999999999702</v>
      </c>
      <c r="G1210">
        <v>1.5983606557377099</v>
      </c>
      <c r="H1210">
        <v>0</v>
      </c>
      <c r="I1210">
        <v>0.5356322</v>
      </c>
      <c r="J1210">
        <v>2008</v>
      </c>
      <c r="K1210">
        <v>10</v>
      </c>
      <c r="L1210">
        <v>23</v>
      </c>
      <c r="M1210" t="s">
        <v>90</v>
      </c>
      <c r="N1210">
        <v>0</v>
      </c>
      <c r="O1210">
        <v>0</v>
      </c>
    </row>
    <row r="1211" spans="1:15" x14ac:dyDescent="0.3">
      <c r="A1211">
        <v>1306</v>
      </c>
      <c r="B1211" s="34">
        <v>39745</v>
      </c>
      <c r="C1211">
        <v>1.2968</v>
      </c>
      <c r="D1211">
        <v>0</v>
      </c>
      <c r="F1211">
        <v>0.48019999999999702</v>
      </c>
      <c r="G1211">
        <v>1.5983606557377099</v>
      </c>
      <c r="H1211">
        <v>1</v>
      </c>
      <c r="I1211">
        <v>0.53598769999999996</v>
      </c>
      <c r="J1211">
        <v>2008</v>
      </c>
      <c r="K1211">
        <v>10</v>
      </c>
      <c r="L1211">
        <v>24</v>
      </c>
      <c r="M1211" t="s">
        <v>91</v>
      </c>
      <c r="N1211">
        <v>0</v>
      </c>
      <c r="O1211">
        <v>0</v>
      </c>
    </row>
    <row r="1212" spans="1:15" x14ac:dyDescent="0.3">
      <c r="A1212">
        <v>1307</v>
      </c>
      <c r="B1212" s="34">
        <v>39748</v>
      </c>
      <c r="C1212">
        <v>1.2623</v>
      </c>
      <c r="D1212">
        <v>7</v>
      </c>
      <c r="E1212" t="s">
        <v>371</v>
      </c>
      <c r="F1212">
        <v>0.46399999999999703</v>
      </c>
      <c r="G1212">
        <v>4.91803278688527</v>
      </c>
      <c r="H1212">
        <v>0</v>
      </c>
      <c r="I1212">
        <v>0.53557770000000005</v>
      </c>
      <c r="J1212">
        <v>2008</v>
      </c>
      <c r="K1212">
        <v>10</v>
      </c>
      <c r="L1212">
        <v>27</v>
      </c>
      <c r="M1212" t="s">
        <v>92</v>
      </c>
      <c r="N1212">
        <v>0</v>
      </c>
      <c r="O1212">
        <v>0</v>
      </c>
    </row>
    <row r="1213" spans="1:15" x14ac:dyDescent="0.3">
      <c r="A1213">
        <v>1308</v>
      </c>
      <c r="B1213" s="34">
        <v>39749</v>
      </c>
      <c r="C1213">
        <v>1.2461</v>
      </c>
      <c r="D1213">
        <v>0</v>
      </c>
      <c r="F1213">
        <v>0.46399999999999703</v>
      </c>
      <c r="G1213">
        <v>4.91803278688527</v>
      </c>
      <c r="H1213">
        <v>0</v>
      </c>
      <c r="I1213">
        <v>0.53516819999999998</v>
      </c>
      <c r="J1213">
        <v>2008</v>
      </c>
      <c r="K1213">
        <v>10</v>
      </c>
      <c r="L1213">
        <v>28</v>
      </c>
      <c r="M1213" t="s">
        <v>93</v>
      </c>
      <c r="N1213">
        <v>0</v>
      </c>
      <c r="O1213">
        <v>0</v>
      </c>
    </row>
    <row r="1214" spans="1:15" x14ac:dyDescent="0.3">
      <c r="A1214">
        <v>1309</v>
      </c>
      <c r="B1214" s="34">
        <v>39750</v>
      </c>
      <c r="C1214">
        <v>1.2813000000000001</v>
      </c>
      <c r="D1214">
        <v>0</v>
      </c>
      <c r="F1214">
        <v>0.46399999999999703</v>
      </c>
      <c r="G1214">
        <v>4.91803278688527</v>
      </c>
      <c r="H1214">
        <v>1</v>
      </c>
      <c r="I1214">
        <v>0.53552330000000004</v>
      </c>
      <c r="J1214">
        <v>2008</v>
      </c>
      <c r="K1214">
        <v>10</v>
      </c>
      <c r="L1214">
        <v>29</v>
      </c>
      <c r="M1214" t="s">
        <v>89</v>
      </c>
      <c r="N1214">
        <v>0</v>
      </c>
      <c r="O1214">
        <v>0</v>
      </c>
    </row>
    <row r="1215" spans="1:15" x14ac:dyDescent="0.3">
      <c r="A1215">
        <v>1310</v>
      </c>
      <c r="B1215" s="34">
        <v>39751</v>
      </c>
      <c r="C1215">
        <v>1.2950999999999999</v>
      </c>
      <c r="D1215">
        <v>-2</v>
      </c>
      <c r="F1215">
        <v>0.47159999999999702</v>
      </c>
      <c r="G1215">
        <v>3.3606557377049699</v>
      </c>
      <c r="H1215">
        <v>0</v>
      </c>
      <c r="I1215">
        <v>0.53511450000000005</v>
      </c>
      <c r="J1215">
        <v>2008</v>
      </c>
      <c r="K1215">
        <v>10</v>
      </c>
      <c r="L1215">
        <v>30</v>
      </c>
      <c r="M1215" t="s">
        <v>90</v>
      </c>
      <c r="N1215">
        <v>0</v>
      </c>
      <c r="O1215">
        <v>0</v>
      </c>
    </row>
    <row r="1216" spans="1:15" x14ac:dyDescent="0.3">
      <c r="A1216">
        <v>1311</v>
      </c>
      <c r="B1216" s="34">
        <v>39752</v>
      </c>
      <c r="C1216">
        <v>1.2875000000000001</v>
      </c>
      <c r="D1216">
        <v>0</v>
      </c>
      <c r="F1216">
        <v>0.47159999999999702</v>
      </c>
      <c r="G1216">
        <v>3.3606557377049699</v>
      </c>
      <c r="H1216">
        <v>1</v>
      </c>
      <c r="I1216">
        <v>0.53546910000000003</v>
      </c>
      <c r="J1216">
        <v>2008</v>
      </c>
      <c r="K1216">
        <v>10</v>
      </c>
      <c r="L1216">
        <v>31</v>
      </c>
      <c r="M1216" t="s">
        <v>91</v>
      </c>
      <c r="N1216">
        <v>0</v>
      </c>
      <c r="O1216">
        <v>0</v>
      </c>
    </row>
    <row r="1217" spans="1:15" x14ac:dyDescent="0.3">
      <c r="A1217">
        <v>1312</v>
      </c>
      <c r="B1217" s="34">
        <v>39755</v>
      </c>
      <c r="C1217">
        <v>1.2726999999999999</v>
      </c>
      <c r="D1217">
        <v>6</v>
      </c>
      <c r="E1217" t="s">
        <v>372</v>
      </c>
      <c r="F1217">
        <v>0.45729999999999699</v>
      </c>
      <c r="G1217">
        <v>6.2909836065574298</v>
      </c>
      <c r="H1217">
        <v>1</v>
      </c>
      <c r="I1217">
        <v>0.53582320000000005</v>
      </c>
      <c r="J1217">
        <v>2008</v>
      </c>
      <c r="K1217">
        <v>11</v>
      </c>
      <c r="L1217">
        <v>3</v>
      </c>
      <c r="M1217" t="s">
        <v>92</v>
      </c>
      <c r="N1217">
        <v>0</v>
      </c>
      <c r="O1217">
        <v>0</v>
      </c>
    </row>
    <row r="1218" spans="1:15" x14ac:dyDescent="0.3">
      <c r="A1218">
        <v>1313</v>
      </c>
      <c r="B1218" s="34">
        <v>39756</v>
      </c>
      <c r="C1218">
        <v>1.2584</v>
      </c>
      <c r="D1218">
        <v>0</v>
      </c>
      <c r="F1218">
        <v>0.45729999999999699</v>
      </c>
      <c r="G1218">
        <v>6.2909836065574298</v>
      </c>
      <c r="H1218">
        <v>0</v>
      </c>
      <c r="I1218">
        <v>0.53541510000000003</v>
      </c>
      <c r="J1218">
        <v>2008</v>
      </c>
      <c r="K1218">
        <v>11</v>
      </c>
      <c r="L1218">
        <v>4</v>
      </c>
      <c r="M1218" t="s">
        <v>93</v>
      </c>
      <c r="N1218">
        <v>0</v>
      </c>
      <c r="O1218">
        <v>0</v>
      </c>
    </row>
    <row r="1219" spans="1:15" x14ac:dyDescent="0.3">
      <c r="A1219">
        <v>1314</v>
      </c>
      <c r="B1219" s="34">
        <v>39757</v>
      </c>
      <c r="C1219">
        <v>1.2994000000000001</v>
      </c>
      <c r="D1219">
        <v>0</v>
      </c>
      <c r="F1219">
        <v>0.45729999999999699</v>
      </c>
      <c r="G1219">
        <v>6.2909836065574298</v>
      </c>
      <c r="H1219">
        <v>1</v>
      </c>
      <c r="I1219">
        <v>0.53576860000000004</v>
      </c>
      <c r="J1219">
        <v>2008</v>
      </c>
      <c r="K1219">
        <v>11</v>
      </c>
      <c r="L1219">
        <v>5</v>
      </c>
      <c r="M1219" t="s">
        <v>89</v>
      </c>
      <c r="N1219">
        <v>0</v>
      </c>
      <c r="O1219">
        <v>0</v>
      </c>
    </row>
    <row r="1220" spans="1:15" x14ac:dyDescent="0.3">
      <c r="A1220">
        <v>1315</v>
      </c>
      <c r="B1220" s="34">
        <v>39758</v>
      </c>
      <c r="C1220">
        <v>1.2926</v>
      </c>
      <c r="D1220">
        <v>0</v>
      </c>
      <c r="F1220">
        <v>0.45729999999999699</v>
      </c>
      <c r="G1220">
        <v>6.2909836065574298</v>
      </c>
      <c r="H1220">
        <v>1</v>
      </c>
      <c r="I1220">
        <v>0.53612170000000003</v>
      </c>
      <c r="J1220">
        <v>2008</v>
      </c>
      <c r="K1220">
        <v>11</v>
      </c>
      <c r="L1220">
        <v>6</v>
      </c>
      <c r="M1220" t="s">
        <v>90</v>
      </c>
      <c r="N1220">
        <v>0</v>
      </c>
      <c r="O1220">
        <v>0</v>
      </c>
    </row>
    <row r="1221" spans="1:15" x14ac:dyDescent="0.3">
      <c r="A1221">
        <v>1316</v>
      </c>
      <c r="B1221" s="34">
        <v>39759</v>
      </c>
      <c r="C1221">
        <v>1.2678</v>
      </c>
      <c r="D1221">
        <v>0</v>
      </c>
      <c r="F1221">
        <v>0.45729999999999699</v>
      </c>
      <c r="G1221">
        <v>6.2909836065574298</v>
      </c>
      <c r="H1221">
        <v>1</v>
      </c>
      <c r="I1221">
        <v>0.53647420000000001</v>
      </c>
      <c r="J1221">
        <v>2008</v>
      </c>
      <c r="K1221">
        <v>11</v>
      </c>
      <c r="L1221">
        <v>7</v>
      </c>
      <c r="M1221" t="s">
        <v>91</v>
      </c>
      <c r="N1221">
        <v>0</v>
      </c>
      <c r="O1221">
        <v>0</v>
      </c>
    </row>
    <row r="1222" spans="1:15" x14ac:dyDescent="0.3">
      <c r="A1222">
        <v>1317</v>
      </c>
      <c r="B1222" s="34">
        <v>39762</v>
      </c>
      <c r="C1222">
        <v>1.2717000000000001</v>
      </c>
      <c r="D1222">
        <v>-1</v>
      </c>
      <c r="F1222">
        <v>0.45399999999999702</v>
      </c>
      <c r="G1222">
        <v>6.9672131147541299</v>
      </c>
      <c r="H1222">
        <v>1</v>
      </c>
      <c r="I1222">
        <v>0.53682609999999997</v>
      </c>
      <c r="J1222">
        <v>2008</v>
      </c>
      <c r="K1222">
        <v>11</v>
      </c>
      <c r="L1222">
        <v>10</v>
      </c>
      <c r="M1222" t="s">
        <v>92</v>
      </c>
      <c r="N1222">
        <v>0</v>
      </c>
      <c r="O1222">
        <v>0</v>
      </c>
    </row>
    <row r="1223" spans="1:15" x14ac:dyDescent="0.3">
      <c r="A1223">
        <v>1318</v>
      </c>
      <c r="B1223" s="34">
        <v>39763</v>
      </c>
      <c r="C1223">
        <v>1.2749999999999999</v>
      </c>
      <c r="D1223">
        <v>0</v>
      </c>
      <c r="F1223">
        <v>0.45399999999999702</v>
      </c>
      <c r="G1223">
        <v>6.9672131147541299</v>
      </c>
      <c r="H1223">
        <v>1</v>
      </c>
      <c r="I1223">
        <v>0.53717760000000003</v>
      </c>
      <c r="J1223">
        <v>2008</v>
      </c>
      <c r="K1223">
        <v>11</v>
      </c>
      <c r="L1223">
        <v>11</v>
      </c>
      <c r="M1223" t="s">
        <v>93</v>
      </c>
      <c r="N1223">
        <v>0</v>
      </c>
      <c r="O1223">
        <v>0</v>
      </c>
    </row>
    <row r="1224" spans="1:15" x14ac:dyDescent="0.3">
      <c r="A1224">
        <v>1319</v>
      </c>
      <c r="B1224" s="34">
        <v>39764</v>
      </c>
      <c r="C1224">
        <v>1.2511000000000001</v>
      </c>
      <c r="D1224">
        <v>6</v>
      </c>
      <c r="E1224" t="s">
        <v>373</v>
      </c>
      <c r="F1224">
        <v>0.44839999999999702</v>
      </c>
      <c r="G1224">
        <v>8.1147540983607005</v>
      </c>
      <c r="H1224">
        <v>0</v>
      </c>
      <c r="I1224">
        <v>0.53677030000000003</v>
      </c>
      <c r="J1224">
        <v>2008</v>
      </c>
      <c r="K1224">
        <v>11</v>
      </c>
      <c r="L1224">
        <v>12</v>
      </c>
      <c r="M1224" t="s">
        <v>89</v>
      </c>
      <c r="N1224">
        <v>0</v>
      </c>
      <c r="O1224">
        <v>0</v>
      </c>
    </row>
    <row r="1225" spans="1:15" x14ac:dyDescent="0.3">
      <c r="A1225">
        <v>1320</v>
      </c>
      <c r="B1225" s="34">
        <v>39765</v>
      </c>
      <c r="C1225">
        <v>1.2455000000000001</v>
      </c>
      <c r="D1225">
        <v>0</v>
      </c>
      <c r="F1225">
        <v>0.44839999999999702</v>
      </c>
      <c r="G1225">
        <v>8.1147540983607005</v>
      </c>
      <c r="H1225">
        <v>0</v>
      </c>
      <c r="I1225">
        <v>0.5363637</v>
      </c>
      <c r="J1225">
        <v>2008</v>
      </c>
      <c r="K1225">
        <v>11</v>
      </c>
      <c r="L1225">
        <v>13</v>
      </c>
      <c r="M1225" t="s">
        <v>90</v>
      </c>
      <c r="N1225">
        <v>0</v>
      </c>
      <c r="O1225">
        <v>0</v>
      </c>
    </row>
    <row r="1226" spans="1:15" x14ac:dyDescent="0.3">
      <c r="A1226">
        <v>1321</v>
      </c>
      <c r="B1226" s="34">
        <v>39766</v>
      </c>
      <c r="C1226">
        <v>1.2785</v>
      </c>
      <c r="D1226">
        <v>0</v>
      </c>
      <c r="F1226">
        <v>0.44839999999999702</v>
      </c>
      <c r="G1226">
        <v>8.1147540983607005</v>
      </c>
      <c r="H1226">
        <v>1</v>
      </c>
      <c r="I1226">
        <v>0.53671460000000004</v>
      </c>
      <c r="J1226">
        <v>2008</v>
      </c>
      <c r="K1226">
        <v>11</v>
      </c>
      <c r="L1226">
        <v>14</v>
      </c>
      <c r="M1226" t="s">
        <v>91</v>
      </c>
      <c r="N1226">
        <v>0</v>
      </c>
      <c r="O1226">
        <v>0</v>
      </c>
    </row>
    <row r="1227" spans="1:15" x14ac:dyDescent="0.3">
      <c r="A1227">
        <v>1322</v>
      </c>
      <c r="B1227" s="34">
        <v>39769</v>
      </c>
      <c r="C1227">
        <v>1.2604</v>
      </c>
      <c r="D1227">
        <v>0</v>
      </c>
      <c r="F1227">
        <v>0.44839999999999702</v>
      </c>
      <c r="G1227">
        <v>8.1147540983607005</v>
      </c>
      <c r="H1227">
        <v>1</v>
      </c>
      <c r="I1227">
        <v>0.53706500000000001</v>
      </c>
      <c r="J1227">
        <v>2008</v>
      </c>
      <c r="K1227">
        <v>11</v>
      </c>
      <c r="L1227">
        <v>17</v>
      </c>
      <c r="M1227" t="s">
        <v>92</v>
      </c>
      <c r="N1227">
        <v>0</v>
      </c>
      <c r="O1227">
        <v>0</v>
      </c>
    </row>
    <row r="1228" spans="1:15" x14ac:dyDescent="0.3">
      <c r="A1228">
        <v>1323</v>
      </c>
      <c r="B1228" s="34">
        <v>39770</v>
      </c>
      <c r="C1228">
        <v>1.2633000000000001</v>
      </c>
      <c r="D1228">
        <v>-6</v>
      </c>
      <c r="F1228">
        <v>0.44799999999999701</v>
      </c>
      <c r="G1228">
        <v>8.19672131147545</v>
      </c>
      <c r="H1228">
        <v>1</v>
      </c>
      <c r="I1228">
        <v>0.53741499999999998</v>
      </c>
      <c r="J1228">
        <v>2008</v>
      </c>
      <c r="K1228">
        <v>11</v>
      </c>
      <c r="L1228">
        <v>18</v>
      </c>
      <c r="M1228" t="s">
        <v>93</v>
      </c>
      <c r="N1228">
        <v>0</v>
      </c>
      <c r="O1228">
        <v>0</v>
      </c>
    </row>
    <row r="1229" spans="1:15" x14ac:dyDescent="0.3">
      <c r="A1229">
        <v>1324</v>
      </c>
      <c r="B1229" s="34">
        <v>39771</v>
      </c>
      <c r="C1229">
        <v>1.2637</v>
      </c>
      <c r="D1229">
        <v>0</v>
      </c>
      <c r="F1229">
        <v>0.44799999999999701</v>
      </c>
      <c r="G1229">
        <v>8.19672131147545</v>
      </c>
      <c r="H1229">
        <v>1</v>
      </c>
      <c r="I1229">
        <v>0.53776440000000003</v>
      </c>
      <c r="J1229">
        <v>2008</v>
      </c>
      <c r="K1229">
        <v>11</v>
      </c>
      <c r="L1229">
        <v>19</v>
      </c>
      <c r="M1229" t="s">
        <v>89</v>
      </c>
      <c r="N1229">
        <v>0</v>
      </c>
      <c r="O1229">
        <v>0</v>
      </c>
    </row>
    <row r="1230" spans="1:15" x14ac:dyDescent="0.3">
      <c r="A1230">
        <v>1325</v>
      </c>
      <c r="B1230" s="34">
        <v>39772</v>
      </c>
      <c r="C1230">
        <v>1.2497</v>
      </c>
      <c r="D1230">
        <v>3</v>
      </c>
      <c r="E1230" t="s">
        <v>374</v>
      </c>
      <c r="F1230">
        <v>0.44369999999999798</v>
      </c>
      <c r="G1230">
        <v>9.0778688524590496</v>
      </c>
      <c r="H1230">
        <v>0</v>
      </c>
      <c r="I1230">
        <v>0.53735849999999996</v>
      </c>
      <c r="J1230">
        <v>2008</v>
      </c>
      <c r="K1230">
        <v>11</v>
      </c>
      <c r="L1230">
        <v>20</v>
      </c>
      <c r="M1230" t="s">
        <v>90</v>
      </c>
      <c r="N1230">
        <v>0</v>
      </c>
      <c r="O1230">
        <v>0</v>
      </c>
    </row>
    <row r="1231" spans="1:15" x14ac:dyDescent="0.3">
      <c r="A1231">
        <v>1326</v>
      </c>
      <c r="B1231" s="34">
        <v>39773</v>
      </c>
      <c r="C1231">
        <v>1.2454000000000001</v>
      </c>
      <c r="D1231">
        <v>0</v>
      </c>
      <c r="F1231">
        <v>0.44369999999999798</v>
      </c>
      <c r="G1231">
        <v>9.0778688524590496</v>
      </c>
      <c r="H1231">
        <v>0</v>
      </c>
      <c r="I1231">
        <v>0.53695329999999997</v>
      </c>
      <c r="J1231">
        <v>2008</v>
      </c>
      <c r="K1231">
        <v>11</v>
      </c>
      <c r="L1231">
        <v>21</v>
      </c>
      <c r="M1231" t="s">
        <v>91</v>
      </c>
      <c r="N1231">
        <v>0</v>
      </c>
      <c r="O1231">
        <v>0</v>
      </c>
    </row>
    <row r="1232" spans="1:15" x14ac:dyDescent="0.3">
      <c r="A1232">
        <v>1327</v>
      </c>
      <c r="B1232" s="34">
        <v>39776</v>
      </c>
      <c r="C1232">
        <v>1.2586999999999999</v>
      </c>
      <c r="D1232">
        <v>0</v>
      </c>
      <c r="F1232">
        <v>0.44369999999999798</v>
      </c>
      <c r="G1232">
        <v>9.0778688524590496</v>
      </c>
      <c r="H1232">
        <v>1</v>
      </c>
      <c r="I1232">
        <v>0.53730219999999995</v>
      </c>
      <c r="J1232">
        <v>2008</v>
      </c>
      <c r="K1232">
        <v>11</v>
      </c>
      <c r="L1232">
        <v>24</v>
      </c>
      <c r="M1232" t="s">
        <v>92</v>
      </c>
      <c r="N1232">
        <v>0</v>
      </c>
      <c r="O1232">
        <v>0</v>
      </c>
    </row>
    <row r="1233" spans="1:15" x14ac:dyDescent="0.3">
      <c r="A1233">
        <v>1328</v>
      </c>
      <c r="B1233" s="34">
        <v>39777</v>
      </c>
      <c r="C1233">
        <v>1.2947</v>
      </c>
      <c r="D1233">
        <v>-2</v>
      </c>
      <c r="F1233">
        <v>0.43279999999999702</v>
      </c>
      <c r="G1233">
        <v>11.311475409836101</v>
      </c>
      <c r="H1233">
        <v>1</v>
      </c>
      <c r="I1233">
        <v>0.53765059999999998</v>
      </c>
      <c r="J1233">
        <v>2008</v>
      </c>
      <c r="K1233">
        <v>11</v>
      </c>
      <c r="L1233">
        <v>25</v>
      </c>
      <c r="M1233" t="s">
        <v>93</v>
      </c>
      <c r="N1233">
        <v>0</v>
      </c>
      <c r="O1233">
        <v>0</v>
      </c>
    </row>
    <row r="1234" spans="1:15" x14ac:dyDescent="0.3">
      <c r="A1234">
        <v>1329</v>
      </c>
      <c r="B1234" s="34">
        <v>39778</v>
      </c>
      <c r="C1234">
        <v>1.3056000000000001</v>
      </c>
      <c r="D1234">
        <v>0</v>
      </c>
      <c r="F1234">
        <v>0.43279999999999702</v>
      </c>
      <c r="G1234">
        <v>11.311475409836101</v>
      </c>
      <c r="H1234">
        <v>0</v>
      </c>
      <c r="I1234">
        <v>0.537246</v>
      </c>
      <c r="J1234">
        <v>2008</v>
      </c>
      <c r="K1234">
        <v>11</v>
      </c>
      <c r="L1234">
        <v>26</v>
      </c>
      <c r="M1234" t="s">
        <v>89</v>
      </c>
      <c r="N1234">
        <v>0</v>
      </c>
      <c r="O1234">
        <v>0</v>
      </c>
    </row>
    <row r="1235" spans="1:15" x14ac:dyDescent="0.3">
      <c r="A1235">
        <v>1330</v>
      </c>
      <c r="B1235" s="34">
        <v>39779</v>
      </c>
      <c r="C1235">
        <v>1.2878000000000001</v>
      </c>
      <c r="D1235">
        <v>0</v>
      </c>
      <c r="F1235">
        <v>0.43279999999999702</v>
      </c>
      <c r="G1235">
        <v>11.311475409836101</v>
      </c>
      <c r="H1235">
        <v>1</v>
      </c>
      <c r="I1235">
        <v>0.53759400000000002</v>
      </c>
      <c r="J1235">
        <v>2008</v>
      </c>
      <c r="K1235">
        <v>11</v>
      </c>
      <c r="L1235">
        <v>27</v>
      </c>
      <c r="M1235" t="s">
        <v>90</v>
      </c>
      <c r="N1235">
        <v>0</v>
      </c>
      <c r="O1235">
        <v>0</v>
      </c>
    </row>
    <row r="1236" spans="1:15" x14ac:dyDescent="0.3">
      <c r="A1236">
        <v>1331</v>
      </c>
      <c r="B1236" s="34">
        <v>39780</v>
      </c>
      <c r="C1236">
        <v>1.2896000000000001</v>
      </c>
      <c r="D1236">
        <v>-3</v>
      </c>
      <c r="F1236">
        <v>0.45339999999999803</v>
      </c>
      <c r="G1236">
        <v>7.0901639344262497</v>
      </c>
      <c r="H1236">
        <v>0</v>
      </c>
      <c r="I1236">
        <v>0.5371901</v>
      </c>
      <c r="J1236">
        <v>2008</v>
      </c>
      <c r="K1236">
        <v>11</v>
      </c>
      <c r="L1236">
        <v>28</v>
      </c>
      <c r="M1236" t="s">
        <v>91</v>
      </c>
      <c r="N1236">
        <v>0</v>
      </c>
      <c r="O1236">
        <v>0</v>
      </c>
    </row>
    <row r="1237" spans="1:15" x14ac:dyDescent="0.3">
      <c r="A1237">
        <v>1332</v>
      </c>
      <c r="B1237" s="34">
        <v>39783</v>
      </c>
      <c r="C1237">
        <v>1.2689999999999999</v>
      </c>
      <c r="D1237">
        <v>1</v>
      </c>
      <c r="E1237" t="s">
        <v>375</v>
      </c>
      <c r="F1237">
        <v>0.44599999999999801</v>
      </c>
      <c r="G1237">
        <v>8.6065573770491692</v>
      </c>
      <c r="H1237">
        <v>1</v>
      </c>
      <c r="I1237">
        <v>0.5375375</v>
      </c>
      <c r="J1237">
        <v>2008</v>
      </c>
      <c r="K1237">
        <v>12</v>
      </c>
      <c r="L1237">
        <v>1</v>
      </c>
      <c r="M1237" t="s">
        <v>92</v>
      </c>
      <c r="N1237">
        <v>0</v>
      </c>
      <c r="O1237">
        <v>0</v>
      </c>
    </row>
    <row r="1238" spans="1:15" x14ac:dyDescent="0.3">
      <c r="A1238">
        <v>1333</v>
      </c>
      <c r="B1238" s="34">
        <v>39784</v>
      </c>
      <c r="C1238">
        <v>1.2616000000000001</v>
      </c>
      <c r="D1238">
        <v>0</v>
      </c>
      <c r="F1238">
        <v>0.44599999999999801</v>
      </c>
      <c r="G1238">
        <v>8.6065573770491692</v>
      </c>
      <c r="H1238">
        <v>0</v>
      </c>
      <c r="I1238">
        <v>0.53713429999999995</v>
      </c>
      <c r="J1238">
        <v>2008</v>
      </c>
      <c r="K1238">
        <v>12</v>
      </c>
      <c r="L1238">
        <v>2</v>
      </c>
      <c r="M1238" t="s">
        <v>93</v>
      </c>
      <c r="N1238">
        <v>0</v>
      </c>
      <c r="O1238">
        <v>0</v>
      </c>
    </row>
    <row r="1239" spans="1:15" x14ac:dyDescent="0.3">
      <c r="A1239">
        <v>1334</v>
      </c>
      <c r="B1239" s="34">
        <v>39785</v>
      </c>
      <c r="C1239">
        <v>1.272</v>
      </c>
      <c r="D1239">
        <v>0</v>
      </c>
      <c r="F1239">
        <v>0.44599999999999801</v>
      </c>
      <c r="G1239">
        <v>8.6065573770491692</v>
      </c>
      <c r="H1239">
        <v>1</v>
      </c>
      <c r="I1239">
        <v>0.53748119999999999</v>
      </c>
      <c r="J1239">
        <v>2008</v>
      </c>
      <c r="K1239">
        <v>12</v>
      </c>
      <c r="L1239">
        <v>3</v>
      </c>
      <c r="M1239" t="s">
        <v>89</v>
      </c>
      <c r="N1239">
        <v>0</v>
      </c>
      <c r="O1239">
        <v>0</v>
      </c>
    </row>
    <row r="1240" spans="1:15" x14ac:dyDescent="0.3">
      <c r="A1240">
        <v>1335</v>
      </c>
      <c r="B1240" s="34">
        <v>39786</v>
      </c>
      <c r="C1240">
        <v>1.2713000000000001</v>
      </c>
      <c r="D1240">
        <v>4</v>
      </c>
      <c r="E1240" t="s">
        <v>376</v>
      </c>
      <c r="F1240">
        <v>0.45179999999999798</v>
      </c>
      <c r="G1240">
        <v>7.41803278688527</v>
      </c>
      <c r="H1240">
        <v>0</v>
      </c>
      <c r="I1240">
        <v>0.53707870000000002</v>
      </c>
      <c r="J1240">
        <v>2008</v>
      </c>
      <c r="K1240">
        <v>12</v>
      </c>
      <c r="L1240">
        <v>4</v>
      </c>
      <c r="M1240" t="s">
        <v>90</v>
      </c>
      <c r="N1240">
        <v>0</v>
      </c>
      <c r="O1240">
        <v>0</v>
      </c>
    </row>
    <row r="1241" spans="1:15" x14ac:dyDescent="0.3">
      <c r="A1241">
        <v>1336</v>
      </c>
      <c r="B1241" s="34">
        <v>39787</v>
      </c>
      <c r="C1241">
        <v>1.2770999999999999</v>
      </c>
      <c r="D1241">
        <v>-3</v>
      </c>
      <c r="F1241">
        <v>0.45709999999999701</v>
      </c>
      <c r="G1241">
        <v>6.3319672131148099</v>
      </c>
      <c r="H1241">
        <v>1</v>
      </c>
      <c r="I1241">
        <v>0.53742520000000005</v>
      </c>
      <c r="J1241">
        <v>2008</v>
      </c>
      <c r="K1241">
        <v>12</v>
      </c>
      <c r="L1241">
        <v>5</v>
      </c>
      <c r="M1241" t="s">
        <v>91</v>
      </c>
      <c r="N1241">
        <v>0</v>
      </c>
      <c r="O1241">
        <v>0</v>
      </c>
    </row>
    <row r="1242" spans="1:15" x14ac:dyDescent="0.3">
      <c r="A1242">
        <v>1337</v>
      </c>
      <c r="B1242" s="34">
        <v>39790</v>
      </c>
      <c r="C1242">
        <v>1.2718</v>
      </c>
      <c r="D1242">
        <v>0</v>
      </c>
      <c r="F1242">
        <v>0.45709999999999701</v>
      </c>
      <c r="G1242">
        <v>6.3319672131148099</v>
      </c>
      <c r="H1242">
        <v>1</v>
      </c>
      <c r="I1242">
        <v>0.53777109999999995</v>
      </c>
      <c r="J1242">
        <v>2008</v>
      </c>
      <c r="K1242">
        <v>12</v>
      </c>
      <c r="L1242">
        <v>8</v>
      </c>
      <c r="M1242" t="s">
        <v>92</v>
      </c>
      <c r="N1242">
        <v>0</v>
      </c>
      <c r="O1242">
        <v>0</v>
      </c>
    </row>
    <row r="1243" spans="1:15" x14ac:dyDescent="0.3">
      <c r="A1243">
        <v>1338</v>
      </c>
      <c r="B1243" s="34">
        <v>39791</v>
      </c>
      <c r="C1243">
        <v>1.2937000000000001</v>
      </c>
      <c r="D1243">
        <v>-4</v>
      </c>
      <c r="F1243">
        <v>0.45839999999999698</v>
      </c>
      <c r="G1243">
        <v>6.0655737704918398</v>
      </c>
      <c r="H1243">
        <v>1</v>
      </c>
      <c r="I1243">
        <v>0.53811659999999994</v>
      </c>
      <c r="J1243">
        <v>2008</v>
      </c>
      <c r="K1243">
        <v>12</v>
      </c>
      <c r="L1243">
        <v>9</v>
      </c>
      <c r="M1243" t="s">
        <v>93</v>
      </c>
      <c r="N1243">
        <v>0</v>
      </c>
      <c r="O1243">
        <v>0</v>
      </c>
    </row>
    <row r="1244" spans="1:15" x14ac:dyDescent="0.3">
      <c r="A1244">
        <v>1339</v>
      </c>
      <c r="B1244" s="34">
        <v>39792</v>
      </c>
      <c r="C1244">
        <v>1.2924</v>
      </c>
      <c r="D1244">
        <v>0</v>
      </c>
      <c r="F1244">
        <v>0.45839999999999698</v>
      </c>
      <c r="G1244">
        <v>6.0655737704918398</v>
      </c>
      <c r="H1244">
        <v>1</v>
      </c>
      <c r="I1244">
        <v>0.53846159999999998</v>
      </c>
      <c r="J1244">
        <v>2008</v>
      </c>
      <c r="K1244">
        <v>12</v>
      </c>
      <c r="L1244">
        <v>10</v>
      </c>
      <c r="M1244" t="s">
        <v>89</v>
      </c>
      <c r="N1244">
        <v>0</v>
      </c>
      <c r="O1244">
        <v>0</v>
      </c>
    </row>
    <row r="1245" spans="1:15" x14ac:dyDescent="0.3">
      <c r="A1245">
        <v>1340</v>
      </c>
      <c r="B1245" s="34">
        <v>39793</v>
      </c>
      <c r="C1245">
        <v>1.3021</v>
      </c>
      <c r="D1245">
        <v>0</v>
      </c>
      <c r="F1245">
        <v>0.45839999999999698</v>
      </c>
      <c r="G1245">
        <v>6.0655737704918398</v>
      </c>
      <c r="H1245">
        <v>0</v>
      </c>
      <c r="I1245">
        <v>0.53805970000000003</v>
      </c>
      <c r="J1245">
        <v>2008</v>
      </c>
      <c r="K1245">
        <v>12</v>
      </c>
      <c r="L1245">
        <v>11</v>
      </c>
      <c r="M1245" t="s">
        <v>90</v>
      </c>
      <c r="N1245">
        <v>0</v>
      </c>
      <c r="O1245">
        <v>0</v>
      </c>
    </row>
    <row r="1246" spans="1:15" x14ac:dyDescent="0.3">
      <c r="A1246">
        <v>1341</v>
      </c>
      <c r="B1246" s="34">
        <v>39794</v>
      </c>
      <c r="C1246">
        <v>1.3346</v>
      </c>
      <c r="D1246">
        <v>-1</v>
      </c>
      <c r="F1246">
        <v>0.45609999999999701</v>
      </c>
      <c r="G1246">
        <v>6.5368852459016704</v>
      </c>
      <c r="H1246">
        <v>0</v>
      </c>
      <c r="I1246">
        <v>0.53765850000000004</v>
      </c>
      <c r="J1246">
        <v>2008</v>
      </c>
      <c r="K1246">
        <v>12</v>
      </c>
      <c r="L1246">
        <v>12</v>
      </c>
      <c r="M1246" t="s">
        <v>91</v>
      </c>
      <c r="N1246">
        <v>0</v>
      </c>
      <c r="O1246">
        <v>0</v>
      </c>
    </row>
    <row r="1247" spans="1:15" x14ac:dyDescent="0.3">
      <c r="A1247">
        <v>1342</v>
      </c>
      <c r="B1247" s="34">
        <v>39797</v>
      </c>
      <c r="C1247">
        <v>1.3369</v>
      </c>
      <c r="D1247">
        <v>0</v>
      </c>
      <c r="F1247">
        <v>0.45609999999999701</v>
      </c>
      <c r="G1247">
        <v>6.5368852459016704</v>
      </c>
      <c r="H1247">
        <v>0</v>
      </c>
      <c r="I1247">
        <v>0.53725789999999995</v>
      </c>
      <c r="J1247">
        <v>2008</v>
      </c>
      <c r="K1247">
        <v>12</v>
      </c>
      <c r="L1247">
        <v>15</v>
      </c>
      <c r="M1247" t="s">
        <v>92</v>
      </c>
      <c r="N1247">
        <v>0</v>
      </c>
      <c r="O1247">
        <v>0</v>
      </c>
    </row>
    <row r="1248" spans="1:15" x14ac:dyDescent="0.3">
      <c r="A1248">
        <v>1343</v>
      </c>
      <c r="B1248" s="34">
        <v>39798</v>
      </c>
      <c r="C1248">
        <v>1.3702000000000001</v>
      </c>
      <c r="D1248">
        <v>-1</v>
      </c>
      <c r="F1248">
        <v>0.42149999999999799</v>
      </c>
      <c r="G1248">
        <v>13.6270491803279</v>
      </c>
      <c r="H1248">
        <v>0</v>
      </c>
      <c r="I1248">
        <v>0.53685780000000005</v>
      </c>
      <c r="J1248">
        <v>2008</v>
      </c>
      <c r="K1248">
        <v>12</v>
      </c>
      <c r="L1248">
        <v>16</v>
      </c>
      <c r="M1248" t="s">
        <v>93</v>
      </c>
      <c r="N1248">
        <v>0</v>
      </c>
      <c r="O1248">
        <v>0</v>
      </c>
    </row>
    <row r="1249" spans="1:15" x14ac:dyDescent="0.3">
      <c r="A1249">
        <v>1344</v>
      </c>
      <c r="B1249" s="34">
        <v>39799</v>
      </c>
      <c r="C1249">
        <v>1.4048</v>
      </c>
      <c r="D1249">
        <v>0</v>
      </c>
      <c r="F1249">
        <v>0.42149999999999799</v>
      </c>
      <c r="G1249">
        <v>13.6270491803279</v>
      </c>
      <c r="H1249">
        <v>0</v>
      </c>
      <c r="I1249">
        <v>0.53645830000000005</v>
      </c>
      <c r="J1249">
        <v>2008</v>
      </c>
      <c r="K1249">
        <v>12</v>
      </c>
      <c r="L1249">
        <v>17</v>
      </c>
      <c r="M1249" t="s">
        <v>89</v>
      </c>
      <c r="N1249">
        <v>0</v>
      </c>
      <c r="O1249">
        <v>0</v>
      </c>
    </row>
    <row r="1250" spans="1:15" x14ac:dyDescent="0.3">
      <c r="A1250">
        <v>1345</v>
      </c>
      <c r="B1250" s="34">
        <v>39800</v>
      </c>
      <c r="C1250">
        <v>1.4401999999999999</v>
      </c>
      <c r="D1250">
        <v>-2</v>
      </c>
      <c r="F1250">
        <v>0.43509999999999699</v>
      </c>
      <c r="G1250">
        <v>10.8401639344263</v>
      </c>
      <c r="H1250">
        <v>0</v>
      </c>
      <c r="I1250">
        <v>0.53605950000000002</v>
      </c>
      <c r="J1250">
        <v>2008</v>
      </c>
      <c r="K1250">
        <v>12</v>
      </c>
      <c r="L1250">
        <v>18</v>
      </c>
      <c r="M1250" t="s">
        <v>90</v>
      </c>
      <c r="N1250">
        <v>0</v>
      </c>
      <c r="O1250">
        <v>0</v>
      </c>
    </row>
    <row r="1251" spans="1:15" x14ac:dyDescent="0.3">
      <c r="A1251">
        <v>1346</v>
      </c>
      <c r="B1251" s="34">
        <v>39801</v>
      </c>
      <c r="C1251">
        <v>1.4266000000000001</v>
      </c>
      <c r="D1251">
        <v>0</v>
      </c>
      <c r="F1251">
        <v>0.43509999999999699</v>
      </c>
      <c r="G1251">
        <v>10.8401639344263</v>
      </c>
      <c r="H1251">
        <v>1</v>
      </c>
      <c r="I1251">
        <v>0.53640410000000005</v>
      </c>
      <c r="J1251">
        <v>2008</v>
      </c>
      <c r="K1251">
        <v>12</v>
      </c>
      <c r="L1251">
        <v>19</v>
      </c>
      <c r="M1251" t="s">
        <v>91</v>
      </c>
      <c r="N1251">
        <v>0</v>
      </c>
      <c r="O1251">
        <v>0</v>
      </c>
    </row>
    <row r="1252" spans="1:15" x14ac:dyDescent="0.3">
      <c r="A1252">
        <v>1347</v>
      </c>
      <c r="B1252" s="34">
        <v>39804</v>
      </c>
      <c r="C1252">
        <v>1.3907</v>
      </c>
      <c r="D1252">
        <v>4</v>
      </c>
      <c r="E1252" t="s">
        <v>377</v>
      </c>
      <c r="F1252">
        <v>0.43839999999999701</v>
      </c>
      <c r="G1252">
        <v>10.1639344262296</v>
      </c>
      <c r="H1252">
        <v>1</v>
      </c>
      <c r="I1252">
        <v>0.53674829999999996</v>
      </c>
      <c r="J1252">
        <v>2008</v>
      </c>
      <c r="K1252">
        <v>12</v>
      </c>
      <c r="L1252">
        <v>22</v>
      </c>
      <c r="M1252" t="s">
        <v>92</v>
      </c>
      <c r="N1252">
        <v>0</v>
      </c>
      <c r="O1252">
        <v>0</v>
      </c>
    </row>
    <row r="1253" spans="1:15" x14ac:dyDescent="0.3">
      <c r="A1253">
        <v>1348</v>
      </c>
      <c r="B1253" s="34">
        <v>39805</v>
      </c>
      <c r="C1253">
        <v>1.3939999999999999</v>
      </c>
      <c r="D1253">
        <v>0</v>
      </c>
      <c r="F1253">
        <v>0.43839999999999701</v>
      </c>
      <c r="G1253">
        <v>10.1639344262296</v>
      </c>
      <c r="H1253">
        <v>1</v>
      </c>
      <c r="I1253">
        <v>0.53709200000000001</v>
      </c>
      <c r="J1253">
        <v>2008</v>
      </c>
      <c r="K1253">
        <v>12</v>
      </c>
      <c r="L1253">
        <v>23</v>
      </c>
      <c r="M1253" t="s">
        <v>93</v>
      </c>
      <c r="N1253">
        <v>0</v>
      </c>
      <c r="O1253">
        <v>0</v>
      </c>
    </row>
    <row r="1254" spans="1:15" x14ac:dyDescent="0.3">
      <c r="A1254">
        <v>1349</v>
      </c>
      <c r="B1254" s="34">
        <v>39806</v>
      </c>
      <c r="C1254">
        <v>1.3926000000000001</v>
      </c>
      <c r="D1254">
        <v>3</v>
      </c>
      <c r="E1254" t="s">
        <v>378</v>
      </c>
      <c r="F1254">
        <v>0.445099999999997</v>
      </c>
      <c r="G1254">
        <v>8.7909836065574893</v>
      </c>
      <c r="H1254">
        <v>0</v>
      </c>
      <c r="I1254">
        <v>0.53669389999999995</v>
      </c>
      <c r="J1254">
        <v>2008</v>
      </c>
      <c r="K1254">
        <v>12</v>
      </c>
      <c r="L1254">
        <v>24</v>
      </c>
      <c r="M1254" t="s">
        <v>89</v>
      </c>
      <c r="N1254">
        <v>0</v>
      </c>
      <c r="O1254">
        <v>0</v>
      </c>
    </row>
    <row r="1255" spans="1:15" x14ac:dyDescent="0.3">
      <c r="A1255">
        <v>1350</v>
      </c>
      <c r="B1255" s="34">
        <v>39808</v>
      </c>
      <c r="C1255">
        <v>1.3993</v>
      </c>
      <c r="D1255">
        <v>-6</v>
      </c>
      <c r="F1255">
        <v>0.44169999999999698</v>
      </c>
      <c r="G1255">
        <v>9.4877049180329092</v>
      </c>
      <c r="H1255">
        <v>1</v>
      </c>
      <c r="I1255">
        <v>0.53703699999999999</v>
      </c>
      <c r="J1255">
        <v>2008</v>
      </c>
      <c r="K1255">
        <v>12</v>
      </c>
      <c r="L1255">
        <v>26</v>
      </c>
      <c r="M1255" t="s">
        <v>91</v>
      </c>
      <c r="N1255">
        <v>0</v>
      </c>
      <c r="O1255">
        <v>0</v>
      </c>
    </row>
    <row r="1256" spans="1:15" x14ac:dyDescent="0.3">
      <c r="A1256">
        <v>1351</v>
      </c>
      <c r="B1256" s="34">
        <v>39811</v>
      </c>
      <c r="C1256">
        <v>1.4027000000000001</v>
      </c>
      <c r="D1256">
        <v>-2</v>
      </c>
      <c r="F1256">
        <v>0.44849999999999701</v>
      </c>
      <c r="G1256">
        <v>8.0942622950820606</v>
      </c>
      <c r="H1256">
        <v>1</v>
      </c>
      <c r="I1256">
        <v>0.53737970000000002</v>
      </c>
      <c r="J1256">
        <v>2008</v>
      </c>
      <c r="K1256">
        <v>12</v>
      </c>
      <c r="L1256">
        <v>29</v>
      </c>
      <c r="M1256" t="s">
        <v>92</v>
      </c>
      <c r="N1256">
        <v>0</v>
      </c>
      <c r="O1256">
        <v>0</v>
      </c>
    </row>
    <row r="1257" spans="1:15" x14ac:dyDescent="0.3">
      <c r="A1257">
        <v>1352</v>
      </c>
      <c r="B1257" s="34">
        <v>39812</v>
      </c>
      <c r="C1257">
        <v>1.3958999999999999</v>
      </c>
      <c r="D1257">
        <v>0</v>
      </c>
      <c r="F1257">
        <v>0.44849999999999701</v>
      </c>
      <c r="G1257">
        <v>8.0942622950820606</v>
      </c>
      <c r="H1257">
        <v>1</v>
      </c>
      <c r="I1257">
        <v>0.53772189999999997</v>
      </c>
      <c r="J1257">
        <v>2008</v>
      </c>
      <c r="K1257">
        <v>12</v>
      </c>
      <c r="L1257">
        <v>30</v>
      </c>
      <c r="M1257" t="s">
        <v>93</v>
      </c>
      <c r="N1257">
        <v>0</v>
      </c>
      <c r="O1257">
        <v>0</v>
      </c>
    </row>
    <row r="1258" spans="1:15" x14ac:dyDescent="0.3">
      <c r="A1258">
        <v>1353</v>
      </c>
      <c r="B1258" s="34">
        <v>39813</v>
      </c>
      <c r="C1258">
        <v>1.411</v>
      </c>
      <c r="D1258">
        <v>-1</v>
      </c>
      <c r="F1258">
        <v>0.46389999999999698</v>
      </c>
      <c r="G1258">
        <v>4.9385245901639996</v>
      </c>
      <c r="H1258">
        <v>1</v>
      </c>
      <c r="I1258">
        <v>0.53806359999999998</v>
      </c>
      <c r="J1258">
        <v>2008</v>
      </c>
      <c r="K1258">
        <v>12</v>
      </c>
      <c r="L1258">
        <v>31</v>
      </c>
      <c r="M1258" t="s">
        <v>89</v>
      </c>
      <c r="N1258">
        <v>0</v>
      </c>
      <c r="O1258">
        <v>0</v>
      </c>
    </row>
    <row r="1259" spans="1:15" x14ac:dyDescent="0.3">
      <c r="A1259">
        <v>1354</v>
      </c>
      <c r="B1259" s="34">
        <v>39815</v>
      </c>
      <c r="C1259">
        <v>1.3956</v>
      </c>
      <c r="D1259">
        <v>0</v>
      </c>
      <c r="F1259">
        <v>0.46389999999999698</v>
      </c>
      <c r="G1259">
        <v>4.9385245901639996</v>
      </c>
      <c r="H1259">
        <v>1</v>
      </c>
      <c r="I1259">
        <v>0.53840469999999996</v>
      </c>
      <c r="J1259">
        <v>2009</v>
      </c>
      <c r="K1259">
        <v>1</v>
      </c>
      <c r="L1259">
        <v>2</v>
      </c>
      <c r="M1259" t="s">
        <v>91</v>
      </c>
      <c r="N1259">
        <v>0</v>
      </c>
      <c r="O1259">
        <v>0</v>
      </c>
    </row>
    <row r="1260" spans="1:15" x14ac:dyDescent="0.3">
      <c r="A1260">
        <v>1355</v>
      </c>
      <c r="B1260" s="34">
        <v>39818</v>
      </c>
      <c r="C1260">
        <v>1.3923000000000001</v>
      </c>
      <c r="D1260">
        <v>0</v>
      </c>
      <c r="F1260">
        <v>0.46389999999999698</v>
      </c>
      <c r="G1260">
        <v>4.9385245901639996</v>
      </c>
      <c r="H1260">
        <v>0</v>
      </c>
      <c r="I1260">
        <v>0.53800740000000002</v>
      </c>
      <c r="J1260">
        <v>2009</v>
      </c>
      <c r="K1260">
        <v>1</v>
      </c>
      <c r="L1260">
        <v>5</v>
      </c>
      <c r="M1260" t="s">
        <v>92</v>
      </c>
      <c r="N1260">
        <v>0</v>
      </c>
      <c r="O1260">
        <v>0</v>
      </c>
    </row>
    <row r="1261" spans="1:15" x14ac:dyDescent="0.3">
      <c r="A1261">
        <v>1356</v>
      </c>
      <c r="B1261" s="34">
        <v>39819</v>
      </c>
      <c r="C1261">
        <v>1.3629</v>
      </c>
      <c r="D1261">
        <v>0</v>
      </c>
      <c r="F1261">
        <v>0.46389999999999698</v>
      </c>
      <c r="G1261">
        <v>4.9385245901639996</v>
      </c>
      <c r="H1261">
        <v>0</v>
      </c>
      <c r="I1261">
        <v>0.53761060000000005</v>
      </c>
      <c r="J1261">
        <v>2009</v>
      </c>
      <c r="K1261">
        <v>1</v>
      </c>
      <c r="L1261">
        <v>6</v>
      </c>
      <c r="M1261" t="s">
        <v>93</v>
      </c>
      <c r="N1261">
        <v>0</v>
      </c>
      <c r="O1261">
        <v>0</v>
      </c>
    </row>
    <row r="1262" spans="1:15" x14ac:dyDescent="0.3">
      <c r="A1262">
        <v>1357</v>
      </c>
      <c r="B1262" s="34">
        <v>39820</v>
      </c>
      <c r="C1262">
        <v>1.3498000000000001</v>
      </c>
      <c r="D1262">
        <v>0</v>
      </c>
      <c r="F1262">
        <v>0.46389999999999698</v>
      </c>
      <c r="G1262">
        <v>4.9385245901639996</v>
      </c>
      <c r="H1262">
        <v>0</v>
      </c>
      <c r="I1262">
        <v>0.53721450000000004</v>
      </c>
      <c r="J1262">
        <v>2009</v>
      </c>
      <c r="K1262">
        <v>1</v>
      </c>
      <c r="L1262">
        <v>7</v>
      </c>
      <c r="M1262" t="s">
        <v>89</v>
      </c>
      <c r="N1262">
        <v>0</v>
      </c>
      <c r="O1262">
        <v>0</v>
      </c>
    </row>
    <row r="1263" spans="1:15" x14ac:dyDescent="0.3">
      <c r="A1263">
        <v>1358</v>
      </c>
      <c r="B1263" s="34">
        <v>39821</v>
      </c>
      <c r="C1263">
        <v>1.3654999999999999</v>
      </c>
      <c r="D1263">
        <v>0</v>
      </c>
      <c r="F1263">
        <v>0.46389999999999698</v>
      </c>
      <c r="G1263">
        <v>4.9385245901639996</v>
      </c>
      <c r="H1263">
        <v>1</v>
      </c>
      <c r="I1263">
        <v>0.53755520000000001</v>
      </c>
      <c r="J1263">
        <v>2009</v>
      </c>
      <c r="K1263">
        <v>1</v>
      </c>
      <c r="L1263">
        <v>8</v>
      </c>
      <c r="M1263" t="s">
        <v>90</v>
      </c>
      <c r="N1263">
        <v>0</v>
      </c>
      <c r="O1263">
        <v>0</v>
      </c>
    </row>
    <row r="1264" spans="1:15" x14ac:dyDescent="0.3">
      <c r="A1264">
        <v>1359</v>
      </c>
      <c r="B1264" s="34">
        <v>39822</v>
      </c>
      <c r="C1264">
        <v>1.3703000000000001</v>
      </c>
      <c r="D1264">
        <v>-5</v>
      </c>
      <c r="F1264">
        <v>0.48699999999999699</v>
      </c>
      <c r="G1264">
        <v>0.20491803278690901</v>
      </c>
      <c r="H1264">
        <v>1</v>
      </c>
      <c r="I1264">
        <v>0.53789549999999997</v>
      </c>
      <c r="J1264">
        <v>2009</v>
      </c>
      <c r="K1264">
        <v>1</v>
      </c>
      <c r="L1264">
        <v>9</v>
      </c>
      <c r="M1264" t="s">
        <v>91</v>
      </c>
      <c r="N1264">
        <v>0</v>
      </c>
      <c r="O1264">
        <v>0</v>
      </c>
    </row>
    <row r="1265" spans="1:15" x14ac:dyDescent="0.3">
      <c r="A1265">
        <v>1360</v>
      </c>
      <c r="B1265" s="34">
        <v>39825</v>
      </c>
      <c r="C1265">
        <v>1.3472</v>
      </c>
      <c r="D1265">
        <v>0</v>
      </c>
      <c r="F1265">
        <v>0.48699999999999699</v>
      </c>
      <c r="G1265">
        <v>0.20491803278690901</v>
      </c>
      <c r="H1265">
        <v>0</v>
      </c>
      <c r="I1265">
        <v>0.53749999999999998</v>
      </c>
      <c r="J1265">
        <v>2009</v>
      </c>
      <c r="K1265">
        <v>1</v>
      </c>
      <c r="L1265">
        <v>12</v>
      </c>
      <c r="M1265" t="s">
        <v>92</v>
      </c>
      <c r="N1265">
        <v>0</v>
      </c>
      <c r="O1265">
        <v>0</v>
      </c>
    </row>
    <row r="1266" spans="1:15" x14ac:dyDescent="0.3">
      <c r="A1266">
        <v>1361</v>
      </c>
      <c r="B1266" s="34">
        <v>39826</v>
      </c>
      <c r="C1266">
        <v>1.3362000000000001</v>
      </c>
      <c r="D1266">
        <v>0</v>
      </c>
      <c r="F1266">
        <v>0.48699999999999699</v>
      </c>
      <c r="G1266">
        <v>0.20491803278690901</v>
      </c>
      <c r="H1266">
        <v>0</v>
      </c>
      <c r="I1266">
        <v>0.5371051</v>
      </c>
      <c r="J1266">
        <v>2009</v>
      </c>
      <c r="K1266">
        <v>1</v>
      </c>
      <c r="L1266">
        <v>13</v>
      </c>
      <c r="M1266" t="s">
        <v>93</v>
      </c>
      <c r="N1266">
        <v>0</v>
      </c>
      <c r="O1266">
        <v>0</v>
      </c>
    </row>
    <row r="1267" spans="1:15" x14ac:dyDescent="0.3">
      <c r="A1267">
        <v>1362</v>
      </c>
      <c r="B1267" s="34">
        <v>39827</v>
      </c>
      <c r="C1267">
        <v>1.3180000000000001</v>
      </c>
      <c r="D1267">
        <v>0</v>
      </c>
      <c r="F1267">
        <v>0.48699999999999699</v>
      </c>
      <c r="G1267">
        <v>0.20491803278690901</v>
      </c>
      <c r="H1267">
        <v>0</v>
      </c>
      <c r="I1267">
        <v>0.53671069999999999</v>
      </c>
      <c r="J1267">
        <v>2009</v>
      </c>
      <c r="K1267">
        <v>1</v>
      </c>
      <c r="L1267">
        <v>14</v>
      </c>
      <c r="M1267" t="s">
        <v>89</v>
      </c>
      <c r="N1267">
        <v>0</v>
      </c>
      <c r="O1267">
        <v>0</v>
      </c>
    </row>
    <row r="1268" spans="1:15" x14ac:dyDescent="0.3">
      <c r="A1268">
        <v>1363</v>
      </c>
      <c r="B1268" s="34">
        <v>39828</v>
      </c>
      <c r="C1268">
        <v>1.3160000000000001</v>
      </c>
      <c r="D1268">
        <v>0</v>
      </c>
      <c r="F1268">
        <v>0.48699999999999699</v>
      </c>
      <c r="G1268">
        <v>0.20491803278690901</v>
      </c>
      <c r="H1268">
        <v>0</v>
      </c>
      <c r="I1268">
        <v>0.53631689999999999</v>
      </c>
      <c r="J1268">
        <v>2009</v>
      </c>
      <c r="K1268">
        <v>1</v>
      </c>
      <c r="L1268">
        <v>15</v>
      </c>
      <c r="M1268" t="s">
        <v>90</v>
      </c>
      <c r="N1268">
        <v>0</v>
      </c>
      <c r="O1268">
        <v>0</v>
      </c>
    </row>
    <row r="1269" spans="1:15" x14ac:dyDescent="0.3">
      <c r="A1269">
        <v>1364</v>
      </c>
      <c r="B1269" s="34">
        <v>39829</v>
      </c>
      <c r="C1269">
        <v>1.3137000000000001</v>
      </c>
      <c r="D1269">
        <v>0</v>
      </c>
      <c r="F1269">
        <v>0.48699999999999699</v>
      </c>
      <c r="G1269">
        <v>0.20491803278690901</v>
      </c>
      <c r="H1269">
        <v>0</v>
      </c>
      <c r="I1269">
        <v>0.53592379999999995</v>
      </c>
      <c r="J1269">
        <v>2009</v>
      </c>
      <c r="K1269">
        <v>1</v>
      </c>
      <c r="L1269">
        <v>16</v>
      </c>
      <c r="M1269" t="s">
        <v>91</v>
      </c>
      <c r="N1269">
        <v>0</v>
      </c>
      <c r="O1269">
        <v>0</v>
      </c>
    </row>
    <row r="1270" spans="1:15" x14ac:dyDescent="0.3">
      <c r="A1270">
        <v>1365</v>
      </c>
      <c r="B1270" s="34">
        <v>39832</v>
      </c>
      <c r="C1270">
        <v>1.3266</v>
      </c>
      <c r="D1270">
        <v>-5</v>
      </c>
      <c r="F1270">
        <v>0.50749999999999695</v>
      </c>
      <c r="G1270">
        <v>0</v>
      </c>
      <c r="H1270">
        <v>1</v>
      </c>
      <c r="I1270">
        <v>0.53626379999999996</v>
      </c>
      <c r="J1270">
        <v>2009</v>
      </c>
      <c r="K1270">
        <v>1</v>
      </c>
      <c r="L1270">
        <v>19</v>
      </c>
      <c r="M1270" t="s">
        <v>92</v>
      </c>
      <c r="N1270">
        <v>0</v>
      </c>
      <c r="O1270">
        <v>0</v>
      </c>
    </row>
    <row r="1271" spans="1:15" x14ac:dyDescent="0.3">
      <c r="A1271">
        <v>1366</v>
      </c>
      <c r="B1271" s="34">
        <v>39833</v>
      </c>
      <c r="C1271">
        <v>1.3061</v>
      </c>
      <c r="D1271">
        <v>0</v>
      </c>
      <c r="F1271">
        <v>0.50749999999999695</v>
      </c>
      <c r="G1271">
        <v>0</v>
      </c>
      <c r="H1271">
        <v>1</v>
      </c>
      <c r="I1271">
        <v>0.53660319999999995</v>
      </c>
      <c r="J1271">
        <v>2009</v>
      </c>
      <c r="K1271">
        <v>1</v>
      </c>
      <c r="L1271">
        <v>20</v>
      </c>
      <c r="M1271" t="s">
        <v>93</v>
      </c>
      <c r="N1271">
        <v>0</v>
      </c>
      <c r="O1271">
        <v>0</v>
      </c>
    </row>
    <row r="1272" spans="1:15" x14ac:dyDescent="0.3">
      <c r="A1272">
        <v>1367</v>
      </c>
      <c r="B1272" s="34">
        <v>39834</v>
      </c>
      <c r="C1272">
        <v>1.2859</v>
      </c>
      <c r="D1272">
        <v>0</v>
      </c>
      <c r="F1272">
        <v>0.50749999999999695</v>
      </c>
      <c r="G1272">
        <v>0</v>
      </c>
      <c r="H1272">
        <v>0</v>
      </c>
      <c r="I1272">
        <v>0.53621070000000004</v>
      </c>
      <c r="J1272">
        <v>2009</v>
      </c>
      <c r="K1272">
        <v>1</v>
      </c>
      <c r="L1272">
        <v>21</v>
      </c>
      <c r="M1272" t="s">
        <v>89</v>
      </c>
      <c r="N1272">
        <v>0</v>
      </c>
      <c r="O1272">
        <v>0</v>
      </c>
    </row>
    <row r="1273" spans="1:15" x14ac:dyDescent="0.3">
      <c r="A1273">
        <v>1368</v>
      </c>
      <c r="B1273" s="34">
        <v>39835</v>
      </c>
      <c r="C1273">
        <v>1.3066</v>
      </c>
      <c r="D1273">
        <v>0</v>
      </c>
      <c r="F1273">
        <v>0.50749999999999695</v>
      </c>
      <c r="G1273">
        <v>0</v>
      </c>
      <c r="H1273">
        <v>1</v>
      </c>
      <c r="I1273">
        <v>0.53654970000000002</v>
      </c>
      <c r="J1273">
        <v>2009</v>
      </c>
      <c r="K1273">
        <v>1</v>
      </c>
      <c r="L1273">
        <v>22</v>
      </c>
      <c r="M1273" t="s">
        <v>90</v>
      </c>
      <c r="N1273">
        <v>0</v>
      </c>
      <c r="O1273">
        <v>0</v>
      </c>
    </row>
    <row r="1274" spans="1:15" x14ac:dyDescent="0.3">
      <c r="A1274">
        <v>1369</v>
      </c>
      <c r="B1274" s="34">
        <v>39836</v>
      </c>
      <c r="C1274">
        <v>1.3017000000000001</v>
      </c>
      <c r="D1274">
        <v>0</v>
      </c>
      <c r="F1274">
        <v>0.50749999999999695</v>
      </c>
      <c r="G1274">
        <v>0</v>
      </c>
      <c r="H1274">
        <v>0</v>
      </c>
      <c r="I1274">
        <v>0.53615780000000002</v>
      </c>
      <c r="J1274">
        <v>2009</v>
      </c>
      <c r="K1274">
        <v>1</v>
      </c>
      <c r="L1274">
        <v>23</v>
      </c>
      <c r="M1274" t="s">
        <v>91</v>
      </c>
      <c r="N1274">
        <v>0</v>
      </c>
      <c r="O1274">
        <v>0</v>
      </c>
    </row>
    <row r="1275" spans="1:15" x14ac:dyDescent="0.3">
      <c r="A1275">
        <v>1370</v>
      </c>
      <c r="B1275" s="34">
        <v>39839</v>
      </c>
      <c r="C1275">
        <v>1.2972999999999999</v>
      </c>
      <c r="D1275">
        <v>9</v>
      </c>
      <c r="E1275" t="s">
        <v>379</v>
      </c>
      <c r="F1275">
        <v>0.53079999999999705</v>
      </c>
      <c r="G1275">
        <v>0</v>
      </c>
      <c r="H1275">
        <v>0</v>
      </c>
      <c r="I1275">
        <v>0.53576639999999998</v>
      </c>
      <c r="J1275">
        <v>2009</v>
      </c>
      <c r="K1275">
        <v>1</v>
      </c>
      <c r="L1275">
        <v>26</v>
      </c>
      <c r="M1275" t="s">
        <v>92</v>
      </c>
      <c r="N1275">
        <v>0</v>
      </c>
      <c r="O1275">
        <v>0</v>
      </c>
    </row>
    <row r="1276" spans="1:15" x14ac:dyDescent="0.3">
      <c r="A1276">
        <v>1371</v>
      </c>
      <c r="B1276" s="34">
        <v>39840</v>
      </c>
      <c r="C1276">
        <v>1.3206</v>
      </c>
      <c r="D1276">
        <v>-3</v>
      </c>
      <c r="F1276">
        <v>0.53309999999999702</v>
      </c>
      <c r="G1276">
        <v>0</v>
      </c>
      <c r="H1276">
        <v>1</v>
      </c>
      <c r="I1276">
        <v>0.53610500000000005</v>
      </c>
      <c r="J1276">
        <v>2009</v>
      </c>
      <c r="K1276">
        <v>1</v>
      </c>
      <c r="L1276">
        <v>27</v>
      </c>
      <c r="M1276" t="s">
        <v>93</v>
      </c>
      <c r="N1276">
        <v>0</v>
      </c>
      <c r="O1276">
        <v>0</v>
      </c>
    </row>
    <row r="1277" spans="1:15" x14ac:dyDescent="0.3">
      <c r="A1277">
        <v>1372</v>
      </c>
      <c r="B1277" s="34">
        <v>39841</v>
      </c>
      <c r="C1277">
        <v>1.3183</v>
      </c>
      <c r="D1277">
        <v>0</v>
      </c>
      <c r="F1277">
        <v>0.53309999999999702</v>
      </c>
      <c r="G1277">
        <v>0</v>
      </c>
      <c r="H1277">
        <v>1</v>
      </c>
      <c r="I1277">
        <v>0.53644320000000001</v>
      </c>
      <c r="J1277">
        <v>2009</v>
      </c>
      <c r="K1277">
        <v>1</v>
      </c>
      <c r="L1277">
        <v>28</v>
      </c>
      <c r="M1277" t="s">
        <v>89</v>
      </c>
      <c r="N1277">
        <v>0</v>
      </c>
      <c r="O1277">
        <v>0</v>
      </c>
    </row>
    <row r="1278" spans="1:15" x14ac:dyDescent="0.3">
      <c r="A1278">
        <v>1373</v>
      </c>
      <c r="B1278" s="34">
        <v>39842</v>
      </c>
      <c r="C1278">
        <v>1.3150999999999999</v>
      </c>
      <c r="D1278">
        <v>0</v>
      </c>
      <c r="F1278">
        <v>0.53309999999999702</v>
      </c>
      <c r="G1278">
        <v>0</v>
      </c>
      <c r="H1278">
        <v>1</v>
      </c>
      <c r="I1278">
        <v>0.53678079999999995</v>
      </c>
      <c r="J1278">
        <v>2009</v>
      </c>
      <c r="K1278">
        <v>1</v>
      </c>
      <c r="L1278">
        <v>29</v>
      </c>
      <c r="M1278" t="s">
        <v>90</v>
      </c>
      <c r="N1278">
        <v>0</v>
      </c>
      <c r="O1278">
        <v>0</v>
      </c>
    </row>
    <row r="1279" spans="1:15" x14ac:dyDescent="0.3">
      <c r="A1279">
        <v>1374</v>
      </c>
      <c r="B1279" s="34">
        <v>39843</v>
      </c>
      <c r="C1279">
        <v>1.2936000000000001</v>
      </c>
      <c r="D1279">
        <v>7</v>
      </c>
      <c r="E1279" t="s">
        <v>380</v>
      </c>
      <c r="F1279">
        <v>0.52069999999999705</v>
      </c>
      <c r="G1279">
        <v>2.32601763271435</v>
      </c>
      <c r="H1279">
        <v>0.5</v>
      </c>
      <c r="I1279">
        <v>0.53675399999999995</v>
      </c>
      <c r="J1279">
        <v>2009</v>
      </c>
      <c r="K1279">
        <v>1</v>
      </c>
      <c r="L1279">
        <v>30</v>
      </c>
      <c r="M1279" t="s">
        <v>91</v>
      </c>
      <c r="N1279">
        <v>0</v>
      </c>
      <c r="O1279">
        <v>0</v>
      </c>
    </row>
    <row r="1280" spans="1:15" x14ac:dyDescent="0.3">
      <c r="A1280">
        <v>1375</v>
      </c>
      <c r="B1280" s="34">
        <v>39846</v>
      </c>
      <c r="C1280">
        <v>1.2811999999999999</v>
      </c>
      <c r="D1280">
        <v>0</v>
      </c>
      <c r="F1280">
        <v>0.52069999999999705</v>
      </c>
      <c r="G1280">
        <v>2.32601763271435</v>
      </c>
      <c r="H1280">
        <v>0</v>
      </c>
      <c r="I1280">
        <v>0.5363637</v>
      </c>
      <c r="J1280">
        <v>2009</v>
      </c>
      <c r="K1280">
        <v>2</v>
      </c>
      <c r="L1280">
        <v>2</v>
      </c>
      <c r="M1280" t="s">
        <v>92</v>
      </c>
      <c r="N1280">
        <v>0</v>
      </c>
      <c r="O1280">
        <v>0</v>
      </c>
    </row>
    <row r="1281" spans="1:15" x14ac:dyDescent="0.3">
      <c r="A1281">
        <v>1376</v>
      </c>
      <c r="B1281" s="34">
        <v>39847</v>
      </c>
      <c r="C1281">
        <v>1.2814000000000001</v>
      </c>
      <c r="D1281">
        <v>0</v>
      </c>
      <c r="F1281">
        <v>0.52069999999999705</v>
      </c>
      <c r="G1281">
        <v>2.32601763271435</v>
      </c>
      <c r="H1281">
        <v>1</v>
      </c>
      <c r="I1281">
        <v>0.53670059999999997</v>
      </c>
      <c r="J1281">
        <v>2009</v>
      </c>
      <c r="K1281">
        <v>2</v>
      </c>
      <c r="L1281">
        <v>3</v>
      </c>
      <c r="M1281" t="s">
        <v>93</v>
      </c>
      <c r="N1281">
        <v>0</v>
      </c>
      <c r="O1281">
        <v>0</v>
      </c>
    </row>
    <row r="1282" spans="1:15" x14ac:dyDescent="0.3">
      <c r="A1282">
        <v>1377</v>
      </c>
      <c r="B1282" s="34">
        <v>39848</v>
      </c>
      <c r="C1282">
        <v>1.3015000000000001</v>
      </c>
      <c r="D1282">
        <v>-2</v>
      </c>
      <c r="F1282">
        <v>0.53889999999999705</v>
      </c>
      <c r="G1282">
        <v>0</v>
      </c>
      <c r="H1282">
        <v>1</v>
      </c>
      <c r="I1282">
        <v>0.53703699999999999</v>
      </c>
      <c r="J1282">
        <v>2009</v>
      </c>
      <c r="K1282">
        <v>2</v>
      </c>
      <c r="L1282">
        <v>4</v>
      </c>
      <c r="M1282" t="s">
        <v>89</v>
      </c>
      <c r="N1282">
        <v>0</v>
      </c>
      <c r="O1282">
        <v>0</v>
      </c>
    </row>
    <row r="1283" spans="1:15" x14ac:dyDescent="0.3">
      <c r="A1283">
        <v>1378</v>
      </c>
      <c r="B1283" s="34">
        <v>39849</v>
      </c>
      <c r="C1283">
        <v>1.2833000000000001</v>
      </c>
      <c r="D1283">
        <v>0</v>
      </c>
      <c r="F1283">
        <v>0.53889999999999705</v>
      </c>
      <c r="G1283">
        <v>0</v>
      </c>
      <c r="H1283">
        <v>0</v>
      </c>
      <c r="I1283">
        <v>0.53664730000000005</v>
      </c>
      <c r="J1283">
        <v>2009</v>
      </c>
      <c r="K1283">
        <v>2</v>
      </c>
      <c r="L1283">
        <v>5</v>
      </c>
      <c r="M1283" t="s">
        <v>90</v>
      </c>
      <c r="N1283">
        <v>0</v>
      </c>
      <c r="O1283">
        <v>0</v>
      </c>
    </row>
    <row r="1284" spans="1:15" x14ac:dyDescent="0.3">
      <c r="A1284">
        <v>1379</v>
      </c>
      <c r="B1284" s="34">
        <v>39850</v>
      </c>
      <c r="C1284">
        <v>1.2785</v>
      </c>
      <c r="D1284">
        <v>0</v>
      </c>
      <c r="F1284">
        <v>0.53889999999999705</v>
      </c>
      <c r="G1284">
        <v>0</v>
      </c>
      <c r="H1284">
        <v>0</v>
      </c>
      <c r="I1284">
        <v>0.53625820000000002</v>
      </c>
      <c r="J1284">
        <v>2009</v>
      </c>
      <c r="K1284">
        <v>2</v>
      </c>
      <c r="L1284">
        <v>6</v>
      </c>
      <c r="M1284" t="s">
        <v>91</v>
      </c>
      <c r="N1284">
        <v>0</v>
      </c>
      <c r="O1284">
        <v>0</v>
      </c>
    </row>
    <row r="1285" spans="1:15" x14ac:dyDescent="0.3">
      <c r="A1285">
        <v>1380</v>
      </c>
      <c r="B1285" s="34">
        <v>39853</v>
      </c>
      <c r="C1285">
        <v>1.2939000000000001</v>
      </c>
      <c r="D1285">
        <v>0</v>
      </c>
      <c r="F1285">
        <v>0.53889999999999705</v>
      </c>
      <c r="G1285">
        <v>0</v>
      </c>
      <c r="H1285">
        <v>1</v>
      </c>
      <c r="I1285">
        <v>0.53659420000000002</v>
      </c>
      <c r="J1285">
        <v>2009</v>
      </c>
      <c r="K1285">
        <v>2</v>
      </c>
      <c r="L1285">
        <v>9</v>
      </c>
      <c r="M1285" t="s">
        <v>92</v>
      </c>
      <c r="N1285">
        <v>0</v>
      </c>
      <c r="O1285">
        <v>0</v>
      </c>
    </row>
    <row r="1286" spans="1:15" x14ac:dyDescent="0.3">
      <c r="A1286">
        <v>1381</v>
      </c>
      <c r="B1286" s="34">
        <v>39854</v>
      </c>
      <c r="C1286">
        <v>1.2999000000000001</v>
      </c>
      <c r="D1286">
        <v>-2</v>
      </c>
      <c r="F1286">
        <v>0.54809999999999703</v>
      </c>
      <c r="G1286">
        <v>0</v>
      </c>
      <c r="H1286">
        <v>1</v>
      </c>
      <c r="I1286">
        <v>0.53692980000000001</v>
      </c>
      <c r="J1286">
        <v>2009</v>
      </c>
      <c r="K1286">
        <v>2</v>
      </c>
      <c r="L1286">
        <v>10</v>
      </c>
      <c r="M1286" t="s">
        <v>93</v>
      </c>
      <c r="N1286">
        <v>0</v>
      </c>
      <c r="O1286">
        <v>0</v>
      </c>
    </row>
    <row r="1287" spans="1:15" x14ac:dyDescent="0.3">
      <c r="A1287">
        <v>1382</v>
      </c>
      <c r="B1287" s="34">
        <v>39855</v>
      </c>
      <c r="C1287">
        <v>1.2907</v>
      </c>
      <c r="D1287">
        <v>1</v>
      </c>
      <c r="E1287" t="s">
        <v>381</v>
      </c>
      <c r="F1287">
        <v>0.54589999999999705</v>
      </c>
      <c r="G1287">
        <v>0.40138660828315698</v>
      </c>
      <c r="H1287">
        <v>1</v>
      </c>
      <c r="I1287">
        <v>0.53726479999999999</v>
      </c>
      <c r="J1287">
        <v>2009</v>
      </c>
      <c r="K1287">
        <v>2</v>
      </c>
      <c r="L1287">
        <v>11</v>
      </c>
      <c r="M1287" t="s">
        <v>89</v>
      </c>
      <c r="N1287">
        <v>0</v>
      </c>
      <c r="O1287">
        <v>0</v>
      </c>
    </row>
    <row r="1288" spans="1:15" x14ac:dyDescent="0.3">
      <c r="A1288">
        <v>1383</v>
      </c>
      <c r="B1288" s="34">
        <v>39856</v>
      </c>
      <c r="C1288">
        <v>1.2885</v>
      </c>
      <c r="D1288">
        <v>9</v>
      </c>
      <c r="E1288" t="s">
        <v>382</v>
      </c>
      <c r="F1288">
        <v>0.54689999999999706</v>
      </c>
      <c r="G1288">
        <v>0.21893814997260899</v>
      </c>
      <c r="H1288">
        <v>0</v>
      </c>
      <c r="I1288">
        <v>0.53687640000000003</v>
      </c>
      <c r="J1288">
        <v>2009</v>
      </c>
      <c r="K1288">
        <v>2</v>
      </c>
      <c r="L1288">
        <v>12</v>
      </c>
      <c r="M1288" t="s">
        <v>90</v>
      </c>
      <c r="N1288">
        <v>0</v>
      </c>
      <c r="O1288">
        <v>0</v>
      </c>
    </row>
    <row r="1289" spans="1:15" x14ac:dyDescent="0.3">
      <c r="A1289">
        <v>1384</v>
      </c>
      <c r="B1289" s="34">
        <v>39857</v>
      </c>
      <c r="C1289">
        <v>1.2895000000000001</v>
      </c>
      <c r="D1289">
        <v>-2</v>
      </c>
      <c r="F1289">
        <v>0.55019999999999802</v>
      </c>
      <c r="G1289">
        <v>0</v>
      </c>
      <c r="H1289">
        <v>1</v>
      </c>
      <c r="I1289">
        <v>0.53721099999999999</v>
      </c>
      <c r="J1289">
        <v>2009</v>
      </c>
      <c r="K1289">
        <v>2</v>
      </c>
      <c r="L1289">
        <v>13</v>
      </c>
      <c r="M1289" t="s">
        <v>91</v>
      </c>
      <c r="N1289">
        <v>0</v>
      </c>
      <c r="O1289">
        <v>0</v>
      </c>
    </row>
    <row r="1290" spans="1:15" x14ac:dyDescent="0.3">
      <c r="A1290">
        <v>1385</v>
      </c>
      <c r="B1290" s="34">
        <v>39860</v>
      </c>
      <c r="C1290">
        <v>1.2862</v>
      </c>
      <c r="D1290">
        <v>19</v>
      </c>
      <c r="E1290" t="s">
        <v>383</v>
      </c>
      <c r="F1290">
        <v>0.54359999999999797</v>
      </c>
      <c r="G1290">
        <v>1.19956379498363</v>
      </c>
      <c r="H1290">
        <v>0</v>
      </c>
      <c r="I1290">
        <v>0.5368231</v>
      </c>
      <c r="J1290">
        <v>2009</v>
      </c>
      <c r="K1290">
        <v>2</v>
      </c>
      <c r="L1290">
        <v>16</v>
      </c>
      <c r="M1290" t="s">
        <v>92</v>
      </c>
      <c r="N1290">
        <v>0</v>
      </c>
      <c r="O1290">
        <v>0</v>
      </c>
    </row>
    <row r="1291" spans="1:15" x14ac:dyDescent="0.3">
      <c r="A1291">
        <v>1386</v>
      </c>
      <c r="B1291" s="34">
        <v>39861</v>
      </c>
      <c r="C1291">
        <v>1.2796000000000001</v>
      </c>
      <c r="D1291">
        <v>1</v>
      </c>
      <c r="E1291" t="s">
        <v>384</v>
      </c>
      <c r="F1291">
        <v>0.52179999999999804</v>
      </c>
      <c r="G1291">
        <v>5.1617593602326499</v>
      </c>
      <c r="H1291">
        <v>0</v>
      </c>
      <c r="I1291">
        <v>0.53643580000000002</v>
      </c>
      <c r="J1291">
        <v>2009</v>
      </c>
      <c r="K1291">
        <v>2</v>
      </c>
      <c r="L1291">
        <v>17</v>
      </c>
      <c r="M1291" t="s">
        <v>93</v>
      </c>
      <c r="N1291">
        <v>0</v>
      </c>
      <c r="O1291">
        <v>0</v>
      </c>
    </row>
    <row r="1292" spans="1:15" x14ac:dyDescent="0.3">
      <c r="A1292">
        <v>1387</v>
      </c>
      <c r="B1292" s="34">
        <v>39862</v>
      </c>
      <c r="C1292">
        <v>1.2578</v>
      </c>
      <c r="D1292">
        <v>0</v>
      </c>
      <c r="F1292">
        <v>0.52179999999999804</v>
      </c>
      <c r="G1292">
        <v>5.1617593602326499</v>
      </c>
      <c r="H1292">
        <v>0</v>
      </c>
      <c r="I1292">
        <v>0.536049</v>
      </c>
      <c r="J1292">
        <v>2009</v>
      </c>
      <c r="K1292">
        <v>2</v>
      </c>
      <c r="L1292">
        <v>18</v>
      </c>
      <c r="M1292" t="s">
        <v>89</v>
      </c>
      <c r="N1292">
        <v>0</v>
      </c>
      <c r="O1292">
        <v>0</v>
      </c>
    </row>
    <row r="1293" spans="1:15" x14ac:dyDescent="0.3">
      <c r="A1293">
        <v>1388</v>
      </c>
      <c r="B1293" s="34">
        <v>39863</v>
      </c>
      <c r="C1293">
        <v>1.2554000000000001</v>
      </c>
      <c r="D1293">
        <v>0</v>
      </c>
      <c r="F1293">
        <v>0.52179999999999804</v>
      </c>
      <c r="G1293">
        <v>5.1617593602326499</v>
      </c>
      <c r="H1293">
        <v>0</v>
      </c>
      <c r="I1293">
        <v>0.53566279999999999</v>
      </c>
      <c r="J1293">
        <v>2009</v>
      </c>
      <c r="K1293">
        <v>2</v>
      </c>
      <c r="L1293">
        <v>19</v>
      </c>
      <c r="M1293" t="s">
        <v>90</v>
      </c>
      <c r="N1293">
        <v>0</v>
      </c>
      <c r="O1293">
        <v>0</v>
      </c>
    </row>
    <row r="1294" spans="1:15" x14ac:dyDescent="0.3">
      <c r="A1294">
        <v>1389</v>
      </c>
      <c r="B1294" s="34">
        <v>39864</v>
      </c>
      <c r="C1294">
        <v>1.2687999999999999</v>
      </c>
      <c r="D1294">
        <v>0</v>
      </c>
      <c r="F1294">
        <v>0.52179999999999804</v>
      </c>
      <c r="G1294">
        <v>5.1617593602326499</v>
      </c>
      <c r="H1294">
        <v>1</v>
      </c>
      <c r="I1294">
        <v>0.5359971</v>
      </c>
      <c r="J1294">
        <v>2009</v>
      </c>
      <c r="K1294">
        <v>2</v>
      </c>
      <c r="L1294">
        <v>20</v>
      </c>
      <c r="M1294" t="s">
        <v>91</v>
      </c>
      <c r="N1294">
        <v>0</v>
      </c>
      <c r="O1294">
        <v>0</v>
      </c>
    </row>
    <row r="1295" spans="1:15" x14ac:dyDescent="0.3">
      <c r="A1295">
        <v>1390</v>
      </c>
      <c r="B1295" s="34">
        <v>39867</v>
      </c>
      <c r="C1295">
        <v>1.2826</v>
      </c>
      <c r="D1295">
        <v>-2</v>
      </c>
      <c r="F1295">
        <v>0.53349999999999798</v>
      </c>
      <c r="G1295">
        <v>3.03525990548891</v>
      </c>
      <c r="H1295">
        <v>1</v>
      </c>
      <c r="I1295">
        <v>0.53633090000000005</v>
      </c>
      <c r="J1295">
        <v>2009</v>
      </c>
      <c r="K1295">
        <v>2</v>
      </c>
      <c r="L1295">
        <v>23</v>
      </c>
      <c r="M1295" t="s">
        <v>92</v>
      </c>
      <c r="N1295">
        <v>0</v>
      </c>
      <c r="O1295">
        <v>0</v>
      </c>
    </row>
    <row r="1296" spans="1:15" x14ac:dyDescent="0.3">
      <c r="A1296">
        <v>1391</v>
      </c>
      <c r="B1296" s="34">
        <v>39868</v>
      </c>
      <c r="C1296">
        <v>1.2708999999999999</v>
      </c>
      <c r="D1296">
        <v>0</v>
      </c>
      <c r="F1296">
        <v>0.53349999999999798</v>
      </c>
      <c r="G1296">
        <v>3.03525990548891</v>
      </c>
      <c r="H1296">
        <v>1</v>
      </c>
      <c r="I1296">
        <v>0.53666420000000004</v>
      </c>
      <c r="J1296">
        <v>2009</v>
      </c>
      <c r="K1296">
        <v>2</v>
      </c>
      <c r="L1296">
        <v>24</v>
      </c>
      <c r="M1296" t="s">
        <v>93</v>
      </c>
      <c r="N1296">
        <v>0</v>
      </c>
      <c r="O1296">
        <v>0</v>
      </c>
    </row>
    <row r="1297" spans="1:15" x14ac:dyDescent="0.3">
      <c r="A1297">
        <v>1392</v>
      </c>
      <c r="B1297" s="34">
        <v>39869</v>
      </c>
      <c r="C1297">
        <v>1.2868999999999999</v>
      </c>
      <c r="D1297">
        <v>-4</v>
      </c>
      <c r="F1297">
        <v>0.548399999999998</v>
      </c>
      <c r="G1297">
        <v>0.32715376226827098</v>
      </c>
      <c r="H1297">
        <v>1</v>
      </c>
      <c r="I1297">
        <v>0.5369971</v>
      </c>
      <c r="J1297">
        <v>2009</v>
      </c>
      <c r="K1297">
        <v>2</v>
      </c>
      <c r="L1297">
        <v>25</v>
      </c>
      <c r="M1297" t="s">
        <v>89</v>
      </c>
      <c r="N1297">
        <v>0</v>
      </c>
      <c r="O1297">
        <v>0</v>
      </c>
    </row>
    <row r="1298" spans="1:15" x14ac:dyDescent="0.3">
      <c r="A1298">
        <v>1393</v>
      </c>
      <c r="B1298" s="34">
        <v>39870</v>
      </c>
      <c r="C1298">
        <v>1.272</v>
      </c>
      <c r="D1298">
        <v>0</v>
      </c>
      <c r="F1298">
        <v>0.548399999999998</v>
      </c>
      <c r="G1298">
        <v>0.32715376226827098</v>
      </c>
      <c r="H1298">
        <v>1</v>
      </c>
      <c r="I1298">
        <v>0.53732950000000002</v>
      </c>
      <c r="J1298">
        <v>2009</v>
      </c>
      <c r="K1298">
        <v>2</v>
      </c>
      <c r="L1298">
        <v>26</v>
      </c>
      <c r="M1298" t="s">
        <v>90</v>
      </c>
      <c r="N1298">
        <v>0</v>
      </c>
      <c r="O1298">
        <v>0</v>
      </c>
    </row>
    <row r="1299" spans="1:15" x14ac:dyDescent="0.3">
      <c r="A1299">
        <v>1394</v>
      </c>
      <c r="B1299" s="34">
        <v>39871</v>
      </c>
      <c r="C1299">
        <v>1.2733000000000001</v>
      </c>
      <c r="D1299">
        <v>-1</v>
      </c>
      <c r="F1299">
        <v>0.55509999999999804</v>
      </c>
      <c r="G1299">
        <v>0</v>
      </c>
      <c r="H1299">
        <v>1</v>
      </c>
      <c r="I1299">
        <v>0.53766139999999996</v>
      </c>
      <c r="J1299">
        <v>2009</v>
      </c>
      <c r="K1299">
        <v>2</v>
      </c>
      <c r="L1299">
        <v>27</v>
      </c>
      <c r="M1299" t="s">
        <v>91</v>
      </c>
      <c r="N1299">
        <v>0</v>
      </c>
      <c r="O1299">
        <v>0</v>
      </c>
    </row>
    <row r="1300" spans="1:15" x14ac:dyDescent="0.3">
      <c r="A1300">
        <v>1395</v>
      </c>
      <c r="B1300" s="34">
        <v>39874</v>
      </c>
      <c r="C1300">
        <v>1.2665999999999999</v>
      </c>
      <c r="D1300">
        <v>0</v>
      </c>
      <c r="F1300">
        <v>0.55509999999999804</v>
      </c>
      <c r="G1300">
        <v>0</v>
      </c>
      <c r="H1300">
        <v>0</v>
      </c>
      <c r="I1300">
        <v>0.53727599999999998</v>
      </c>
      <c r="J1300">
        <v>2009</v>
      </c>
      <c r="K1300">
        <v>3</v>
      </c>
      <c r="L1300">
        <v>2</v>
      </c>
      <c r="M1300" t="s">
        <v>92</v>
      </c>
      <c r="N1300">
        <v>0</v>
      </c>
      <c r="O1300">
        <v>0</v>
      </c>
    </row>
    <row r="1301" spans="1:15" x14ac:dyDescent="0.3">
      <c r="A1301">
        <v>1396</v>
      </c>
      <c r="B1301" s="34">
        <v>39875</v>
      </c>
      <c r="C1301">
        <v>1.2556</v>
      </c>
      <c r="D1301">
        <v>0</v>
      </c>
      <c r="F1301">
        <v>0.55509999999999804</v>
      </c>
      <c r="G1301">
        <v>0</v>
      </c>
      <c r="H1301">
        <v>0</v>
      </c>
      <c r="I1301">
        <v>0.53689109999999995</v>
      </c>
      <c r="J1301">
        <v>2009</v>
      </c>
      <c r="K1301">
        <v>3</v>
      </c>
      <c r="L1301">
        <v>3</v>
      </c>
      <c r="M1301" t="s">
        <v>93</v>
      </c>
      <c r="N1301">
        <v>0</v>
      </c>
      <c r="O1301">
        <v>0</v>
      </c>
    </row>
    <row r="1302" spans="1:15" x14ac:dyDescent="0.3">
      <c r="A1302">
        <v>1397</v>
      </c>
      <c r="B1302" s="34">
        <v>39876</v>
      </c>
      <c r="C1302">
        <v>1.2542</v>
      </c>
      <c r="D1302">
        <v>0</v>
      </c>
      <c r="F1302">
        <v>0.55509999999999804</v>
      </c>
      <c r="G1302">
        <v>0</v>
      </c>
      <c r="H1302">
        <v>0</v>
      </c>
      <c r="I1302">
        <v>0.53650679999999995</v>
      </c>
      <c r="J1302">
        <v>2009</v>
      </c>
      <c r="K1302">
        <v>3</v>
      </c>
      <c r="L1302">
        <v>4</v>
      </c>
      <c r="M1302" t="s">
        <v>89</v>
      </c>
      <c r="N1302">
        <v>0</v>
      </c>
      <c r="O1302">
        <v>0</v>
      </c>
    </row>
    <row r="1303" spans="1:15" x14ac:dyDescent="0.3">
      <c r="A1303">
        <v>1398</v>
      </c>
      <c r="B1303" s="34">
        <v>39877</v>
      </c>
      <c r="C1303">
        <v>1.2647999999999999</v>
      </c>
      <c r="D1303">
        <v>-2</v>
      </c>
      <c r="F1303">
        <v>0.56579999999999797</v>
      </c>
      <c r="G1303">
        <v>0</v>
      </c>
      <c r="H1303">
        <v>1</v>
      </c>
      <c r="I1303">
        <v>0.53683840000000005</v>
      </c>
      <c r="J1303">
        <v>2009</v>
      </c>
      <c r="K1303">
        <v>3</v>
      </c>
      <c r="L1303">
        <v>5</v>
      </c>
      <c r="M1303" t="s">
        <v>90</v>
      </c>
      <c r="N1303">
        <v>0</v>
      </c>
      <c r="O1303">
        <v>0</v>
      </c>
    </row>
    <row r="1304" spans="1:15" x14ac:dyDescent="0.3">
      <c r="A1304">
        <v>1399</v>
      </c>
      <c r="B1304" s="34">
        <v>39878</v>
      </c>
      <c r="C1304">
        <v>1.2541</v>
      </c>
      <c r="D1304">
        <v>0</v>
      </c>
      <c r="F1304">
        <v>0.56579999999999797</v>
      </c>
      <c r="G1304">
        <v>0</v>
      </c>
      <c r="H1304">
        <v>1</v>
      </c>
      <c r="I1304">
        <v>0.53716940000000002</v>
      </c>
      <c r="J1304">
        <v>2009</v>
      </c>
      <c r="K1304">
        <v>3</v>
      </c>
      <c r="L1304">
        <v>6</v>
      </c>
      <c r="M1304" t="s">
        <v>91</v>
      </c>
      <c r="N1304">
        <v>0</v>
      </c>
      <c r="O1304">
        <v>0</v>
      </c>
    </row>
    <row r="1305" spans="1:15" x14ac:dyDescent="0.3">
      <c r="A1305">
        <v>1400</v>
      </c>
      <c r="B1305" s="34">
        <v>39881</v>
      </c>
      <c r="C1305">
        <v>1.2653000000000001</v>
      </c>
      <c r="D1305">
        <v>0</v>
      </c>
      <c r="F1305">
        <v>0.56579999999999797</v>
      </c>
      <c r="G1305">
        <v>0</v>
      </c>
      <c r="H1305">
        <v>1</v>
      </c>
      <c r="I1305">
        <v>0.53749999999999998</v>
      </c>
      <c r="J1305">
        <v>2009</v>
      </c>
      <c r="K1305">
        <v>3</v>
      </c>
      <c r="L1305">
        <v>9</v>
      </c>
      <c r="M1305" t="s">
        <v>92</v>
      </c>
      <c r="N1305">
        <v>0</v>
      </c>
      <c r="O1305">
        <v>0</v>
      </c>
    </row>
    <row r="1306" spans="1:15" x14ac:dyDescent="0.3">
      <c r="A1306">
        <v>1401</v>
      </c>
      <c r="B1306" s="34">
        <v>39882</v>
      </c>
      <c r="C1306">
        <v>1.2591000000000001</v>
      </c>
      <c r="D1306">
        <v>0</v>
      </c>
      <c r="F1306">
        <v>0.56579999999999797</v>
      </c>
      <c r="G1306">
        <v>0</v>
      </c>
      <c r="H1306">
        <v>1</v>
      </c>
      <c r="I1306">
        <v>0.53783009999999998</v>
      </c>
      <c r="J1306">
        <v>2009</v>
      </c>
      <c r="K1306">
        <v>3</v>
      </c>
      <c r="L1306">
        <v>10</v>
      </c>
      <c r="M1306" t="s">
        <v>93</v>
      </c>
      <c r="N1306">
        <v>0</v>
      </c>
      <c r="O1306">
        <v>0</v>
      </c>
    </row>
    <row r="1307" spans="1:15" x14ac:dyDescent="0.3">
      <c r="A1307">
        <v>1402</v>
      </c>
      <c r="B1307" s="34">
        <v>39883</v>
      </c>
      <c r="C1307">
        <v>1.2704</v>
      </c>
      <c r="D1307">
        <v>-8</v>
      </c>
      <c r="F1307">
        <v>0.55399999999999805</v>
      </c>
      <c r="G1307">
        <v>2.0855425945563901</v>
      </c>
      <c r="H1307">
        <v>1</v>
      </c>
      <c r="I1307">
        <v>0.53815979999999997</v>
      </c>
      <c r="J1307">
        <v>2009</v>
      </c>
      <c r="K1307">
        <v>3</v>
      </c>
      <c r="L1307">
        <v>11</v>
      </c>
      <c r="M1307" t="s">
        <v>89</v>
      </c>
      <c r="N1307">
        <v>0</v>
      </c>
      <c r="O1307">
        <v>0</v>
      </c>
    </row>
    <row r="1308" spans="1:15" x14ac:dyDescent="0.3">
      <c r="A1308">
        <v>1403</v>
      </c>
      <c r="B1308" s="34">
        <v>39884</v>
      </c>
      <c r="C1308">
        <v>1.2822</v>
      </c>
      <c r="D1308">
        <v>0</v>
      </c>
      <c r="F1308">
        <v>0.55399999999999805</v>
      </c>
      <c r="G1308">
        <v>2.0855425945563901</v>
      </c>
      <c r="H1308">
        <v>0</v>
      </c>
      <c r="I1308">
        <v>0.53777620000000004</v>
      </c>
      <c r="J1308">
        <v>2009</v>
      </c>
      <c r="K1308">
        <v>3</v>
      </c>
      <c r="L1308">
        <v>12</v>
      </c>
      <c r="M1308" t="s">
        <v>90</v>
      </c>
      <c r="N1308">
        <v>0</v>
      </c>
      <c r="O1308">
        <v>0</v>
      </c>
    </row>
    <row r="1309" spans="1:15" x14ac:dyDescent="0.3">
      <c r="A1309">
        <v>1404</v>
      </c>
      <c r="B1309" s="34">
        <v>39885</v>
      </c>
      <c r="C1309">
        <v>1.2887</v>
      </c>
      <c r="D1309">
        <v>0</v>
      </c>
      <c r="F1309">
        <v>0.55399999999999805</v>
      </c>
      <c r="G1309">
        <v>2.0855425945563901</v>
      </c>
      <c r="H1309">
        <v>0</v>
      </c>
      <c r="I1309">
        <v>0.53739320000000002</v>
      </c>
      <c r="J1309">
        <v>2009</v>
      </c>
      <c r="K1309">
        <v>3</v>
      </c>
      <c r="L1309">
        <v>13</v>
      </c>
      <c r="M1309" t="s">
        <v>91</v>
      </c>
      <c r="N1309">
        <v>0</v>
      </c>
      <c r="O1309">
        <v>0</v>
      </c>
    </row>
    <row r="1310" spans="1:15" x14ac:dyDescent="0.3">
      <c r="A1310">
        <v>1405</v>
      </c>
      <c r="B1310" s="34">
        <v>39888</v>
      </c>
      <c r="C1310">
        <v>1.2928999999999999</v>
      </c>
      <c r="D1310">
        <v>1</v>
      </c>
      <c r="E1310" t="s">
        <v>385</v>
      </c>
      <c r="F1310">
        <v>0.55819999999999803</v>
      </c>
      <c r="G1310">
        <v>1.3432308236125901</v>
      </c>
      <c r="H1310">
        <v>0</v>
      </c>
      <c r="I1310">
        <v>0.53701069999999995</v>
      </c>
      <c r="J1310">
        <v>2009</v>
      </c>
      <c r="K1310">
        <v>3</v>
      </c>
      <c r="L1310">
        <v>16</v>
      </c>
      <c r="M1310" t="s">
        <v>92</v>
      </c>
      <c r="N1310">
        <v>0</v>
      </c>
      <c r="O1310">
        <v>0</v>
      </c>
    </row>
    <row r="1311" spans="1:15" x14ac:dyDescent="0.3">
      <c r="A1311">
        <v>1406</v>
      </c>
      <c r="B1311" s="34">
        <v>39889</v>
      </c>
      <c r="C1311">
        <v>1.2970999999999999</v>
      </c>
      <c r="D1311">
        <v>2</v>
      </c>
      <c r="E1311" t="s">
        <v>386</v>
      </c>
      <c r="F1311">
        <v>0.56469999999999798</v>
      </c>
      <c r="G1311">
        <v>0.19441498762811599</v>
      </c>
      <c r="H1311">
        <v>0</v>
      </c>
      <c r="I1311">
        <v>0.53662869999999996</v>
      </c>
      <c r="J1311">
        <v>2009</v>
      </c>
      <c r="K1311">
        <v>3</v>
      </c>
      <c r="L1311">
        <v>17</v>
      </c>
      <c r="M1311" t="s">
        <v>93</v>
      </c>
      <c r="N1311">
        <v>0</v>
      </c>
      <c r="O1311">
        <v>0</v>
      </c>
    </row>
    <row r="1312" spans="1:15" x14ac:dyDescent="0.3">
      <c r="A1312">
        <v>1407</v>
      </c>
      <c r="B1312" s="34">
        <v>39890</v>
      </c>
      <c r="C1312">
        <v>1.3036000000000001</v>
      </c>
      <c r="D1312">
        <v>-1</v>
      </c>
      <c r="F1312">
        <v>0.519199999999998</v>
      </c>
      <c r="G1312">
        <v>8.23612583951925</v>
      </c>
      <c r="H1312">
        <v>0</v>
      </c>
      <c r="I1312">
        <v>0.53624729999999998</v>
      </c>
      <c r="J1312">
        <v>2009</v>
      </c>
      <c r="K1312">
        <v>3</v>
      </c>
      <c r="L1312">
        <v>18</v>
      </c>
      <c r="M1312" t="s">
        <v>89</v>
      </c>
      <c r="N1312">
        <v>0</v>
      </c>
      <c r="O1312">
        <v>0</v>
      </c>
    </row>
    <row r="1313" spans="1:15" x14ac:dyDescent="0.3">
      <c r="A1313">
        <v>1408</v>
      </c>
      <c r="B1313" s="34">
        <v>39891</v>
      </c>
      <c r="C1313">
        <v>1.3491</v>
      </c>
      <c r="D1313">
        <v>-1</v>
      </c>
      <c r="F1313">
        <v>0.50279999999999803</v>
      </c>
      <c r="G1313">
        <v>11.1346765641569</v>
      </c>
      <c r="H1313">
        <v>0</v>
      </c>
      <c r="I1313">
        <v>0.53586650000000002</v>
      </c>
      <c r="J1313">
        <v>2009</v>
      </c>
      <c r="K1313">
        <v>3</v>
      </c>
      <c r="L1313">
        <v>19</v>
      </c>
      <c r="M1313" t="s">
        <v>90</v>
      </c>
      <c r="N1313">
        <v>0</v>
      </c>
      <c r="O1313">
        <v>0</v>
      </c>
    </row>
    <row r="1314" spans="1:15" x14ac:dyDescent="0.3">
      <c r="A1314">
        <v>1409</v>
      </c>
      <c r="B1314" s="34">
        <v>39892</v>
      </c>
      <c r="C1314">
        <v>1.3654999999999999</v>
      </c>
      <c r="D1314">
        <v>0</v>
      </c>
      <c r="F1314">
        <v>0.50279999999999803</v>
      </c>
      <c r="G1314">
        <v>11.1346765641569</v>
      </c>
      <c r="H1314">
        <v>0</v>
      </c>
      <c r="I1314">
        <v>0.53548620000000002</v>
      </c>
      <c r="J1314">
        <v>2009</v>
      </c>
      <c r="K1314">
        <v>3</v>
      </c>
      <c r="L1314">
        <v>20</v>
      </c>
      <c r="M1314" t="s">
        <v>91</v>
      </c>
      <c r="N1314">
        <v>0</v>
      </c>
      <c r="O1314">
        <v>0</v>
      </c>
    </row>
    <row r="1315" spans="1:15" x14ac:dyDescent="0.3">
      <c r="A1315">
        <v>1410</v>
      </c>
      <c r="B1315" s="34">
        <v>39895</v>
      </c>
      <c r="C1315">
        <v>1.3581099999999999</v>
      </c>
      <c r="D1315">
        <v>0</v>
      </c>
      <c r="F1315">
        <v>0.50279999999999803</v>
      </c>
      <c r="G1315">
        <v>11.1346765641569</v>
      </c>
      <c r="H1315">
        <v>1</v>
      </c>
      <c r="I1315">
        <v>0.53581559999999995</v>
      </c>
      <c r="J1315">
        <v>2009</v>
      </c>
      <c r="K1315">
        <v>3</v>
      </c>
      <c r="L1315">
        <v>23</v>
      </c>
      <c r="M1315" t="s">
        <v>92</v>
      </c>
      <c r="N1315">
        <v>0</v>
      </c>
      <c r="O1315">
        <v>0</v>
      </c>
    </row>
    <row r="1316" spans="1:15" x14ac:dyDescent="0.3">
      <c r="A1316">
        <v>1411</v>
      </c>
      <c r="B1316" s="34">
        <v>39896</v>
      </c>
      <c r="C1316">
        <v>1.36216</v>
      </c>
      <c r="D1316">
        <v>0</v>
      </c>
      <c r="F1316">
        <v>0.50279999999999803</v>
      </c>
      <c r="G1316">
        <v>11.1346765641569</v>
      </c>
      <c r="H1316">
        <v>0</v>
      </c>
      <c r="I1316">
        <v>0.53543589999999996</v>
      </c>
      <c r="J1316">
        <v>2009</v>
      </c>
      <c r="K1316">
        <v>3</v>
      </c>
      <c r="L1316">
        <v>24</v>
      </c>
      <c r="M1316" t="s">
        <v>93</v>
      </c>
      <c r="N1316">
        <v>0</v>
      </c>
      <c r="O1316">
        <v>0</v>
      </c>
    </row>
    <row r="1317" spans="1:15" x14ac:dyDescent="0.3">
      <c r="A1317">
        <v>1412</v>
      </c>
      <c r="B1317" s="34">
        <v>39897</v>
      </c>
      <c r="C1317">
        <v>1.3492</v>
      </c>
      <c r="D1317">
        <v>0</v>
      </c>
      <c r="F1317">
        <v>0.50279999999999803</v>
      </c>
      <c r="G1317">
        <v>11.1346765641569</v>
      </c>
      <c r="H1317">
        <v>1</v>
      </c>
      <c r="I1317">
        <v>0.53576489999999999</v>
      </c>
      <c r="J1317">
        <v>2009</v>
      </c>
      <c r="K1317">
        <v>3</v>
      </c>
      <c r="L1317">
        <v>25</v>
      </c>
      <c r="M1317" t="s">
        <v>89</v>
      </c>
      <c r="N1317">
        <v>0</v>
      </c>
      <c r="O1317">
        <v>0</v>
      </c>
    </row>
    <row r="1318" spans="1:15" x14ac:dyDescent="0.3">
      <c r="A1318">
        <v>1413</v>
      </c>
      <c r="B1318" s="34">
        <v>39898</v>
      </c>
      <c r="C1318">
        <v>1.35792</v>
      </c>
      <c r="D1318">
        <v>0</v>
      </c>
      <c r="F1318">
        <v>0.50279999999999803</v>
      </c>
      <c r="G1318">
        <v>11.1346765641569</v>
      </c>
      <c r="H1318">
        <v>1</v>
      </c>
      <c r="I1318">
        <v>0.53609340000000005</v>
      </c>
      <c r="J1318">
        <v>2009</v>
      </c>
      <c r="K1318">
        <v>3</v>
      </c>
      <c r="L1318">
        <v>26</v>
      </c>
      <c r="M1318" t="s">
        <v>90</v>
      </c>
      <c r="N1318">
        <v>0</v>
      </c>
      <c r="O1318">
        <v>0</v>
      </c>
    </row>
    <row r="1319" spans="1:15" x14ac:dyDescent="0.3">
      <c r="A1319">
        <v>1414</v>
      </c>
      <c r="B1319" s="34">
        <v>39899</v>
      </c>
      <c r="C1319">
        <v>1.3532599999999999</v>
      </c>
      <c r="D1319">
        <v>0</v>
      </c>
      <c r="F1319">
        <v>0.50279999999999803</v>
      </c>
      <c r="G1319">
        <v>11.1346765641569</v>
      </c>
      <c r="H1319">
        <v>1</v>
      </c>
      <c r="I1319">
        <v>0.5364215</v>
      </c>
      <c r="J1319">
        <v>2009</v>
      </c>
      <c r="K1319">
        <v>3</v>
      </c>
      <c r="L1319">
        <v>27</v>
      </c>
      <c r="M1319" t="s">
        <v>91</v>
      </c>
      <c r="N1319">
        <v>0</v>
      </c>
      <c r="O1319">
        <v>0</v>
      </c>
    </row>
    <row r="1320" spans="1:15" x14ac:dyDescent="0.3">
      <c r="A1320">
        <v>1415</v>
      </c>
      <c r="B1320" s="34">
        <v>39902</v>
      </c>
      <c r="C1320">
        <v>1.32866</v>
      </c>
      <c r="D1320">
        <v>0</v>
      </c>
      <c r="F1320">
        <v>0.50279999999999803</v>
      </c>
      <c r="G1320">
        <v>11.1346765641569</v>
      </c>
      <c r="H1320">
        <v>0</v>
      </c>
      <c r="I1320">
        <v>0.53604240000000003</v>
      </c>
      <c r="J1320">
        <v>2009</v>
      </c>
      <c r="K1320">
        <v>3</v>
      </c>
      <c r="L1320">
        <v>30</v>
      </c>
      <c r="M1320" t="s">
        <v>92</v>
      </c>
      <c r="N1320">
        <v>0</v>
      </c>
      <c r="O1320">
        <v>0</v>
      </c>
    </row>
    <row r="1321" spans="1:15" x14ac:dyDescent="0.3">
      <c r="A1321">
        <v>1416</v>
      </c>
      <c r="B1321" s="34">
        <v>39903</v>
      </c>
      <c r="C1321">
        <v>1.32016</v>
      </c>
      <c r="D1321">
        <v>0</v>
      </c>
      <c r="F1321">
        <v>0.50279999999999803</v>
      </c>
      <c r="G1321">
        <v>11.1346765641569</v>
      </c>
      <c r="H1321">
        <v>0</v>
      </c>
      <c r="I1321">
        <v>0.53566380000000002</v>
      </c>
      <c r="J1321">
        <v>2009</v>
      </c>
      <c r="K1321">
        <v>3</v>
      </c>
      <c r="L1321">
        <v>31</v>
      </c>
      <c r="M1321" t="s">
        <v>93</v>
      </c>
      <c r="N1321">
        <v>0</v>
      </c>
      <c r="O1321">
        <v>0</v>
      </c>
    </row>
    <row r="1322" spans="1:15" x14ac:dyDescent="0.3">
      <c r="A1322">
        <v>1417</v>
      </c>
      <c r="B1322" s="34">
        <v>39904</v>
      </c>
      <c r="C1322">
        <v>1.32426</v>
      </c>
      <c r="D1322">
        <v>0</v>
      </c>
      <c r="F1322">
        <v>0.50279999999999803</v>
      </c>
      <c r="G1322">
        <v>11.1346765641569</v>
      </c>
      <c r="H1322">
        <v>1</v>
      </c>
      <c r="I1322">
        <v>0.53599149999999995</v>
      </c>
      <c r="J1322">
        <v>2009</v>
      </c>
      <c r="K1322">
        <v>4</v>
      </c>
      <c r="L1322">
        <v>1</v>
      </c>
      <c r="M1322" t="s">
        <v>89</v>
      </c>
      <c r="N1322">
        <v>0</v>
      </c>
      <c r="O1322">
        <v>0</v>
      </c>
    </row>
    <row r="1323" spans="1:15" x14ac:dyDescent="0.3">
      <c r="A1323">
        <v>1418</v>
      </c>
      <c r="B1323" s="34">
        <v>39905</v>
      </c>
      <c r="C1323">
        <v>1.32331</v>
      </c>
      <c r="D1323">
        <v>0</v>
      </c>
      <c r="F1323">
        <v>0.50279999999999803</v>
      </c>
      <c r="G1323">
        <v>11.1346765641569</v>
      </c>
      <c r="H1323">
        <v>0</v>
      </c>
      <c r="I1323">
        <v>0.53561349999999996</v>
      </c>
      <c r="J1323">
        <v>2009</v>
      </c>
      <c r="K1323">
        <v>4</v>
      </c>
      <c r="L1323">
        <v>2</v>
      </c>
      <c r="M1323" t="s">
        <v>90</v>
      </c>
      <c r="N1323">
        <v>0</v>
      </c>
      <c r="O1323">
        <v>0</v>
      </c>
    </row>
    <row r="1324" spans="1:15" x14ac:dyDescent="0.3">
      <c r="A1324">
        <v>1419</v>
      </c>
      <c r="B1324" s="34">
        <v>39906</v>
      </c>
      <c r="C1324">
        <v>1.3464400000000001</v>
      </c>
      <c r="D1324">
        <v>0</v>
      </c>
      <c r="F1324">
        <v>0.50279999999999803</v>
      </c>
      <c r="G1324">
        <v>11.1346765641569</v>
      </c>
      <c r="H1324">
        <v>1</v>
      </c>
      <c r="I1324">
        <v>0.53594079999999999</v>
      </c>
      <c r="J1324">
        <v>2009</v>
      </c>
      <c r="K1324">
        <v>4</v>
      </c>
      <c r="L1324">
        <v>3</v>
      </c>
      <c r="M1324" t="s">
        <v>91</v>
      </c>
      <c r="N1324">
        <v>0</v>
      </c>
      <c r="O1324">
        <v>0</v>
      </c>
    </row>
    <row r="1325" spans="1:15" x14ac:dyDescent="0.3">
      <c r="A1325">
        <v>1420</v>
      </c>
      <c r="B1325" s="34">
        <v>39909</v>
      </c>
      <c r="C1325">
        <v>1.34849</v>
      </c>
      <c r="D1325">
        <v>0</v>
      </c>
      <c r="F1325">
        <v>0.50279999999999803</v>
      </c>
      <c r="G1325">
        <v>11.1346765641569</v>
      </c>
      <c r="H1325">
        <v>0</v>
      </c>
      <c r="I1325">
        <v>0.53556340000000002</v>
      </c>
      <c r="J1325">
        <v>2009</v>
      </c>
      <c r="K1325">
        <v>4</v>
      </c>
      <c r="L1325">
        <v>6</v>
      </c>
      <c r="M1325" t="s">
        <v>92</v>
      </c>
      <c r="N1325">
        <v>0</v>
      </c>
      <c r="O1325">
        <v>0</v>
      </c>
    </row>
    <row r="1326" spans="1:15" x14ac:dyDescent="0.3">
      <c r="A1326">
        <v>1421</v>
      </c>
      <c r="B1326" s="34">
        <v>39910</v>
      </c>
      <c r="C1326">
        <v>1.33996</v>
      </c>
      <c r="D1326">
        <v>0</v>
      </c>
      <c r="F1326">
        <v>0.50279999999999803</v>
      </c>
      <c r="G1326">
        <v>11.1346765641569</v>
      </c>
      <c r="H1326">
        <v>1</v>
      </c>
      <c r="I1326">
        <v>0.53589019999999998</v>
      </c>
      <c r="J1326">
        <v>2009</v>
      </c>
      <c r="K1326">
        <v>4</v>
      </c>
      <c r="L1326">
        <v>7</v>
      </c>
      <c r="M1326" t="s">
        <v>93</v>
      </c>
      <c r="N1326">
        <v>0</v>
      </c>
      <c r="O1326">
        <v>0</v>
      </c>
    </row>
    <row r="1327" spans="1:15" x14ac:dyDescent="0.3">
      <c r="A1327">
        <v>1422</v>
      </c>
      <c r="B1327" s="34">
        <v>39911</v>
      </c>
      <c r="C1327">
        <v>1.3267100000000001</v>
      </c>
      <c r="D1327">
        <v>0</v>
      </c>
      <c r="F1327">
        <v>0.50279999999999803</v>
      </c>
      <c r="G1327">
        <v>11.1346765641569</v>
      </c>
      <c r="H1327">
        <v>0</v>
      </c>
      <c r="I1327">
        <v>0.53551329999999997</v>
      </c>
      <c r="J1327">
        <v>2009</v>
      </c>
      <c r="K1327">
        <v>4</v>
      </c>
      <c r="L1327">
        <v>8</v>
      </c>
      <c r="M1327" t="s">
        <v>89</v>
      </c>
      <c r="N1327">
        <v>0</v>
      </c>
      <c r="O1327">
        <v>0</v>
      </c>
    </row>
    <row r="1328" spans="1:15" x14ac:dyDescent="0.3">
      <c r="A1328">
        <v>1423</v>
      </c>
      <c r="B1328" s="34">
        <v>39912</v>
      </c>
      <c r="C1328">
        <v>1.3265800000000001</v>
      </c>
      <c r="D1328">
        <v>0</v>
      </c>
      <c r="F1328">
        <v>0.50279999999999803</v>
      </c>
      <c r="G1328">
        <v>11.1346765641569</v>
      </c>
      <c r="H1328">
        <v>0</v>
      </c>
      <c r="I1328">
        <v>0.53513710000000003</v>
      </c>
      <c r="J1328">
        <v>2009</v>
      </c>
      <c r="K1328">
        <v>4</v>
      </c>
      <c r="L1328">
        <v>9</v>
      </c>
      <c r="M1328" t="s">
        <v>90</v>
      </c>
      <c r="N1328">
        <v>0</v>
      </c>
      <c r="O1328">
        <v>0</v>
      </c>
    </row>
    <row r="1329" spans="1:15" x14ac:dyDescent="0.3">
      <c r="A1329">
        <v>1424</v>
      </c>
      <c r="B1329" s="34">
        <v>39913</v>
      </c>
      <c r="C1329">
        <v>1.3157099999999999</v>
      </c>
      <c r="D1329">
        <v>0</v>
      </c>
      <c r="F1329">
        <v>0.50279999999999803</v>
      </c>
      <c r="G1329">
        <v>11.1346765641569</v>
      </c>
      <c r="H1329">
        <v>0</v>
      </c>
      <c r="I1329">
        <v>0.53476129999999999</v>
      </c>
      <c r="J1329">
        <v>2009</v>
      </c>
      <c r="K1329">
        <v>4</v>
      </c>
      <c r="L1329">
        <v>10</v>
      </c>
      <c r="M1329" t="s">
        <v>91</v>
      </c>
      <c r="N1329">
        <v>0</v>
      </c>
      <c r="O1329">
        <v>0</v>
      </c>
    </row>
    <row r="1330" spans="1:15" x14ac:dyDescent="0.3">
      <c r="A1330">
        <v>1425</v>
      </c>
      <c r="B1330" s="34">
        <v>39916</v>
      </c>
      <c r="C1330">
        <v>1.3186599999999999</v>
      </c>
      <c r="D1330">
        <v>0</v>
      </c>
      <c r="F1330">
        <v>0.50279999999999803</v>
      </c>
      <c r="G1330">
        <v>11.1346765641569</v>
      </c>
      <c r="H1330">
        <v>1</v>
      </c>
      <c r="I1330">
        <v>0.53508770000000005</v>
      </c>
      <c r="J1330">
        <v>2009</v>
      </c>
      <c r="K1330">
        <v>4</v>
      </c>
      <c r="L1330">
        <v>13</v>
      </c>
      <c r="M1330" t="s">
        <v>92</v>
      </c>
      <c r="N1330">
        <v>0</v>
      </c>
      <c r="O1330">
        <v>0</v>
      </c>
    </row>
    <row r="1331" spans="1:15" x14ac:dyDescent="0.3">
      <c r="A1331">
        <v>1426</v>
      </c>
      <c r="B1331" s="34">
        <v>39917</v>
      </c>
      <c r="C1331">
        <v>1.33677</v>
      </c>
      <c r="D1331">
        <v>0</v>
      </c>
      <c r="F1331">
        <v>0.50279999999999803</v>
      </c>
      <c r="G1331">
        <v>11.1346765641569</v>
      </c>
      <c r="H1331">
        <v>1</v>
      </c>
      <c r="I1331">
        <v>0.53541369999999999</v>
      </c>
      <c r="J1331">
        <v>2009</v>
      </c>
      <c r="K1331">
        <v>4</v>
      </c>
      <c r="L1331">
        <v>14</v>
      </c>
      <c r="M1331" t="s">
        <v>93</v>
      </c>
      <c r="N1331">
        <v>0</v>
      </c>
      <c r="O1331">
        <v>0</v>
      </c>
    </row>
    <row r="1332" spans="1:15" x14ac:dyDescent="0.3">
      <c r="A1332">
        <v>1427</v>
      </c>
      <c r="B1332" s="34">
        <v>39918</v>
      </c>
      <c r="C1332">
        <v>1.3262100000000001</v>
      </c>
      <c r="D1332">
        <v>0</v>
      </c>
      <c r="F1332">
        <v>0.50279999999999803</v>
      </c>
      <c r="G1332">
        <v>11.1346765641569</v>
      </c>
      <c r="H1332">
        <v>1</v>
      </c>
      <c r="I1332">
        <v>0.53573930000000003</v>
      </c>
      <c r="J1332">
        <v>2009</v>
      </c>
      <c r="K1332">
        <v>4</v>
      </c>
      <c r="L1332">
        <v>15</v>
      </c>
      <c r="M1332" t="s">
        <v>89</v>
      </c>
      <c r="N1332">
        <v>0</v>
      </c>
      <c r="O1332">
        <v>0</v>
      </c>
    </row>
    <row r="1333" spans="1:15" x14ac:dyDescent="0.3">
      <c r="A1333">
        <v>1428</v>
      </c>
      <c r="B1333" s="34">
        <v>39919</v>
      </c>
      <c r="C1333">
        <v>1.3212299999999999</v>
      </c>
      <c r="D1333">
        <v>0</v>
      </c>
      <c r="F1333">
        <v>0.50279999999999803</v>
      </c>
      <c r="G1333">
        <v>11.1346765641569</v>
      </c>
      <c r="H1333">
        <v>0</v>
      </c>
      <c r="I1333">
        <v>0.53536419999999996</v>
      </c>
      <c r="J1333">
        <v>2009</v>
      </c>
      <c r="K1333">
        <v>4</v>
      </c>
      <c r="L1333">
        <v>16</v>
      </c>
      <c r="M1333" t="s">
        <v>90</v>
      </c>
      <c r="N1333">
        <v>0</v>
      </c>
      <c r="O1333">
        <v>0</v>
      </c>
    </row>
    <row r="1334" spans="1:15" x14ac:dyDescent="0.3">
      <c r="A1334">
        <v>1429</v>
      </c>
      <c r="B1334" s="34">
        <v>39920</v>
      </c>
      <c r="C1334">
        <v>1.31793</v>
      </c>
      <c r="D1334">
        <v>0</v>
      </c>
      <c r="F1334">
        <v>0.50279999999999803</v>
      </c>
      <c r="G1334">
        <v>11.1346765641569</v>
      </c>
      <c r="H1334">
        <v>0</v>
      </c>
      <c r="I1334">
        <v>0.53498950000000001</v>
      </c>
      <c r="J1334">
        <v>2009</v>
      </c>
      <c r="K1334">
        <v>4</v>
      </c>
      <c r="L1334">
        <v>17</v>
      </c>
      <c r="M1334" t="s">
        <v>91</v>
      </c>
      <c r="N1334">
        <v>0</v>
      </c>
      <c r="O1334">
        <v>0</v>
      </c>
    </row>
    <row r="1335" spans="1:15" x14ac:dyDescent="0.3">
      <c r="A1335">
        <v>1430</v>
      </c>
      <c r="B1335" s="34">
        <v>39923</v>
      </c>
      <c r="C1335">
        <v>1.30426</v>
      </c>
      <c r="D1335">
        <v>0</v>
      </c>
      <c r="F1335">
        <v>0.50279999999999803</v>
      </c>
      <c r="G1335">
        <v>11.1346765641569</v>
      </c>
      <c r="H1335">
        <v>0</v>
      </c>
      <c r="I1335">
        <v>0.53461539999999996</v>
      </c>
      <c r="J1335">
        <v>2009</v>
      </c>
      <c r="K1335">
        <v>4</v>
      </c>
      <c r="L1335">
        <v>20</v>
      </c>
      <c r="M1335" t="s">
        <v>92</v>
      </c>
      <c r="N1335">
        <v>0</v>
      </c>
      <c r="O1335">
        <v>0</v>
      </c>
    </row>
    <row r="1336" spans="1:15" x14ac:dyDescent="0.3">
      <c r="A1336">
        <v>1431</v>
      </c>
      <c r="B1336" s="34">
        <v>39924</v>
      </c>
      <c r="C1336">
        <v>1.2924100000000001</v>
      </c>
      <c r="D1336">
        <v>0</v>
      </c>
      <c r="F1336">
        <v>0.50279999999999803</v>
      </c>
      <c r="G1336">
        <v>11.1346765641569</v>
      </c>
      <c r="H1336">
        <v>0</v>
      </c>
      <c r="I1336">
        <v>0.53424179999999999</v>
      </c>
      <c r="J1336">
        <v>2009</v>
      </c>
      <c r="K1336">
        <v>4</v>
      </c>
      <c r="L1336">
        <v>21</v>
      </c>
      <c r="M1336" t="s">
        <v>93</v>
      </c>
      <c r="N1336">
        <v>0</v>
      </c>
      <c r="O1336">
        <v>0</v>
      </c>
    </row>
    <row r="1337" spans="1:15" x14ac:dyDescent="0.3">
      <c r="A1337">
        <v>1432</v>
      </c>
      <c r="B1337" s="34">
        <v>39925</v>
      </c>
      <c r="C1337">
        <v>1.29454</v>
      </c>
      <c r="D1337">
        <v>0</v>
      </c>
      <c r="F1337">
        <v>0.50279999999999803</v>
      </c>
      <c r="G1337">
        <v>11.1346765641569</v>
      </c>
      <c r="H1337">
        <v>1</v>
      </c>
      <c r="I1337">
        <v>0.53456709999999996</v>
      </c>
      <c r="J1337">
        <v>2009</v>
      </c>
      <c r="K1337">
        <v>4</v>
      </c>
      <c r="L1337">
        <v>22</v>
      </c>
      <c r="M1337" t="s">
        <v>89</v>
      </c>
      <c r="N1337">
        <v>0</v>
      </c>
      <c r="O1337">
        <v>0</v>
      </c>
    </row>
    <row r="1338" spans="1:15" x14ac:dyDescent="0.3">
      <c r="A1338">
        <v>1433</v>
      </c>
      <c r="B1338" s="34">
        <v>39926</v>
      </c>
      <c r="C1338">
        <v>1.3002199999999999</v>
      </c>
      <c r="D1338">
        <v>0</v>
      </c>
      <c r="F1338">
        <v>0.50279999999999803</v>
      </c>
      <c r="G1338">
        <v>11.1346765641569</v>
      </c>
      <c r="H1338">
        <v>1</v>
      </c>
      <c r="I1338">
        <v>0.53489180000000003</v>
      </c>
      <c r="J1338">
        <v>2009</v>
      </c>
      <c r="K1338">
        <v>4</v>
      </c>
      <c r="L1338">
        <v>23</v>
      </c>
      <c r="M1338" t="s">
        <v>90</v>
      </c>
      <c r="N1338">
        <v>0</v>
      </c>
      <c r="O1338">
        <v>0</v>
      </c>
    </row>
    <row r="1339" spans="1:15" x14ac:dyDescent="0.3">
      <c r="A1339">
        <v>1434</v>
      </c>
      <c r="B1339" s="34">
        <v>39927</v>
      </c>
      <c r="C1339">
        <v>1.3133600000000001</v>
      </c>
      <c r="D1339">
        <v>0</v>
      </c>
      <c r="F1339">
        <v>0.50279999999999803</v>
      </c>
      <c r="G1339">
        <v>11.1346765641569</v>
      </c>
      <c r="H1339">
        <v>1</v>
      </c>
      <c r="I1339">
        <v>0.53521620000000003</v>
      </c>
      <c r="J1339">
        <v>2009</v>
      </c>
      <c r="K1339">
        <v>4</v>
      </c>
      <c r="L1339">
        <v>24</v>
      </c>
      <c r="M1339" t="s">
        <v>91</v>
      </c>
      <c r="N1339">
        <v>0</v>
      </c>
      <c r="O1339">
        <v>0</v>
      </c>
    </row>
    <row r="1340" spans="1:15" x14ac:dyDescent="0.3">
      <c r="A1340">
        <v>1435</v>
      </c>
      <c r="B1340" s="34">
        <v>39930</v>
      </c>
      <c r="C1340">
        <v>1.32413</v>
      </c>
      <c r="D1340">
        <v>0</v>
      </c>
      <c r="F1340">
        <v>0.50279999999999803</v>
      </c>
      <c r="G1340">
        <v>11.1346765641569</v>
      </c>
      <c r="H1340">
        <v>0</v>
      </c>
      <c r="I1340">
        <v>0.53484319999999996</v>
      </c>
      <c r="J1340">
        <v>2009</v>
      </c>
      <c r="K1340">
        <v>4</v>
      </c>
      <c r="L1340">
        <v>27</v>
      </c>
      <c r="M1340" t="s">
        <v>92</v>
      </c>
      <c r="N1340">
        <v>0</v>
      </c>
      <c r="O1340">
        <v>0</v>
      </c>
    </row>
    <row r="1341" spans="1:15" x14ac:dyDescent="0.3">
      <c r="A1341">
        <v>1436</v>
      </c>
      <c r="B1341" s="34">
        <v>39931</v>
      </c>
      <c r="C1341">
        <v>1.3017300000000001</v>
      </c>
      <c r="D1341">
        <v>0</v>
      </c>
      <c r="F1341">
        <v>0.50279999999999803</v>
      </c>
      <c r="G1341">
        <v>11.1346765641569</v>
      </c>
      <c r="H1341">
        <v>1</v>
      </c>
      <c r="I1341">
        <v>0.53516719999999995</v>
      </c>
      <c r="J1341">
        <v>2009</v>
      </c>
      <c r="K1341">
        <v>4</v>
      </c>
      <c r="L1341">
        <v>28</v>
      </c>
      <c r="M1341" t="s">
        <v>93</v>
      </c>
      <c r="N1341">
        <v>0</v>
      </c>
      <c r="O1341">
        <v>0</v>
      </c>
    </row>
    <row r="1342" spans="1:15" x14ac:dyDescent="0.3">
      <c r="A1342">
        <v>1437</v>
      </c>
      <c r="B1342" s="34">
        <v>39932</v>
      </c>
      <c r="C1342">
        <v>1.31351</v>
      </c>
      <c r="D1342">
        <v>0</v>
      </c>
      <c r="F1342">
        <v>0.50279999999999803</v>
      </c>
      <c r="G1342">
        <v>11.1346765641569</v>
      </c>
      <c r="H1342">
        <v>1</v>
      </c>
      <c r="I1342">
        <v>0.53549060000000004</v>
      </c>
      <c r="J1342">
        <v>2009</v>
      </c>
      <c r="K1342">
        <v>4</v>
      </c>
      <c r="L1342">
        <v>29</v>
      </c>
      <c r="M1342" t="s">
        <v>89</v>
      </c>
      <c r="N1342">
        <v>0</v>
      </c>
      <c r="O1342">
        <v>0</v>
      </c>
    </row>
    <row r="1343" spans="1:15" x14ac:dyDescent="0.3">
      <c r="A1343">
        <v>1438</v>
      </c>
      <c r="B1343" s="34">
        <v>39933</v>
      </c>
      <c r="C1343">
        <v>1.32521</v>
      </c>
      <c r="D1343">
        <v>0</v>
      </c>
      <c r="F1343">
        <v>0.50279999999999803</v>
      </c>
      <c r="G1343">
        <v>11.1346765641569</v>
      </c>
      <c r="H1343">
        <v>0</v>
      </c>
      <c r="I1343">
        <v>0.53511819999999999</v>
      </c>
      <c r="J1343">
        <v>2009</v>
      </c>
      <c r="K1343">
        <v>4</v>
      </c>
      <c r="L1343">
        <v>30</v>
      </c>
      <c r="M1343" t="s">
        <v>90</v>
      </c>
      <c r="N1343">
        <v>0</v>
      </c>
      <c r="O1343">
        <v>0</v>
      </c>
    </row>
    <row r="1344" spans="1:15" x14ac:dyDescent="0.3">
      <c r="A1344">
        <v>1439</v>
      </c>
      <c r="B1344" s="34">
        <v>39934</v>
      </c>
      <c r="C1344">
        <v>1.32236</v>
      </c>
      <c r="D1344">
        <v>0</v>
      </c>
      <c r="F1344">
        <v>0.50279999999999803</v>
      </c>
      <c r="G1344">
        <v>11.1346765641569</v>
      </c>
      <c r="H1344">
        <v>1</v>
      </c>
      <c r="I1344">
        <v>0.53544130000000001</v>
      </c>
      <c r="J1344">
        <v>2009</v>
      </c>
      <c r="K1344">
        <v>5</v>
      </c>
      <c r="L1344">
        <v>1</v>
      </c>
      <c r="M1344" t="s">
        <v>91</v>
      </c>
      <c r="N1344">
        <v>0</v>
      </c>
      <c r="O1344">
        <v>0</v>
      </c>
    </row>
    <row r="1345" spans="1:15" x14ac:dyDescent="0.3">
      <c r="A1345">
        <v>1440</v>
      </c>
      <c r="B1345" s="34">
        <v>39937</v>
      </c>
      <c r="C1345">
        <v>1.32636</v>
      </c>
      <c r="D1345">
        <v>0</v>
      </c>
      <c r="F1345">
        <v>0.50279999999999803</v>
      </c>
      <c r="G1345">
        <v>11.1346765641569</v>
      </c>
      <c r="H1345">
        <v>0</v>
      </c>
      <c r="I1345">
        <v>0.53506949999999998</v>
      </c>
      <c r="J1345">
        <v>2009</v>
      </c>
      <c r="K1345">
        <v>5</v>
      </c>
      <c r="L1345">
        <v>4</v>
      </c>
      <c r="M1345" t="s">
        <v>92</v>
      </c>
      <c r="N1345">
        <v>0</v>
      </c>
      <c r="O1345">
        <v>0</v>
      </c>
    </row>
    <row r="1346" spans="1:15" x14ac:dyDescent="0.3">
      <c r="A1346">
        <v>1441</v>
      </c>
      <c r="B1346" s="34">
        <v>39938</v>
      </c>
      <c r="C1346">
        <v>1.3416300000000001</v>
      </c>
      <c r="D1346">
        <v>0</v>
      </c>
      <c r="F1346">
        <v>0.50279999999999803</v>
      </c>
      <c r="G1346">
        <v>11.1346765641569</v>
      </c>
      <c r="H1346">
        <v>0</v>
      </c>
      <c r="I1346">
        <v>0.53469809999999995</v>
      </c>
      <c r="J1346">
        <v>2009</v>
      </c>
      <c r="K1346">
        <v>5</v>
      </c>
      <c r="L1346">
        <v>5</v>
      </c>
      <c r="M1346" t="s">
        <v>93</v>
      </c>
      <c r="N1346">
        <v>0</v>
      </c>
      <c r="O1346">
        <v>0</v>
      </c>
    </row>
    <row r="1347" spans="1:15" x14ac:dyDescent="0.3">
      <c r="A1347">
        <v>1442</v>
      </c>
      <c r="B1347" s="34">
        <v>39939</v>
      </c>
      <c r="C1347">
        <v>1.3310599999999999</v>
      </c>
      <c r="D1347">
        <v>0</v>
      </c>
      <c r="F1347">
        <v>0.50279999999999803</v>
      </c>
      <c r="G1347">
        <v>11.1346765641569</v>
      </c>
      <c r="H1347">
        <v>1</v>
      </c>
      <c r="I1347">
        <v>0.53502079999999996</v>
      </c>
      <c r="J1347">
        <v>2009</v>
      </c>
      <c r="K1347">
        <v>5</v>
      </c>
      <c r="L1347">
        <v>6</v>
      </c>
      <c r="M1347" t="s">
        <v>89</v>
      </c>
      <c r="N1347">
        <v>0</v>
      </c>
      <c r="O1347">
        <v>0</v>
      </c>
    </row>
    <row r="1348" spans="1:15" x14ac:dyDescent="0.3">
      <c r="A1348">
        <v>1443</v>
      </c>
      <c r="B1348" s="34">
        <v>39940</v>
      </c>
      <c r="C1348">
        <v>1.3311599999999999</v>
      </c>
      <c r="D1348">
        <v>0</v>
      </c>
      <c r="F1348">
        <v>0.50279999999999803</v>
      </c>
      <c r="G1348">
        <v>11.1346765641569</v>
      </c>
      <c r="H1348">
        <v>0</v>
      </c>
      <c r="I1348">
        <v>0.53464999999999996</v>
      </c>
      <c r="J1348">
        <v>2009</v>
      </c>
      <c r="K1348">
        <v>5</v>
      </c>
      <c r="L1348">
        <v>7</v>
      </c>
      <c r="M1348" t="s">
        <v>90</v>
      </c>
      <c r="N1348">
        <v>0</v>
      </c>
      <c r="O1348">
        <v>0</v>
      </c>
    </row>
    <row r="1349" spans="1:15" x14ac:dyDescent="0.3">
      <c r="A1349">
        <v>1444</v>
      </c>
      <c r="B1349" s="34">
        <v>39941</v>
      </c>
      <c r="C1349">
        <v>1.3386199999999999</v>
      </c>
      <c r="D1349">
        <v>0</v>
      </c>
      <c r="F1349">
        <v>0.50279999999999803</v>
      </c>
      <c r="G1349">
        <v>11.1346765641569</v>
      </c>
      <c r="H1349">
        <v>0</v>
      </c>
      <c r="I1349">
        <v>0.53427979999999997</v>
      </c>
      <c r="J1349">
        <v>2009</v>
      </c>
      <c r="K1349">
        <v>5</v>
      </c>
      <c r="L1349">
        <v>8</v>
      </c>
      <c r="M1349" t="s">
        <v>91</v>
      </c>
      <c r="N1349">
        <v>0</v>
      </c>
      <c r="O1349">
        <v>0</v>
      </c>
    </row>
    <row r="1350" spans="1:15" x14ac:dyDescent="0.3">
      <c r="A1350">
        <v>1445</v>
      </c>
      <c r="B1350" s="34">
        <v>39944</v>
      </c>
      <c r="C1350">
        <v>1.36347</v>
      </c>
      <c r="D1350">
        <v>0</v>
      </c>
      <c r="F1350">
        <v>0.50279999999999803</v>
      </c>
      <c r="G1350">
        <v>11.1346765641569</v>
      </c>
      <c r="H1350">
        <v>0</v>
      </c>
      <c r="I1350">
        <v>0.53391</v>
      </c>
      <c r="J1350">
        <v>2009</v>
      </c>
      <c r="K1350">
        <v>5</v>
      </c>
      <c r="L1350">
        <v>11</v>
      </c>
      <c r="M1350" t="s">
        <v>92</v>
      </c>
      <c r="N1350">
        <v>0</v>
      </c>
      <c r="O1350">
        <v>0</v>
      </c>
    </row>
    <row r="1351" spans="1:15" x14ac:dyDescent="0.3">
      <c r="A1351">
        <v>1446</v>
      </c>
      <c r="B1351" s="34">
        <v>39945</v>
      </c>
      <c r="C1351">
        <v>1.3576699999999999</v>
      </c>
      <c r="D1351">
        <v>0</v>
      </c>
      <c r="F1351">
        <v>0.50279999999999803</v>
      </c>
      <c r="G1351">
        <v>11.1346765641569</v>
      </c>
      <c r="H1351">
        <v>1</v>
      </c>
      <c r="I1351">
        <v>0.53423240000000005</v>
      </c>
      <c r="J1351">
        <v>2009</v>
      </c>
      <c r="K1351">
        <v>5</v>
      </c>
      <c r="L1351">
        <v>12</v>
      </c>
      <c r="M1351" t="s">
        <v>93</v>
      </c>
      <c r="N1351">
        <v>0</v>
      </c>
      <c r="O1351">
        <v>0</v>
      </c>
    </row>
    <row r="1352" spans="1:15" x14ac:dyDescent="0.3">
      <c r="A1352">
        <v>1447</v>
      </c>
      <c r="B1352" s="34">
        <v>39946</v>
      </c>
      <c r="C1352">
        <v>1.3644700000000001</v>
      </c>
      <c r="D1352">
        <v>0</v>
      </c>
      <c r="F1352">
        <v>0.50279999999999803</v>
      </c>
      <c r="G1352">
        <v>11.1346765641569</v>
      </c>
      <c r="H1352">
        <v>0</v>
      </c>
      <c r="I1352">
        <v>0.53386319999999998</v>
      </c>
      <c r="J1352">
        <v>2009</v>
      </c>
      <c r="K1352">
        <v>5</v>
      </c>
      <c r="L1352">
        <v>13</v>
      </c>
      <c r="M1352" t="s">
        <v>89</v>
      </c>
      <c r="N1352">
        <v>0</v>
      </c>
      <c r="O1352">
        <v>0</v>
      </c>
    </row>
    <row r="1353" spans="1:15" x14ac:dyDescent="0.3">
      <c r="A1353">
        <v>1448</v>
      </c>
      <c r="B1353" s="34">
        <v>39947</v>
      </c>
      <c r="C1353">
        <v>1.359</v>
      </c>
      <c r="D1353">
        <v>0</v>
      </c>
      <c r="F1353">
        <v>0.50279999999999803</v>
      </c>
      <c r="G1353">
        <v>11.1346765641569</v>
      </c>
      <c r="H1353">
        <v>1</v>
      </c>
      <c r="I1353">
        <v>0.53418509999999997</v>
      </c>
      <c r="J1353">
        <v>2009</v>
      </c>
      <c r="K1353">
        <v>5</v>
      </c>
      <c r="L1353">
        <v>14</v>
      </c>
      <c r="M1353" t="s">
        <v>90</v>
      </c>
      <c r="N1353">
        <v>0</v>
      </c>
      <c r="O1353">
        <v>0</v>
      </c>
    </row>
    <row r="1354" spans="1:15" x14ac:dyDescent="0.3">
      <c r="A1354">
        <v>1449</v>
      </c>
      <c r="B1354" s="34">
        <v>39948</v>
      </c>
      <c r="C1354">
        <v>1.3634200000000001</v>
      </c>
      <c r="D1354">
        <v>-8</v>
      </c>
      <c r="F1354">
        <v>0.51674999999999804</v>
      </c>
      <c r="G1354">
        <v>8.6691410392364308</v>
      </c>
      <c r="H1354">
        <v>0</v>
      </c>
      <c r="I1354">
        <v>0.53381639999999997</v>
      </c>
      <c r="J1354">
        <v>2009</v>
      </c>
      <c r="K1354">
        <v>5</v>
      </c>
      <c r="L1354">
        <v>15</v>
      </c>
      <c r="M1354" t="s">
        <v>91</v>
      </c>
      <c r="N1354">
        <v>0</v>
      </c>
      <c r="O1354">
        <v>0</v>
      </c>
    </row>
    <row r="1355" spans="1:15" x14ac:dyDescent="0.3">
      <c r="A1355">
        <v>1450</v>
      </c>
      <c r="B1355" s="34">
        <v>39951</v>
      </c>
      <c r="C1355">
        <v>1.3494699999999999</v>
      </c>
      <c r="D1355">
        <v>0</v>
      </c>
      <c r="F1355">
        <v>0.51674999999999804</v>
      </c>
      <c r="G1355">
        <v>8.6691410392364308</v>
      </c>
      <c r="H1355">
        <v>1</v>
      </c>
      <c r="I1355">
        <v>0.53413790000000005</v>
      </c>
      <c r="J1355">
        <v>2009</v>
      </c>
      <c r="K1355">
        <v>5</v>
      </c>
      <c r="L1355">
        <v>18</v>
      </c>
      <c r="M1355" t="s">
        <v>92</v>
      </c>
      <c r="N1355">
        <v>0</v>
      </c>
      <c r="O1355">
        <v>0</v>
      </c>
    </row>
    <row r="1356" spans="1:15" x14ac:dyDescent="0.3">
      <c r="A1356">
        <v>1451</v>
      </c>
      <c r="B1356" s="34">
        <v>39952</v>
      </c>
      <c r="C1356">
        <v>1.35555</v>
      </c>
      <c r="D1356">
        <v>0</v>
      </c>
      <c r="F1356">
        <v>0.51674999999999804</v>
      </c>
      <c r="G1356">
        <v>8.6691410392364308</v>
      </c>
      <c r="H1356">
        <v>0</v>
      </c>
      <c r="I1356">
        <v>0.53376979999999996</v>
      </c>
      <c r="J1356">
        <v>2009</v>
      </c>
      <c r="K1356">
        <v>5</v>
      </c>
      <c r="L1356">
        <v>19</v>
      </c>
      <c r="M1356" t="s">
        <v>93</v>
      </c>
      <c r="N1356">
        <v>0</v>
      </c>
      <c r="O1356">
        <v>0</v>
      </c>
    </row>
    <row r="1357" spans="1:15" x14ac:dyDescent="0.3">
      <c r="A1357">
        <v>1452</v>
      </c>
      <c r="B1357" s="34">
        <v>39953</v>
      </c>
      <c r="C1357">
        <v>1.36273</v>
      </c>
      <c r="D1357">
        <v>0</v>
      </c>
      <c r="F1357">
        <v>0.51674999999999804</v>
      </c>
      <c r="G1357">
        <v>8.6691410392364308</v>
      </c>
      <c r="H1357">
        <v>0</v>
      </c>
      <c r="I1357">
        <v>0.53340220000000005</v>
      </c>
      <c r="J1357">
        <v>2009</v>
      </c>
      <c r="K1357">
        <v>5</v>
      </c>
      <c r="L1357">
        <v>20</v>
      </c>
      <c r="M1357" t="s">
        <v>89</v>
      </c>
      <c r="N1357">
        <v>0</v>
      </c>
      <c r="O1357">
        <v>0</v>
      </c>
    </row>
    <row r="1358" spans="1:15" x14ac:dyDescent="0.3">
      <c r="A1358">
        <v>1453</v>
      </c>
      <c r="B1358" s="34">
        <v>39954</v>
      </c>
      <c r="C1358">
        <v>1.3764000000000001</v>
      </c>
      <c r="D1358">
        <v>0</v>
      </c>
      <c r="F1358">
        <v>0.51674999999999804</v>
      </c>
      <c r="G1358">
        <v>8.6691410392364308</v>
      </c>
      <c r="H1358">
        <v>0</v>
      </c>
      <c r="I1358">
        <v>0.53303509999999998</v>
      </c>
      <c r="J1358">
        <v>2009</v>
      </c>
      <c r="K1358">
        <v>5</v>
      </c>
      <c r="L1358">
        <v>21</v>
      </c>
      <c r="M1358" t="s">
        <v>90</v>
      </c>
      <c r="N1358">
        <v>0</v>
      </c>
      <c r="O1358">
        <v>0</v>
      </c>
    </row>
    <row r="1359" spans="1:15" x14ac:dyDescent="0.3">
      <c r="A1359">
        <v>1454</v>
      </c>
      <c r="B1359" s="34">
        <v>39955</v>
      </c>
      <c r="C1359">
        <v>1.3903000000000001</v>
      </c>
      <c r="D1359">
        <v>0</v>
      </c>
      <c r="F1359">
        <v>0.51674999999999804</v>
      </c>
      <c r="G1359">
        <v>8.6691410392364308</v>
      </c>
      <c r="H1359">
        <v>0</v>
      </c>
      <c r="I1359">
        <v>0.53266849999999999</v>
      </c>
      <c r="J1359">
        <v>2009</v>
      </c>
      <c r="K1359">
        <v>5</v>
      </c>
      <c r="L1359">
        <v>22</v>
      </c>
      <c r="M1359" t="s">
        <v>91</v>
      </c>
      <c r="N1359">
        <v>0</v>
      </c>
      <c r="O1359">
        <v>0</v>
      </c>
    </row>
    <row r="1360" spans="1:15" x14ac:dyDescent="0.3">
      <c r="A1360">
        <v>1455</v>
      </c>
      <c r="B1360" s="34">
        <v>39958</v>
      </c>
      <c r="C1360">
        <v>1.39974</v>
      </c>
      <c r="D1360">
        <v>0</v>
      </c>
      <c r="F1360">
        <v>0.51674999999999804</v>
      </c>
      <c r="G1360">
        <v>8.6691410392364308</v>
      </c>
      <c r="H1360">
        <v>0</v>
      </c>
      <c r="I1360">
        <v>0.53230239999999995</v>
      </c>
      <c r="J1360">
        <v>2009</v>
      </c>
      <c r="K1360">
        <v>5</v>
      </c>
      <c r="L1360">
        <v>25</v>
      </c>
      <c r="M1360" t="s">
        <v>92</v>
      </c>
      <c r="N1360">
        <v>0</v>
      </c>
      <c r="O1360">
        <v>0</v>
      </c>
    </row>
    <row r="1361" spans="1:15" x14ac:dyDescent="0.3">
      <c r="A1361">
        <v>1456</v>
      </c>
      <c r="B1361" s="34">
        <v>39959</v>
      </c>
      <c r="C1361">
        <v>1.40144</v>
      </c>
      <c r="D1361">
        <v>0</v>
      </c>
      <c r="F1361">
        <v>0.51674999999999804</v>
      </c>
      <c r="G1361">
        <v>8.6691410392364308</v>
      </c>
      <c r="H1361">
        <v>0</v>
      </c>
      <c r="I1361">
        <v>0.53193679999999999</v>
      </c>
      <c r="J1361">
        <v>2009</v>
      </c>
      <c r="K1361">
        <v>5</v>
      </c>
      <c r="L1361">
        <v>26</v>
      </c>
      <c r="M1361" t="s">
        <v>93</v>
      </c>
      <c r="N1361">
        <v>0</v>
      </c>
      <c r="O1361">
        <v>0</v>
      </c>
    </row>
    <row r="1362" spans="1:15" x14ac:dyDescent="0.3">
      <c r="A1362">
        <v>1457</v>
      </c>
      <c r="B1362" s="34">
        <v>39960</v>
      </c>
      <c r="C1362">
        <v>1.3989100000000001</v>
      </c>
      <c r="D1362">
        <v>0</v>
      </c>
      <c r="F1362">
        <v>0.51674999999999804</v>
      </c>
      <c r="G1362">
        <v>8.6691410392364308</v>
      </c>
      <c r="H1362">
        <v>1</v>
      </c>
      <c r="I1362">
        <v>0.53225809999999996</v>
      </c>
      <c r="J1362">
        <v>2009</v>
      </c>
      <c r="K1362">
        <v>5</v>
      </c>
      <c r="L1362">
        <v>27</v>
      </c>
      <c r="M1362" t="s">
        <v>89</v>
      </c>
      <c r="N1362">
        <v>0</v>
      </c>
      <c r="O1362">
        <v>0</v>
      </c>
    </row>
    <row r="1363" spans="1:15" x14ac:dyDescent="0.3">
      <c r="A1363">
        <v>1458</v>
      </c>
      <c r="B1363" s="34">
        <v>39961</v>
      </c>
      <c r="C1363">
        <v>1.3835200000000001</v>
      </c>
      <c r="D1363">
        <v>0</v>
      </c>
      <c r="F1363">
        <v>0.51674999999999804</v>
      </c>
      <c r="G1363">
        <v>8.6691410392364308</v>
      </c>
      <c r="H1363">
        <v>1</v>
      </c>
      <c r="I1363">
        <v>0.53257889999999997</v>
      </c>
      <c r="J1363">
        <v>2009</v>
      </c>
      <c r="K1363">
        <v>5</v>
      </c>
      <c r="L1363">
        <v>28</v>
      </c>
      <c r="M1363" t="s">
        <v>90</v>
      </c>
      <c r="N1363">
        <v>0</v>
      </c>
      <c r="O1363">
        <v>0</v>
      </c>
    </row>
    <row r="1364" spans="1:15" x14ac:dyDescent="0.3">
      <c r="A1364">
        <v>1459</v>
      </c>
      <c r="B1364" s="34">
        <v>39962</v>
      </c>
      <c r="C1364">
        <v>1.3932</v>
      </c>
      <c r="D1364">
        <v>0</v>
      </c>
      <c r="F1364">
        <v>0.51674999999999804</v>
      </c>
      <c r="G1364">
        <v>8.6691410392364308</v>
      </c>
      <c r="H1364">
        <v>1</v>
      </c>
      <c r="I1364">
        <v>0.53289929999999996</v>
      </c>
      <c r="J1364">
        <v>2009</v>
      </c>
      <c r="K1364">
        <v>5</v>
      </c>
      <c r="L1364">
        <v>29</v>
      </c>
      <c r="M1364" t="s">
        <v>91</v>
      </c>
      <c r="N1364">
        <v>0</v>
      </c>
      <c r="O1364">
        <v>0</v>
      </c>
    </row>
    <row r="1365" spans="1:15" x14ac:dyDescent="0.3">
      <c r="A1365">
        <v>1460</v>
      </c>
      <c r="B1365" s="34">
        <v>39965</v>
      </c>
      <c r="C1365">
        <v>1.41597</v>
      </c>
      <c r="D1365">
        <v>-5</v>
      </c>
      <c r="F1365">
        <v>0.51759999999999795</v>
      </c>
      <c r="G1365">
        <v>8.5189112760692307</v>
      </c>
      <c r="H1365">
        <v>1</v>
      </c>
      <c r="I1365">
        <v>0.5332192</v>
      </c>
      <c r="J1365">
        <v>2009</v>
      </c>
      <c r="K1365">
        <v>6</v>
      </c>
      <c r="L1365">
        <v>1</v>
      </c>
      <c r="M1365" t="s">
        <v>92</v>
      </c>
      <c r="N1365">
        <v>0</v>
      </c>
      <c r="O1365">
        <v>0</v>
      </c>
    </row>
    <row r="1366" spans="1:15" x14ac:dyDescent="0.3">
      <c r="A1366">
        <v>1461</v>
      </c>
      <c r="B1366" s="34">
        <v>39966</v>
      </c>
      <c r="C1366">
        <v>1.4151199999999999</v>
      </c>
      <c r="D1366">
        <v>0</v>
      </c>
      <c r="F1366">
        <v>0.51759999999999795</v>
      </c>
      <c r="G1366">
        <v>8.5189112760692307</v>
      </c>
      <c r="H1366">
        <v>1</v>
      </c>
      <c r="I1366">
        <v>0.53353870000000003</v>
      </c>
      <c r="J1366">
        <v>2009</v>
      </c>
      <c r="K1366">
        <v>6</v>
      </c>
      <c r="L1366">
        <v>2</v>
      </c>
      <c r="M1366" t="s">
        <v>93</v>
      </c>
      <c r="N1366">
        <v>0</v>
      </c>
      <c r="O1366">
        <v>0</v>
      </c>
    </row>
    <row r="1367" spans="1:15" x14ac:dyDescent="0.3">
      <c r="A1367">
        <v>1462</v>
      </c>
      <c r="B1367" s="34">
        <v>39967</v>
      </c>
      <c r="C1367">
        <v>1.43068</v>
      </c>
      <c r="D1367">
        <v>0</v>
      </c>
      <c r="F1367">
        <v>0.51759999999999795</v>
      </c>
      <c r="G1367">
        <v>8.5189112760692307</v>
      </c>
      <c r="H1367">
        <v>0</v>
      </c>
      <c r="I1367">
        <v>0.53317369999999997</v>
      </c>
      <c r="J1367">
        <v>2009</v>
      </c>
      <c r="K1367">
        <v>6</v>
      </c>
      <c r="L1367">
        <v>3</v>
      </c>
      <c r="M1367" t="s">
        <v>89</v>
      </c>
      <c r="N1367">
        <v>0</v>
      </c>
      <c r="O1367">
        <v>0</v>
      </c>
    </row>
    <row r="1368" spans="1:15" x14ac:dyDescent="0.3">
      <c r="A1368">
        <v>1463</v>
      </c>
      <c r="B1368" s="34">
        <v>39968</v>
      </c>
      <c r="C1368">
        <v>1.4144699999999999</v>
      </c>
      <c r="D1368">
        <v>0</v>
      </c>
      <c r="F1368">
        <v>0.51759999999999795</v>
      </c>
      <c r="G1368">
        <v>8.5189112760692307</v>
      </c>
      <c r="H1368">
        <v>1</v>
      </c>
      <c r="I1368">
        <v>0.53349279999999999</v>
      </c>
      <c r="J1368">
        <v>2009</v>
      </c>
      <c r="K1368">
        <v>6</v>
      </c>
      <c r="L1368">
        <v>4</v>
      </c>
      <c r="M1368" t="s">
        <v>90</v>
      </c>
      <c r="N1368">
        <v>0</v>
      </c>
      <c r="O1368">
        <v>0</v>
      </c>
    </row>
    <row r="1369" spans="1:15" x14ac:dyDescent="0.3">
      <c r="A1369">
        <v>1464</v>
      </c>
      <c r="B1369" s="34">
        <v>39969</v>
      </c>
      <c r="C1369">
        <v>1.4175500000000001</v>
      </c>
      <c r="D1369">
        <v>0</v>
      </c>
      <c r="F1369">
        <v>0.51759999999999795</v>
      </c>
      <c r="G1369">
        <v>8.5189112760692307</v>
      </c>
      <c r="H1369">
        <v>1</v>
      </c>
      <c r="I1369">
        <v>0.53381149999999999</v>
      </c>
      <c r="J1369">
        <v>2009</v>
      </c>
      <c r="K1369">
        <v>6</v>
      </c>
      <c r="L1369">
        <v>5</v>
      </c>
      <c r="M1369" t="s">
        <v>91</v>
      </c>
      <c r="N1369">
        <v>0</v>
      </c>
      <c r="O1369">
        <v>0</v>
      </c>
    </row>
    <row r="1370" spans="1:15" x14ac:dyDescent="0.3">
      <c r="A1370">
        <v>1465</v>
      </c>
      <c r="B1370" s="34">
        <v>39972</v>
      </c>
      <c r="C1370">
        <v>1.39673</v>
      </c>
      <c r="D1370">
        <v>0</v>
      </c>
      <c r="F1370">
        <v>0.51759999999999795</v>
      </c>
      <c r="G1370">
        <v>8.5189112760692307</v>
      </c>
      <c r="H1370">
        <v>0</v>
      </c>
      <c r="I1370">
        <v>0.53344709999999995</v>
      </c>
      <c r="J1370">
        <v>2009</v>
      </c>
      <c r="K1370">
        <v>6</v>
      </c>
      <c r="L1370">
        <v>8</v>
      </c>
      <c r="M1370" t="s">
        <v>92</v>
      </c>
      <c r="N1370">
        <v>0</v>
      </c>
      <c r="O1370">
        <v>0</v>
      </c>
    </row>
    <row r="1371" spans="1:15" x14ac:dyDescent="0.3">
      <c r="A1371">
        <v>1466</v>
      </c>
      <c r="B1371" s="34">
        <v>39973</v>
      </c>
      <c r="C1371">
        <v>1.39019</v>
      </c>
      <c r="D1371">
        <v>0</v>
      </c>
      <c r="F1371">
        <v>0.51759999999999795</v>
      </c>
      <c r="G1371">
        <v>8.5189112760692307</v>
      </c>
      <c r="H1371">
        <v>0</v>
      </c>
      <c r="I1371">
        <v>0.53308319999999998</v>
      </c>
      <c r="J1371">
        <v>2009</v>
      </c>
      <c r="K1371">
        <v>6</v>
      </c>
      <c r="L1371">
        <v>9</v>
      </c>
      <c r="M1371" t="s">
        <v>93</v>
      </c>
      <c r="N1371">
        <v>0</v>
      </c>
      <c r="O1371">
        <v>0</v>
      </c>
    </row>
    <row r="1372" spans="1:15" x14ac:dyDescent="0.3">
      <c r="A1372">
        <v>1467</v>
      </c>
      <c r="B1372" s="34">
        <v>39974</v>
      </c>
      <c r="C1372">
        <v>1.4074899999999999</v>
      </c>
      <c r="D1372">
        <v>0</v>
      </c>
      <c r="F1372">
        <v>0.51759999999999795</v>
      </c>
      <c r="G1372">
        <v>8.5189112760692307</v>
      </c>
      <c r="H1372">
        <v>1</v>
      </c>
      <c r="I1372">
        <v>0.53340149999999997</v>
      </c>
      <c r="J1372">
        <v>2009</v>
      </c>
      <c r="K1372">
        <v>6</v>
      </c>
      <c r="L1372">
        <v>10</v>
      </c>
      <c r="M1372" t="s">
        <v>89</v>
      </c>
      <c r="N1372">
        <v>0</v>
      </c>
      <c r="O1372">
        <v>0</v>
      </c>
    </row>
    <row r="1373" spans="1:15" x14ac:dyDescent="0.3">
      <c r="A1373">
        <v>1468</v>
      </c>
      <c r="B1373" s="34">
        <v>39975</v>
      </c>
      <c r="C1373">
        <v>1.39656</v>
      </c>
      <c r="D1373">
        <v>0</v>
      </c>
      <c r="F1373">
        <v>0.51759999999999795</v>
      </c>
      <c r="G1373">
        <v>8.5189112760692307</v>
      </c>
      <c r="H1373">
        <v>0</v>
      </c>
      <c r="I1373">
        <v>0.53303809999999996</v>
      </c>
      <c r="J1373">
        <v>2009</v>
      </c>
      <c r="K1373">
        <v>6</v>
      </c>
      <c r="L1373">
        <v>11</v>
      </c>
      <c r="M1373" t="s">
        <v>90</v>
      </c>
      <c r="N1373">
        <v>0</v>
      </c>
      <c r="O1373">
        <v>0</v>
      </c>
    </row>
    <row r="1374" spans="1:15" x14ac:dyDescent="0.3">
      <c r="A1374">
        <v>1469</v>
      </c>
      <c r="B1374" s="34">
        <v>39976</v>
      </c>
      <c r="C1374">
        <v>1.4096200000000001</v>
      </c>
      <c r="D1374">
        <v>0</v>
      </c>
      <c r="F1374">
        <v>0.51759999999999795</v>
      </c>
      <c r="G1374">
        <v>8.5189112760692307</v>
      </c>
      <c r="H1374">
        <v>1</v>
      </c>
      <c r="I1374">
        <v>0.53335600000000005</v>
      </c>
      <c r="J1374">
        <v>2009</v>
      </c>
      <c r="K1374">
        <v>6</v>
      </c>
      <c r="L1374">
        <v>12</v>
      </c>
      <c r="M1374" t="s">
        <v>91</v>
      </c>
      <c r="N1374">
        <v>0</v>
      </c>
      <c r="O1374">
        <v>0</v>
      </c>
    </row>
    <row r="1375" spans="1:15" x14ac:dyDescent="0.3">
      <c r="A1375">
        <v>1470</v>
      </c>
      <c r="B1375" s="34">
        <v>39979</v>
      </c>
      <c r="C1375">
        <v>1.4015299999999999</v>
      </c>
      <c r="D1375">
        <v>0</v>
      </c>
      <c r="F1375">
        <v>0.51759999999999795</v>
      </c>
      <c r="G1375">
        <v>8.5189112760692307</v>
      </c>
      <c r="H1375">
        <v>1</v>
      </c>
      <c r="I1375">
        <v>0.53367350000000002</v>
      </c>
      <c r="J1375">
        <v>2009</v>
      </c>
      <c r="K1375">
        <v>6</v>
      </c>
      <c r="L1375">
        <v>15</v>
      </c>
      <c r="M1375" t="s">
        <v>92</v>
      </c>
      <c r="N1375">
        <v>0</v>
      </c>
      <c r="O1375">
        <v>0</v>
      </c>
    </row>
    <row r="1376" spans="1:15" x14ac:dyDescent="0.3">
      <c r="A1376">
        <v>1471</v>
      </c>
      <c r="B1376" s="34">
        <v>39980</v>
      </c>
      <c r="C1376">
        <v>1.3786</v>
      </c>
      <c r="D1376">
        <v>0</v>
      </c>
      <c r="F1376">
        <v>0.51759999999999795</v>
      </c>
      <c r="G1376">
        <v>8.5189112760692307</v>
      </c>
      <c r="H1376">
        <v>0</v>
      </c>
      <c r="I1376">
        <v>0.53331070000000003</v>
      </c>
      <c r="J1376">
        <v>2009</v>
      </c>
      <c r="K1376">
        <v>6</v>
      </c>
      <c r="L1376">
        <v>16</v>
      </c>
      <c r="M1376" t="s">
        <v>93</v>
      </c>
      <c r="N1376">
        <v>0</v>
      </c>
      <c r="O1376">
        <v>0</v>
      </c>
    </row>
    <row r="1377" spans="1:15" x14ac:dyDescent="0.3">
      <c r="A1377">
        <v>1472</v>
      </c>
      <c r="B1377" s="34">
        <v>39981</v>
      </c>
      <c r="C1377">
        <v>1.3834500000000001</v>
      </c>
      <c r="D1377">
        <v>0</v>
      </c>
      <c r="F1377">
        <v>0.51759999999999795</v>
      </c>
      <c r="G1377">
        <v>8.5189112760692307</v>
      </c>
      <c r="H1377">
        <v>1</v>
      </c>
      <c r="I1377">
        <v>0.53362770000000004</v>
      </c>
      <c r="J1377">
        <v>2009</v>
      </c>
      <c r="K1377">
        <v>6</v>
      </c>
      <c r="L1377">
        <v>17</v>
      </c>
      <c r="M1377" t="s">
        <v>89</v>
      </c>
      <c r="N1377">
        <v>0</v>
      </c>
      <c r="O1377">
        <v>0</v>
      </c>
    </row>
    <row r="1378" spans="1:15" x14ac:dyDescent="0.3">
      <c r="A1378">
        <v>1473</v>
      </c>
      <c r="B1378" s="34">
        <v>39982</v>
      </c>
      <c r="C1378">
        <v>1.3942399999999999</v>
      </c>
      <c r="D1378">
        <v>0</v>
      </c>
      <c r="F1378">
        <v>0.51759999999999795</v>
      </c>
      <c r="G1378">
        <v>8.5189112760692307</v>
      </c>
      <c r="H1378">
        <v>1</v>
      </c>
      <c r="I1378">
        <v>0.53394430000000004</v>
      </c>
      <c r="J1378">
        <v>2009</v>
      </c>
      <c r="K1378">
        <v>6</v>
      </c>
      <c r="L1378">
        <v>18</v>
      </c>
      <c r="M1378" t="s">
        <v>90</v>
      </c>
      <c r="N1378">
        <v>0</v>
      </c>
      <c r="O1378">
        <v>0</v>
      </c>
    </row>
    <row r="1379" spans="1:15" x14ac:dyDescent="0.3">
      <c r="A1379">
        <v>1474</v>
      </c>
      <c r="B1379" s="34">
        <v>39983</v>
      </c>
      <c r="C1379">
        <v>1.39052</v>
      </c>
      <c r="D1379">
        <v>0</v>
      </c>
      <c r="F1379">
        <v>0.51759999999999795</v>
      </c>
      <c r="G1379">
        <v>8.5189112760692307</v>
      </c>
      <c r="H1379">
        <v>0</v>
      </c>
      <c r="I1379">
        <v>0.53358209999999995</v>
      </c>
      <c r="J1379">
        <v>2009</v>
      </c>
      <c r="K1379">
        <v>6</v>
      </c>
      <c r="L1379">
        <v>19</v>
      </c>
      <c r="M1379" t="s">
        <v>91</v>
      </c>
      <c r="N1379">
        <v>0</v>
      </c>
      <c r="O1379">
        <v>0</v>
      </c>
    </row>
    <row r="1380" spans="1:15" x14ac:dyDescent="0.3">
      <c r="A1380">
        <v>1475</v>
      </c>
      <c r="B1380" s="34">
        <v>39986</v>
      </c>
      <c r="C1380">
        <v>1.3937200000000001</v>
      </c>
      <c r="D1380">
        <v>0</v>
      </c>
      <c r="F1380">
        <v>0.51759999999999795</v>
      </c>
      <c r="G1380">
        <v>8.5189112760692307</v>
      </c>
      <c r="H1380">
        <v>1</v>
      </c>
      <c r="I1380">
        <v>0.53389830000000005</v>
      </c>
      <c r="J1380">
        <v>2009</v>
      </c>
      <c r="K1380">
        <v>6</v>
      </c>
      <c r="L1380">
        <v>22</v>
      </c>
      <c r="M1380" t="s">
        <v>92</v>
      </c>
      <c r="N1380">
        <v>0</v>
      </c>
      <c r="O1380">
        <v>0</v>
      </c>
    </row>
    <row r="1381" spans="1:15" x14ac:dyDescent="0.3">
      <c r="A1381">
        <v>1476</v>
      </c>
      <c r="B1381" s="34">
        <v>39987</v>
      </c>
      <c r="C1381">
        <v>1.3856200000000001</v>
      </c>
      <c r="D1381">
        <v>0</v>
      </c>
      <c r="F1381">
        <v>0.51759999999999795</v>
      </c>
      <c r="G1381">
        <v>8.5189112760692307</v>
      </c>
      <c r="H1381">
        <v>0</v>
      </c>
      <c r="I1381">
        <v>0.53353660000000003</v>
      </c>
      <c r="J1381">
        <v>2009</v>
      </c>
      <c r="K1381">
        <v>6</v>
      </c>
      <c r="L1381">
        <v>23</v>
      </c>
      <c r="M1381" t="s">
        <v>93</v>
      </c>
      <c r="N1381">
        <v>0</v>
      </c>
      <c r="O1381">
        <v>0</v>
      </c>
    </row>
    <row r="1382" spans="1:15" x14ac:dyDescent="0.3">
      <c r="A1382">
        <v>1477</v>
      </c>
      <c r="B1382" s="34">
        <v>39988</v>
      </c>
      <c r="C1382">
        <v>1.4074500000000001</v>
      </c>
      <c r="D1382">
        <v>0</v>
      </c>
      <c r="F1382">
        <v>0.51759999999999795</v>
      </c>
      <c r="G1382">
        <v>8.5189112760692307</v>
      </c>
      <c r="H1382">
        <v>1</v>
      </c>
      <c r="I1382">
        <v>0.5338524</v>
      </c>
      <c r="J1382">
        <v>2009</v>
      </c>
      <c r="K1382">
        <v>6</v>
      </c>
      <c r="L1382">
        <v>24</v>
      </c>
      <c r="M1382" t="s">
        <v>89</v>
      </c>
      <c r="N1382">
        <v>0</v>
      </c>
      <c r="O1382">
        <v>0</v>
      </c>
    </row>
    <row r="1383" spans="1:15" x14ac:dyDescent="0.3">
      <c r="A1383">
        <v>1478</v>
      </c>
      <c r="B1383" s="34">
        <v>39989</v>
      </c>
      <c r="C1383">
        <v>1.39293</v>
      </c>
      <c r="D1383">
        <v>0</v>
      </c>
      <c r="F1383">
        <v>0.51759999999999795</v>
      </c>
      <c r="G1383">
        <v>8.5189112760692307</v>
      </c>
      <c r="H1383">
        <v>1</v>
      </c>
      <c r="I1383">
        <v>0.53416779999999997</v>
      </c>
      <c r="J1383">
        <v>2009</v>
      </c>
      <c r="K1383">
        <v>6</v>
      </c>
      <c r="L1383">
        <v>25</v>
      </c>
      <c r="M1383" t="s">
        <v>90</v>
      </c>
      <c r="N1383">
        <v>0</v>
      </c>
      <c r="O1383">
        <v>0</v>
      </c>
    </row>
    <row r="1384" spans="1:15" x14ac:dyDescent="0.3">
      <c r="A1384">
        <v>1479</v>
      </c>
      <c r="B1384" s="34">
        <v>39990</v>
      </c>
      <c r="C1384">
        <v>1.3995200000000001</v>
      </c>
      <c r="D1384">
        <v>0</v>
      </c>
      <c r="F1384">
        <v>0.51759999999999795</v>
      </c>
      <c r="G1384">
        <v>8.5189112760692307</v>
      </c>
      <c r="H1384">
        <v>1</v>
      </c>
      <c r="I1384">
        <v>0.53448280000000004</v>
      </c>
      <c r="J1384">
        <v>2009</v>
      </c>
      <c r="K1384">
        <v>6</v>
      </c>
      <c r="L1384">
        <v>26</v>
      </c>
      <c r="M1384" t="s">
        <v>91</v>
      </c>
      <c r="N1384">
        <v>0</v>
      </c>
      <c r="O1384">
        <v>0</v>
      </c>
    </row>
    <row r="1385" spans="1:15" x14ac:dyDescent="0.3">
      <c r="A1385">
        <v>1480</v>
      </c>
      <c r="B1385" s="34">
        <v>39993</v>
      </c>
      <c r="C1385">
        <v>1.40551</v>
      </c>
      <c r="D1385">
        <v>0</v>
      </c>
      <c r="F1385">
        <v>0.51759999999999795</v>
      </c>
      <c r="G1385">
        <v>8.5189112760692307</v>
      </c>
      <c r="H1385">
        <v>0</v>
      </c>
      <c r="I1385">
        <v>0.53412159999999997</v>
      </c>
      <c r="J1385">
        <v>2009</v>
      </c>
      <c r="K1385">
        <v>6</v>
      </c>
      <c r="L1385">
        <v>29</v>
      </c>
      <c r="M1385" t="s">
        <v>92</v>
      </c>
      <c r="N1385">
        <v>0</v>
      </c>
      <c r="O1385">
        <v>0</v>
      </c>
    </row>
    <row r="1386" spans="1:15" x14ac:dyDescent="0.3">
      <c r="A1386">
        <v>1481</v>
      </c>
      <c r="B1386" s="34">
        <v>39994</v>
      </c>
      <c r="C1386">
        <v>1.4072199999999999</v>
      </c>
      <c r="D1386">
        <v>0</v>
      </c>
      <c r="F1386">
        <v>0.51759999999999795</v>
      </c>
      <c r="G1386">
        <v>8.5189112760692307</v>
      </c>
      <c r="H1386">
        <v>0</v>
      </c>
      <c r="I1386">
        <v>0.53376100000000004</v>
      </c>
      <c r="J1386">
        <v>2009</v>
      </c>
      <c r="K1386">
        <v>6</v>
      </c>
      <c r="L1386">
        <v>30</v>
      </c>
      <c r="M1386" t="s">
        <v>93</v>
      </c>
      <c r="N1386">
        <v>0</v>
      </c>
      <c r="O1386">
        <v>0</v>
      </c>
    </row>
    <row r="1387" spans="1:15" x14ac:dyDescent="0.3">
      <c r="A1387">
        <v>1482</v>
      </c>
      <c r="B1387" s="34">
        <v>39995</v>
      </c>
      <c r="C1387">
        <v>1.4035200000000001</v>
      </c>
      <c r="D1387">
        <v>0</v>
      </c>
      <c r="F1387">
        <v>0.51759999999999795</v>
      </c>
      <c r="G1387">
        <v>8.5189112760692307</v>
      </c>
      <c r="H1387">
        <v>1</v>
      </c>
      <c r="I1387">
        <v>0.53407559999999998</v>
      </c>
      <c r="J1387">
        <v>2009</v>
      </c>
      <c r="K1387">
        <v>7</v>
      </c>
      <c r="L1387">
        <v>1</v>
      </c>
      <c r="M1387" t="s">
        <v>89</v>
      </c>
      <c r="N1387">
        <v>0</v>
      </c>
      <c r="O1387">
        <v>0</v>
      </c>
    </row>
    <row r="1388" spans="1:15" x14ac:dyDescent="0.3">
      <c r="A1388">
        <v>1483</v>
      </c>
      <c r="B1388" s="34">
        <v>39996</v>
      </c>
      <c r="C1388">
        <v>1.4152899999999999</v>
      </c>
      <c r="D1388">
        <v>0</v>
      </c>
      <c r="F1388">
        <v>0.51759999999999795</v>
      </c>
      <c r="G1388">
        <v>8.5189112760692307</v>
      </c>
      <c r="H1388">
        <v>0</v>
      </c>
      <c r="I1388">
        <v>0.53371539999999995</v>
      </c>
      <c r="J1388">
        <v>2009</v>
      </c>
      <c r="K1388">
        <v>7</v>
      </c>
      <c r="L1388">
        <v>2</v>
      </c>
      <c r="M1388" t="s">
        <v>90</v>
      </c>
      <c r="N1388">
        <v>0</v>
      </c>
      <c r="O1388">
        <v>0</v>
      </c>
    </row>
    <row r="1389" spans="1:15" x14ac:dyDescent="0.3">
      <c r="A1389">
        <v>1484</v>
      </c>
      <c r="B1389" s="34">
        <v>39997</v>
      </c>
      <c r="C1389">
        <v>1.3949499999999999</v>
      </c>
      <c r="D1389">
        <v>0</v>
      </c>
      <c r="F1389">
        <v>0.51759999999999795</v>
      </c>
      <c r="G1389">
        <v>8.5189112760692307</v>
      </c>
      <c r="H1389">
        <v>1</v>
      </c>
      <c r="I1389">
        <v>0.53402970000000005</v>
      </c>
      <c r="J1389">
        <v>2009</v>
      </c>
      <c r="K1389">
        <v>7</v>
      </c>
      <c r="L1389">
        <v>3</v>
      </c>
      <c r="M1389" t="s">
        <v>91</v>
      </c>
      <c r="N1389">
        <v>0</v>
      </c>
      <c r="O1389">
        <v>0</v>
      </c>
    </row>
    <row r="1390" spans="1:15" x14ac:dyDescent="0.3">
      <c r="A1390">
        <v>1485</v>
      </c>
      <c r="B1390" s="34">
        <v>40000</v>
      </c>
      <c r="C1390">
        <v>1.3979699999999999</v>
      </c>
      <c r="D1390">
        <v>0</v>
      </c>
      <c r="F1390">
        <v>0.51759999999999795</v>
      </c>
      <c r="G1390">
        <v>8.5189112760692307</v>
      </c>
      <c r="H1390">
        <v>1</v>
      </c>
      <c r="I1390">
        <v>0.53434340000000002</v>
      </c>
      <c r="J1390">
        <v>2009</v>
      </c>
      <c r="K1390">
        <v>7</v>
      </c>
      <c r="L1390">
        <v>6</v>
      </c>
      <c r="M1390" t="s">
        <v>92</v>
      </c>
      <c r="N1390">
        <v>0</v>
      </c>
      <c r="O1390">
        <v>0</v>
      </c>
    </row>
    <row r="1391" spans="1:15" x14ac:dyDescent="0.3">
      <c r="A1391">
        <v>1486</v>
      </c>
      <c r="B1391" s="34">
        <v>40001</v>
      </c>
      <c r="C1391">
        <v>1.3973199999999999</v>
      </c>
      <c r="D1391">
        <v>0</v>
      </c>
      <c r="F1391">
        <v>0.51759999999999795</v>
      </c>
      <c r="G1391">
        <v>8.5189112760692307</v>
      </c>
      <c r="H1391">
        <v>0</v>
      </c>
      <c r="I1391">
        <v>0.53398380000000001</v>
      </c>
      <c r="J1391">
        <v>2009</v>
      </c>
      <c r="K1391">
        <v>7</v>
      </c>
      <c r="L1391">
        <v>7</v>
      </c>
      <c r="M1391" t="s">
        <v>93</v>
      </c>
      <c r="N1391">
        <v>0</v>
      </c>
      <c r="O1391">
        <v>0</v>
      </c>
    </row>
    <row r="1392" spans="1:15" x14ac:dyDescent="0.3">
      <c r="A1392">
        <v>1487</v>
      </c>
      <c r="B1392" s="34">
        <v>40002</v>
      </c>
      <c r="C1392">
        <v>1.3919699999999999</v>
      </c>
      <c r="D1392">
        <v>0</v>
      </c>
      <c r="F1392">
        <v>0.51759999999999795</v>
      </c>
      <c r="G1392">
        <v>8.5189112760692307</v>
      </c>
      <c r="H1392">
        <v>0</v>
      </c>
      <c r="I1392">
        <v>0.53362480000000001</v>
      </c>
      <c r="J1392">
        <v>2009</v>
      </c>
      <c r="K1392">
        <v>7</v>
      </c>
      <c r="L1392">
        <v>8</v>
      </c>
      <c r="M1392" t="s">
        <v>89</v>
      </c>
      <c r="N1392">
        <v>0</v>
      </c>
      <c r="O1392">
        <v>0</v>
      </c>
    </row>
    <row r="1393" spans="1:15" x14ac:dyDescent="0.3">
      <c r="A1393">
        <v>1488</v>
      </c>
      <c r="B1393" s="34">
        <v>40003</v>
      </c>
      <c r="C1393">
        <v>1.38741</v>
      </c>
      <c r="D1393">
        <v>0</v>
      </c>
      <c r="F1393">
        <v>0.51759999999999795</v>
      </c>
      <c r="G1393">
        <v>8.5189112760692307</v>
      </c>
      <c r="H1393">
        <v>0</v>
      </c>
      <c r="I1393">
        <v>0.53326609999999997</v>
      </c>
      <c r="J1393">
        <v>2009</v>
      </c>
      <c r="K1393">
        <v>7</v>
      </c>
      <c r="L1393">
        <v>9</v>
      </c>
      <c r="M1393" t="s">
        <v>90</v>
      </c>
      <c r="N1393">
        <v>0</v>
      </c>
      <c r="O1393">
        <v>0</v>
      </c>
    </row>
    <row r="1394" spans="1:15" x14ac:dyDescent="0.3">
      <c r="A1394">
        <v>1489</v>
      </c>
      <c r="B1394" s="34">
        <v>40004</v>
      </c>
      <c r="C1394">
        <v>1.4023600000000001</v>
      </c>
      <c r="D1394">
        <v>0</v>
      </c>
      <c r="F1394">
        <v>0.51759999999999795</v>
      </c>
      <c r="G1394">
        <v>8.5189112760692307</v>
      </c>
      <c r="H1394">
        <v>1</v>
      </c>
      <c r="I1394">
        <v>0.53357960000000004</v>
      </c>
      <c r="J1394">
        <v>2009</v>
      </c>
      <c r="K1394">
        <v>7</v>
      </c>
      <c r="L1394">
        <v>10</v>
      </c>
      <c r="M1394" t="s">
        <v>91</v>
      </c>
      <c r="N1394">
        <v>0</v>
      </c>
      <c r="O1394">
        <v>0</v>
      </c>
    </row>
    <row r="1395" spans="1:15" x14ac:dyDescent="0.3">
      <c r="A1395">
        <v>1490</v>
      </c>
      <c r="B1395" s="34">
        <v>40007</v>
      </c>
      <c r="C1395">
        <v>1.3935299999999999</v>
      </c>
      <c r="D1395">
        <v>0</v>
      </c>
      <c r="F1395">
        <v>0.51759999999999795</v>
      </c>
      <c r="G1395">
        <v>8.5189112760692307</v>
      </c>
      <c r="H1395">
        <v>1</v>
      </c>
      <c r="I1395">
        <v>0.53389260000000005</v>
      </c>
      <c r="J1395">
        <v>2009</v>
      </c>
      <c r="K1395">
        <v>7</v>
      </c>
      <c r="L1395">
        <v>13</v>
      </c>
      <c r="M1395" t="s">
        <v>92</v>
      </c>
      <c r="N1395">
        <v>0</v>
      </c>
      <c r="O1395">
        <v>0</v>
      </c>
    </row>
    <row r="1396" spans="1:15" x14ac:dyDescent="0.3">
      <c r="A1396">
        <v>1491</v>
      </c>
      <c r="B1396" s="34">
        <v>40008</v>
      </c>
      <c r="C1396">
        <v>1.3987099999999999</v>
      </c>
      <c r="D1396">
        <v>0</v>
      </c>
      <c r="F1396">
        <v>0.51759999999999795</v>
      </c>
      <c r="G1396">
        <v>8.5189112760692307</v>
      </c>
      <c r="H1396">
        <v>1</v>
      </c>
      <c r="I1396">
        <v>0.53420529999999999</v>
      </c>
      <c r="J1396">
        <v>2009</v>
      </c>
      <c r="K1396">
        <v>7</v>
      </c>
      <c r="L1396">
        <v>14</v>
      </c>
      <c r="M1396" t="s">
        <v>93</v>
      </c>
      <c r="N1396">
        <v>0</v>
      </c>
      <c r="O1396">
        <v>0</v>
      </c>
    </row>
    <row r="1397" spans="1:15" x14ac:dyDescent="0.3">
      <c r="A1397">
        <v>1492</v>
      </c>
      <c r="B1397" s="34">
        <v>40009</v>
      </c>
      <c r="C1397">
        <v>1.39716</v>
      </c>
      <c r="D1397">
        <v>0</v>
      </c>
      <c r="F1397">
        <v>0.51759999999999795</v>
      </c>
      <c r="G1397">
        <v>8.5189112760692307</v>
      </c>
      <c r="H1397">
        <v>0</v>
      </c>
      <c r="I1397">
        <v>0.53384719999999997</v>
      </c>
      <c r="J1397">
        <v>2009</v>
      </c>
      <c r="K1397">
        <v>7</v>
      </c>
      <c r="L1397">
        <v>15</v>
      </c>
      <c r="M1397" t="s">
        <v>89</v>
      </c>
      <c r="N1397">
        <v>0</v>
      </c>
      <c r="O1397">
        <v>0</v>
      </c>
    </row>
    <row r="1398" spans="1:15" x14ac:dyDescent="0.3">
      <c r="A1398">
        <v>1493</v>
      </c>
      <c r="B1398" s="34">
        <v>40010</v>
      </c>
      <c r="C1398">
        <v>1.41011</v>
      </c>
      <c r="D1398">
        <v>0</v>
      </c>
      <c r="F1398">
        <v>0.51759999999999795</v>
      </c>
      <c r="G1398">
        <v>8.5189112760692307</v>
      </c>
      <c r="H1398">
        <v>1</v>
      </c>
      <c r="I1398">
        <v>0.53415939999999995</v>
      </c>
      <c r="J1398">
        <v>2009</v>
      </c>
      <c r="K1398">
        <v>7</v>
      </c>
      <c r="L1398">
        <v>16</v>
      </c>
      <c r="M1398" t="s">
        <v>90</v>
      </c>
      <c r="N1398">
        <v>0</v>
      </c>
      <c r="O1398">
        <v>0</v>
      </c>
    </row>
    <row r="1399" spans="1:15" x14ac:dyDescent="0.3">
      <c r="A1399">
        <v>1494</v>
      </c>
      <c r="B1399" s="34">
        <v>40011</v>
      </c>
      <c r="C1399">
        <v>1.4139200000000001</v>
      </c>
      <c r="D1399">
        <v>0</v>
      </c>
      <c r="F1399">
        <v>0.51759999999999795</v>
      </c>
      <c r="G1399">
        <v>8.5189112760692307</v>
      </c>
      <c r="H1399">
        <v>0</v>
      </c>
      <c r="I1399">
        <v>0.53380190000000005</v>
      </c>
      <c r="J1399">
        <v>2009</v>
      </c>
      <c r="K1399">
        <v>7</v>
      </c>
      <c r="L1399">
        <v>17</v>
      </c>
      <c r="M1399" t="s">
        <v>91</v>
      </c>
      <c r="N1399">
        <v>0</v>
      </c>
      <c r="O1399">
        <v>0</v>
      </c>
    </row>
    <row r="1400" spans="1:15" x14ac:dyDescent="0.3">
      <c r="A1400">
        <v>1495</v>
      </c>
      <c r="B1400" s="34">
        <v>40014</v>
      </c>
      <c r="C1400">
        <v>1.41008</v>
      </c>
      <c r="D1400">
        <v>0</v>
      </c>
      <c r="F1400">
        <v>0.51759999999999795</v>
      </c>
      <c r="G1400">
        <v>8.5189112760692307</v>
      </c>
      <c r="H1400">
        <v>1</v>
      </c>
      <c r="I1400">
        <v>0.53411370000000002</v>
      </c>
      <c r="J1400">
        <v>2009</v>
      </c>
      <c r="K1400">
        <v>7</v>
      </c>
      <c r="L1400">
        <v>20</v>
      </c>
      <c r="M1400" t="s">
        <v>92</v>
      </c>
      <c r="N1400">
        <v>0</v>
      </c>
      <c r="O1400">
        <v>0</v>
      </c>
    </row>
    <row r="1401" spans="1:15" x14ac:dyDescent="0.3">
      <c r="A1401">
        <v>1496</v>
      </c>
      <c r="B1401" s="34">
        <v>40015</v>
      </c>
      <c r="C1401">
        <v>1.4227000000000001</v>
      </c>
      <c r="D1401">
        <v>0</v>
      </c>
      <c r="F1401">
        <v>0.51759999999999795</v>
      </c>
      <c r="G1401">
        <v>8.5189112760692307</v>
      </c>
      <c r="H1401">
        <v>0</v>
      </c>
      <c r="I1401">
        <v>0.53375669999999997</v>
      </c>
      <c r="J1401">
        <v>2009</v>
      </c>
      <c r="K1401">
        <v>7</v>
      </c>
      <c r="L1401">
        <v>21</v>
      </c>
      <c r="M1401" t="s">
        <v>93</v>
      </c>
      <c r="N1401">
        <v>0</v>
      </c>
      <c r="O1401">
        <v>0</v>
      </c>
    </row>
    <row r="1402" spans="1:15" x14ac:dyDescent="0.3">
      <c r="A1402">
        <v>1497</v>
      </c>
      <c r="B1402" s="34">
        <v>40016</v>
      </c>
      <c r="C1402">
        <v>1.42133</v>
      </c>
      <c r="D1402">
        <v>0</v>
      </c>
      <c r="F1402">
        <v>0.51759999999999795</v>
      </c>
      <c r="G1402">
        <v>8.5189112760692307</v>
      </c>
      <c r="H1402">
        <v>1</v>
      </c>
      <c r="I1402">
        <v>0.53406810000000005</v>
      </c>
      <c r="J1402">
        <v>2009</v>
      </c>
      <c r="K1402">
        <v>7</v>
      </c>
      <c r="L1402">
        <v>22</v>
      </c>
      <c r="M1402" t="s">
        <v>89</v>
      </c>
      <c r="N1402">
        <v>0</v>
      </c>
      <c r="O1402">
        <v>0</v>
      </c>
    </row>
    <row r="1403" spans="1:15" x14ac:dyDescent="0.3">
      <c r="A1403">
        <v>1498</v>
      </c>
      <c r="B1403" s="34">
        <v>40017</v>
      </c>
      <c r="C1403">
        <v>1.42055</v>
      </c>
      <c r="D1403">
        <v>0</v>
      </c>
      <c r="F1403">
        <v>0.51759999999999795</v>
      </c>
      <c r="G1403">
        <v>8.5189112760692307</v>
      </c>
      <c r="H1403">
        <v>1</v>
      </c>
      <c r="I1403">
        <v>0.53437920000000005</v>
      </c>
      <c r="J1403">
        <v>2009</v>
      </c>
      <c r="K1403">
        <v>7</v>
      </c>
      <c r="L1403">
        <v>23</v>
      </c>
      <c r="M1403" t="s">
        <v>90</v>
      </c>
      <c r="N1403">
        <v>0</v>
      </c>
      <c r="O1403">
        <v>0</v>
      </c>
    </row>
    <row r="1404" spans="1:15" x14ac:dyDescent="0.3">
      <c r="A1404">
        <v>1499</v>
      </c>
      <c r="B1404" s="34">
        <v>40018</v>
      </c>
      <c r="C1404">
        <v>1.4151499999999999</v>
      </c>
      <c r="D1404">
        <v>0</v>
      </c>
      <c r="F1404">
        <v>0.51759999999999795</v>
      </c>
      <c r="G1404">
        <v>8.5189112760692307</v>
      </c>
      <c r="H1404">
        <v>1</v>
      </c>
      <c r="I1404">
        <v>0.53468979999999999</v>
      </c>
      <c r="J1404">
        <v>2009</v>
      </c>
      <c r="K1404">
        <v>7</v>
      </c>
      <c r="L1404">
        <v>24</v>
      </c>
      <c r="M1404" t="s">
        <v>91</v>
      </c>
      <c r="N1404">
        <v>0</v>
      </c>
      <c r="O1404">
        <v>0</v>
      </c>
    </row>
    <row r="1405" spans="1:15" x14ac:dyDescent="0.3">
      <c r="A1405">
        <v>1500</v>
      </c>
      <c r="B1405" s="34">
        <v>40021</v>
      </c>
      <c r="C1405">
        <v>1.4201600000000001</v>
      </c>
      <c r="D1405">
        <v>0</v>
      </c>
      <c r="F1405">
        <v>0.51759999999999795</v>
      </c>
      <c r="G1405">
        <v>8.5189112760692307</v>
      </c>
      <c r="H1405">
        <v>0</v>
      </c>
      <c r="I1405">
        <v>0.53433330000000001</v>
      </c>
      <c r="J1405">
        <v>2009</v>
      </c>
      <c r="K1405">
        <v>7</v>
      </c>
      <c r="L1405">
        <v>27</v>
      </c>
      <c r="M1405" t="s">
        <v>92</v>
      </c>
      <c r="N1405">
        <v>0</v>
      </c>
      <c r="O1405">
        <v>0</v>
      </c>
    </row>
    <row r="1406" spans="1:15" x14ac:dyDescent="0.3">
      <c r="A1406">
        <v>1501</v>
      </c>
      <c r="B1406" s="34">
        <v>40022</v>
      </c>
      <c r="C1406">
        <v>1.42421</v>
      </c>
      <c r="D1406">
        <v>0</v>
      </c>
      <c r="F1406">
        <v>0.51759999999999795</v>
      </c>
      <c r="G1406">
        <v>8.5189112760692307</v>
      </c>
      <c r="H1406">
        <v>0</v>
      </c>
      <c r="I1406">
        <v>0.53397729999999999</v>
      </c>
      <c r="J1406">
        <v>2009</v>
      </c>
      <c r="K1406">
        <v>7</v>
      </c>
      <c r="L1406">
        <v>28</v>
      </c>
      <c r="M1406" t="s">
        <v>93</v>
      </c>
      <c r="N1406">
        <v>0</v>
      </c>
      <c r="O1406">
        <v>0</v>
      </c>
    </row>
    <row r="1407" spans="1:15" x14ac:dyDescent="0.3">
      <c r="A1407">
        <v>1502</v>
      </c>
      <c r="B1407" s="34">
        <v>40023</v>
      </c>
      <c r="C1407">
        <v>1.4171400000000001</v>
      </c>
      <c r="D1407">
        <v>0</v>
      </c>
      <c r="F1407">
        <v>0.51759999999999795</v>
      </c>
      <c r="G1407">
        <v>8.5189112760692307</v>
      </c>
      <c r="H1407">
        <v>1</v>
      </c>
      <c r="I1407">
        <v>0.53428759999999997</v>
      </c>
      <c r="J1407">
        <v>2009</v>
      </c>
      <c r="K1407">
        <v>7</v>
      </c>
      <c r="L1407">
        <v>29</v>
      </c>
      <c r="M1407" t="s">
        <v>89</v>
      </c>
      <c r="N1407">
        <v>0</v>
      </c>
      <c r="O1407">
        <v>0</v>
      </c>
    </row>
    <row r="1408" spans="1:15" x14ac:dyDescent="0.3">
      <c r="A1408">
        <v>1503</v>
      </c>
      <c r="B1408" s="34">
        <v>40024</v>
      </c>
      <c r="C1408">
        <v>1.40334</v>
      </c>
      <c r="D1408">
        <v>0</v>
      </c>
      <c r="F1408">
        <v>0.51759999999999795</v>
      </c>
      <c r="G1408">
        <v>8.5189112760692307</v>
      </c>
      <c r="H1408">
        <v>1</v>
      </c>
      <c r="I1408">
        <v>0.53459749999999995</v>
      </c>
      <c r="J1408">
        <v>2009</v>
      </c>
      <c r="K1408">
        <v>7</v>
      </c>
      <c r="L1408">
        <v>30</v>
      </c>
      <c r="M1408" t="s">
        <v>90</v>
      </c>
      <c r="N1408">
        <v>0</v>
      </c>
      <c r="O1408">
        <v>0</v>
      </c>
    </row>
    <row r="1409" spans="1:15" x14ac:dyDescent="0.3">
      <c r="A1409">
        <v>1504</v>
      </c>
      <c r="B1409" s="34">
        <v>40025</v>
      </c>
      <c r="C1409">
        <v>1.40652</v>
      </c>
      <c r="D1409">
        <v>0</v>
      </c>
      <c r="F1409">
        <v>0.51759999999999795</v>
      </c>
      <c r="G1409">
        <v>8.5189112760692307</v>
      </c>
      <c r="H1409">
        <v>1</v>
      </c>
      <c r="I1409">
        <v>0.53490689999999996</v>
      </c>
      <c r="J1409">
        <v>2009</v>
      </c>
      <c r="K1409">
        <v>7</v>
      </c>
      <c r="L1409">
        <v>31</v>
      </c>
      <c r="M1409" t="s">
        <v>91</v>
      </c>
      <c r="N1409">
        <v>0</v>
      </c>
      <c r="O1409">
        <v>0</v>
      </c>
    </row>
    <row r="1410" spans="1:15" x14ac:dyDescent="0.3">
      <c r="A1410">
        <v>1505</v>
      </c>
      <c r="B1410" s="34">
        <v>40028</v>
      </c>
      <c r="C1410">
        <v>1.42561</v>
      </c>
      <c r="D1410">
        <v>0</v>
      </c>
      <c r="F1410">
        <v>0.51759999999999795</v>
      </c>
      <c r="G1410">
        <v>8.5189112760692307</v>
      </c>
      <c r="H1410">
        <v>1</v>
      </c>
      <c r="I1410">
        <v>0.53521600000000003</v>
      </c>
      <c r="J1410">
        <v>2009</v>
      </c>
      <c r="K1410">
        <v>8</v>
      </c>
      <c r="L1410">
        <v>3</v>
      </c>
      <c r="M1410" t="s">
        <v>92</v>
      </c>
      <c r="N1410">
        <v>0</v>
      </c>
      <c r="O1410">
        <v>0</v>
      </c>
    </row>
    <row r="1411" spans="1:15" x14ac:dyDescent="0.3">
      <c r="A1411">
        <v>1506</v>
      </c>
      <c r="B1411" s="34">
        <v>40029</v>
      </c>
      <c r="C1411">
        <v>1.4419200000000001</v>
      </c>
      <c r="D1411">
        <v>0</v>
      </c>
      <c r="F1411">
        <v>0.51759999999999795</v>
      </c>
      <c r="G1411">
        <v>8.5189112760692307</v>
      </c>
      <c r="H1411">
        <v>0</v>
      </c>
      <c r="I1411">
        <v>0.53486060000000002</v>
      </c>
      <c r="J1411">
        <v>2009</v>
      </c>
      <c r="K1411">
        <v>8</v>
      </c>
      <c r="L1411">
        <v>4</v>
      </c>
      <c r="M1411" t="s">
        <v>93</v>
      </c>
      <c r="N1411">
        <v>0</v>
      </c>
      <c r="O1411">
        <v>0</v>
      </c>
    </row>
    <row r="1412" spans="1:15" x14ac:dyDescent="0.3">
      <c r="A1412">
        <v>1507</v>
      </c>
      <c r="B1412" s="34">
        <v>40030</v>
      </c>
      <c r="C1412">
        <v>1.43973</v>
      </c>
      <c r="D1412">
        <v>0</v>
      </c>
      <c r="F1412">
        <v>0.51759999999999795</v>
      </c>
      <c r="G1412">
        <v>8.5189112760692307</v>
      </c>
      <c r="H1412">
        <v>1</v>
      </c>
      <c r="I1412">
        <v>0.53516920000000001</v>
      </c>
      <c r="J1412">
        <v>2009</v>
      </c>
      <c r="K1412">
        <v>8</v>
      </c>
      <c r="L1412">
        <v>5</v>
      </c>
      <c r="M1412" t="s">
        <v>89</v>
      </c>
      <c r="N1412">
        <v>0</v>
      </c>
      <c r="O1412">
        <v>0</v>
      </c>
    </row>
    <row r="1413" spans="1:15" x14ac:dyDescent="0.3">
      <c r="A1413">
        <v>1508</v>
      </c>
      <c r="B1413" s="34">
        <v>40031</v>
      </c>
      <c r="C1413">
        <v>1.4413100000000001</v>
      </c>
      <c r="D1413">
        <v>0</v>
      </c>
      <c r="F1413">
        <v>0.51759999999999795</v>
      </c>
      <c r="G1413">
        <v>8.5189112760692307</v>
      </c>
      <c r="H1413">
        <v>0</v>
      </c>
      <c r="I1413">
        <v>0.53481429999999996</v>
      </c>
      <c r="J1413">
        <v>2009</v>
      </c>
      <c r="K1413">
        <v>8</v>
      </c>
      <c r="L1413">
        <v>6</v>
      </c>
      <c r="M1413" t="s">
        <v>90</v>
      </c>
      <c r="N1413">
        <v>0</v>
      </c>
      <c r="O1413">
        <v>0</v>
      </c>
    </row>
    <row r="1414" spans="1:15" x14ac:dyDescent="0.3">
      <c r="A1414">
        <v>1509</v>
      </c>
      <c r="B1414" s="34">
        <v>40032</v>
      </c>
      <c r="C1414">
        <v>1.4353899999999999</v>
      </c>
      <c r="D1414">
        <v>0</v>
      </c>
      <c r="F1414">
        <v>0.51759999999999795</v>
      </c>
      <c r="G1414">
        <v>8.5189112760692307</v>
      </c>
      <c r="H1414">
        <v>1</v>
      </c>
      <c r="I1414">
        <v>0.5351226</v>
      </c>
      <c r="J1414">
        <v>2009</v>
      </c>
      <c r="K1414">
        <v>8</v>
      </c>
      <c r="L1414">
        <v>7</v>
      </c>
      <c r="M1414" t="s">
        <v>91</v>
      </c>
      <c r="N1414">
        <v>0</v>
      </c>
      <c r="O1414">
        <v>0</v>
      </c>
    </row>
    <row r="1415" spans="1:15" x14ac:dyDescent="0.3">
      <c r="A1415">
        <v>1510</v>
      </c>
      <c r="B1415" s="34">
        <v>40035</v>
      </c>
      <c r="C1415">
        <v>1.41825</v>
      </c>
      <c r="D1415">
        <v>0</v>
      </c>
      <c r="F1415">
        <v>0.51759999999999795</v>
      </c>
      <c r="G1415">
        <v>8.5189112760692307</v>
      </c>
      <c r="H1415">
        <v>0</v>
      </c>
      <c r="I1415">
        <v>0.53476820000000003</v>
      </c>
      <c r="J1415">
        <v>2009</v>
      </c>
      <c r="K1415">
        <v>8</v>
      </c>
      <c r="L1415">
        <v>10</v>
      </c>
      <c r="M1415" t="s">
        <v>92</v>
      </c>
      <c r="N1415">
        <v>0</v>
      </c>
      <c r="O1415">
        <v>0</v>
      </c>
    </row>
    <row r="1416" spans="1:15" x14ac:dyDescent="0.3">
      <c r="A1416">
        <v>1511</v>
      </c>
      <c r="B1416" s="34">
        <v>40036</v>
      </c>
      <c r="C1416">
        <v>1.41455</v>
      </c>
      <c r="D1416">
        <v>0</v>
      </c>
      <c r="F1416">
        <v>0.51759999999999795</v>
      </c>
      <c r="G1416">
        <v>8.5189112760692307</v>
      </c>
      <c r="H1416">
        <v>0</v>
      </c>
      <c r="I1416">
        <v>0.53441430000000001</v>
      </c>
      <c r="J1416">
        <v>2009</v>
      </c>
      <c r="K1416">
        <v>8</v>
      </c>
      <c r="L1416">
        <v>11</v>
      </c>
      <c r="M1416" t="s">
        <v>93</v>
      </c>
      <c r="N1416">
        <v>0</v>
      </c>
      <c r="O1416">
        <v>0</v>
      </c>
    </row>
    <row r="1417" spans="1:15" x14ac:dyDescent="0.3">
      <c r="A1417">
        <v>1512</v>
      </c>
      <c r="B1417" s="34">
        <v>40037</v>
      </c>
      <c r="C1417">
        <v>1.41482</v>
      </c>
      <c r="D1417">
        <v>0</v>
      </c>
      <c r="F1417">
        <v>0.51759999999999795</v>
      </c>
      <c r="G1417">
        <v>8.5189112760692307</v>
      </c>
      <c r="H1417">
        <v>1</v>
      </c>
      <c r="I1417">
        <v>0.53472220000000004</v>
      </c>
      <c r="J1417">
        <v>2009</v>
      </c>
      <c r="K1417">
        <v>8</v>
      </c>
      <c r="L1417">
        <v>12</v>
      </c>
      <c r="M1417" t="s">
        <v>89</v>
      </c>
      <c r="N1417">
        <v>0</v>
      </c>
      <c r="O1417">
        <v>0</v>
      </c>
    </row>
    <row r="1418" spans="1:15" x14ac:dyDescent="0.3">
      <c r="A1418">
        <v>1513</v>
      </c>
      <c r="B1418" s="34">
        <v>40038</v>
      </c>
      <c r="C1418">
        <v>1.42022</v>
      </c>
      <c r="D1418">
        <v>0</v>
      </c>
      <c r="F1418">
        <v>0.51759999999999795</v>
      </c>
      <c r="G1418">
        <v>8.5189112760692307</v>
      </c>
      <c r="H1418">
        <v>1</v>
      </c>
      <c r="I1418">
        <v>0.5350298</v>
      </c>
      <c r="J1418">
        <v>2009</v>
      </c>
      <c r="K1418">
        <v>8</v>
      </c>
      <c r="L1418">
        <v>13</v>
      </c>
      <c r="M1418" t="s">
        <v>90</v>
      </c>
      <c r="N1418">
        <v>0</v>
      </c>
      <c r="O1418">
        <v>0</v>
      </c>
    </row>
    <row r="1419" spans="1:15" x14ac:dyDescent="0.3">
      <c r="A1419">
        <v>1514</v>
      </c>
      <c r="B1419" s="34">
        <v>40039</v>
      </c>
      <c r="C1419">
        <v>1.4278</v>
      </c>
      <c r="D1419">
        <v>0</v>
      </c>
      <c r="F1419">
        <v>0.51759999999999795</v>
      </c>
      <c r="G1419">
        <v>8.5189112760692307</v>
      </c>
      <c r="H1419">
        <v>1</v>
      </c>
      <c r="I1419">
        <v>0.5353369</v>
      </c>
      <c r="J1419">
        <v>2009</v>
      </c>
      <c r="K1419">
        <v>8</v>
      </c>
      <c r="L1419">
        <v>14</v>
      </c>
      <c r="M1419" t="s">
        <v>91</v>
      </c>
      <c r="N1419">
        <v>0</v>
      </c>
      <c r="O1419">
        <v>0</v>
      </c>
    </row>
    <row r="1420" spans="1:15" x14ac:dyDescent="0.3">
      <c r="A1420">
        <v>1515</v>
      </c>
      <c r="B1420" s="34">
        <v>40042</v>
      </c>
      <c r="C1420">
        <v>1.42022</v>
      </c>
      <c r="D1420">
        <v>1</v>
      </c>
      <c r="E1420" t="s">
        <v>387</v>
      </c>
      <c r="F1420">
        <v>0.50440999999999803</v>
      </c>
      <c r="G1420">
        <v>10.850123718628399</v>
      </c>
      <c r="H1420">
        <v>0.5</v>
      </c>
      <c r="I1420">
        <v>0.5353135</v>
      </c>
      <c r="J1420">
        <v>2009</v>
      </c>
      <c r="K1420">
        <v>8</v>
      </c>
      <c r="L1420">
        <v>17</v>
      </c>
      <c r="M1420" t="s">
        <v>92</v>
      </c>
      <c r="N1420">
        <v>0</v>
      </c>
      <c r="O1420">
        <v>0</v>
      </c>
    </row>
    <row r="1421" spans="1:15" x14ac:dyDescent="0.3">
      <c r="A1421">
        <v>1516</v>
      </c>
      <c r="B1421" s="34">
        <v>40043</v>
      </c>
      <c r="C1421">
        <v>1.40703</v>
      </c>
      <c r="D1421">
        <v>0</v>
      </c>
      <c r="F1421">
        <v>0.50440999999999803</v>
      </c>
      <c r="G1421">
        <v>10.850123718628399</v>
      </c>
      <c r="H1421">
        <v>0</v>
      </c>
      <c r="I1421">
        <v>0.5349604</v>
      </c>
      <c r="J1421">
        <v>2009</v>
      </c>
      <c r="K1421">
        <v>8</v>
      </c>
      <c r="L1421">
        <v>18</v>
      </c>
      <c r="M1421" t="s">
        <v>93</v>
      </c>
      <c r="N1421">
        <v>0</v>
      </c>
      <c r="O1421">
        <v>0</v>
      </c>
    </row>
    <row r="1422" spans="1:15" x14ac:dyDescent="0.3">
      <c r="A1422">
        <v>1517</v>
      </c>
      <c r="B1422" s="34">
        <v>40044</v>
      </c>
      <c r="C1422">
        <v>1.41309</v>
      </c>
      <c r="D1422">
        <v>0</v>
      </c>
      <c r="F1422">
        <v>0.50440999999999803</v>
      </c>
      <c r="G1422">
        <v>10.850123718628399</v>
      </c>
      <c r="H1422">
        <v>1</v>
      </c>
      <c r="I1422">
        <v>0.53526700000000005</v>
      </c>
      <c r="J1422">
        <v>2009</v>
      </c>
      <c r="K1422">
        <v>8</v>
      </c>
      <c r="L1422">
        <v>19</v>
      </c>
      <c r="M1422" t="s">
        <v>89</v>
      </c>
      <c r="N1422">
        <v>0</v>
      </c>
      <c r="O1422">
        <v>0</v>
      </c>
    </row>
    <row r="1423" spans="1:15" x14ac:dyDescent="0.3">
      <c r="A1423">
        <v>1518</v>
      </c>
      <c r="B1423" s="34">
        <v>40045</v>
      </c>
      <c r="C1423">
        <v>1.42343</v>
      </c>
      <c r="D1423">
        <v>0</v>
      </c>
      <c r="F1423">
        <v>0.50440999999999803</v>
      </c>
      <c r="G1423">
        <v>10.850123718628399</v>
      </c>
      <c r="H1423">
        <v>1</v>
      </c>
      <c r="I1423">
        <v>0.53557310000000002</v>
      </c>
      <c r="J1423">
        <v>2009</v>
      </c>
      <c r="K1423">
        <v>8</v>
      </c>
      <c r="L1423">
        <v>20</v>
      </c>
      <c r="M1423" t="s">
        <v>90</v>
      </c>
      <c r="N1423">
        <v>0</v>
      </c>
      <c r="O1423">
        <v>0</v>
      </c>
    </row>
    <row r="1424" spans="1:15" x14ac:dyDescent="0.3">
      <c r="A1424">
        <v>1519</v>
      </c>
      <c r="B1424" s="34">
        <v>40046</v>
      </c>
      <c r="C1424">
        <v>1.42452</v>
      </c>
      <c r="D1424">
        <v>0</v>
      </c>
      <c r="F1424">
        <v>0.50440999999999803</v>
      </c>
      <c r="G1424">
        <v>10.850123718628399</v>
      </c>
      <c r="H1424">
        <v>1</v>
      </c>
      <c r="I1424">
        <v>0.53587890000000005</v>
      </c>
      <c r="J1424">
        <v>2009</v>
      </c>
      <c r="K1424">
        <v>8</v>
      </c>
      <c r="L1424">
        <v>21</v>
      </c>
      <c r="M1424" t="s">
        <v>91</v>
      </c>
      <c r="N1424">
        <v>0</v>
      </c>
      <c r="O1424">
        <v>0</v>
      </c>
    </row>
    <row r="1425" spans="1:15" x14ac:dyDescent="0.3">
      <c r="A1425">
        <v>1520</v>
      </c>
      <c r="B1425" s="34">
        <v>40049</v>
      </c>
      <c r="C1425">
        <v>1.43249</v>
      </c>
      <c r="D1425">
        <v>0</v>
      </c>
      <c r="F1425">
        <v>0.50440999999999803</v>
      </c>
      <c r="G1425">
        <v>10.850123718628399</v>
      </c>
      <c r="H1425">
        <v>0</v>
      </c>
      <c r="I1425">
        <v>0.53552630000000001</v>
      </c>
      <c r="J1425">
        <v>2009</v>
      </c>
      <c r="K1425">
        <v>8</v>
      </c>
      <c r="L1425">
        <v>24</v>
      </c>
      <c r="M1425" t="s">
        <v>92</v>
      </c>
      <c r="N1425">
        <v>0</v>
      </c>
      <c r="O1425">
        <v>0</v>
      </c>
    </row>
    <row r="1426" spans="1:15" x14ac:dyDescent="0.3">
      <c r="A1426">
        <v>1521</v>
      </c>
      <c r="B1426" s="34">
        <v>40050</v>
      </c>
      <c r="C1426">
        <v>1.4297500000000001</v>
      </c>
      <c r="D1426">
        <v>0</v>
      </c>
      <c r="F1426">
        <v>0.50440999999999803</v>
      </c>
      <c r="G1426">
        <v>10.850123718628399</v>
      </c>
      <c r="H1426">
        <v>1</v>
      </c>
      <c r="I1426">
        <v>0.53583170000000002</v>
      </c>
      <c r="J1426">
        <v>2009</v>
      </c>
      <c r="K1426">
        <v>8</v>
      </c>
      <c r="L1426">
        <v>25</v>
      </c>
      <c r="M1426" t="s">
        <v>93</v>
      </c>
      <c r="N1426">
        <v>0</v>
      </c>
      <c r="O1426">
        <v>0</v>
      </c>
    </row>
    <row r="1427" spans="1:15" x14ac:dyDescent="0.3">
      <c r="A1427">
        <v>1522</v>
      </c>
      <c r="B1427" s="34">
        <v>40051</v>
      </c>
      <c r="C1427">
        <v>1.4298599999999999</v>
      </c>
      <c r="D1427">
        <v>0</v>
      </c>
      <c r="F1427">
        <v>0.50440999999999803</v>
      </c>
      <c r="G1427">
        <v>10.850123718628399</v>
      </c>
      <c r="H1427">
        <v>0</v>
      </c>
      <c r="I1427">
        <v>0.53547959999999994</v>
      </c>
      <c r="J1427">
        <v>2009</v>
      </c>
      <c r="K1427">
        <v>8</v>
      </c>
      <c r="L1427">
        <v>26</v>
      </c>
      <c r="M1427" t="s">
        <v>89</v>
      </c>
      <c r="N1427">
        <v>0</v>
      </c>
      <c r="O1427">
        <v>0</v>
      </c>
    </row>
    <row r="1428" spans="1:15" x14ac:dyDescent="0.3">
      <c r="A1428">
        <v>1523</v>
      </c>
      <c r="B1428" s="34">
        <v>40052</v>
      </c>
      <c r="C1428">
        <v>1.42411</v>
      </c>
      <c r="D1428">
        <v>0</v>
      </c>
      <c r="F1428">
        <v>0.50440999999999803</v>
      </c>
      <c r="G1428">
        <v>10.850123718628399</v>
      </c>
      <c r="H1428">
        <v>1</v>
      </c>
      <c r="I1428">
        <v>0.5357847</v>
      </c>
      <c r="J1428">
        <v>2009</v>
      </c>
      <c r="K1428">
        <v>8</v>
      </c>
      <c r="L1428">
        <v>27</v>
      </c>
      <c r="M1428" t="s">
        <v>90</v>
      </c>
      <c r="N1428">
        <v>0</v>
      </c>
      <c r="O1428">
        <v>0</v>
      </c>
    </row>
    <row r="1429" spans="1:15" x14ac:dyDescent="0.3">
      <c r="A1429">
        <v>1524</v>
      </c>
      <c r="B1429" s="34">
        <v>40053</v>
      </c>
      <c r="C1429">
        <v>1.4347799999999999</v>
      </c>
      <c r="D1429">
        <v>0</v>
      </c>
      <c r="F1429">
        <v>0.50440999999999803</v>
      </c>
      <c r="G1429">
        <v>10.850123718628399</v>
      </c>
      <c r="H1429">
        <v>1</v>
      </c>
      <c r="I1429">
        <v>0.53608920000000004</v>
      </c>
      <c r="J1429">
        <v>2009</v>
      </c>
      <c r="K1429">
        <v>8</v>
      </c>
      <c r="L1429">
        <v>28</v>
      </c>
      <c r="M1429" t="s">
        <v>91</v>
      </c>
      <c r="N1429">
        <v>0</v>
      </c>
      <c r="O1429">
        <v>0</v>
      </c>
    </row>
    <row r="1430" spans="1:15" x14ac:dyDescent="0.3">
      <c r="A1430">
        <v>1525</v>
      </c>
      <c r="B1430" s="34">
        <v>40056</v>
      </c>
      <c r="C1430">
        <v>1.43022</v>
      </c>
      <c r="D1430">
        <v>0</v>
      </c>
      <c r="F1430">
        <v>0.50440999999999803</v>
      </c>
      <c r="G1430">
        <v>10.850123718628399</v>
      </c>
      <c r="H1430">
        <v>1</v>
      </c>
      <c r="I1430">
        <v>0.53639349999999997</v>
      </c>
      <c r="J1430">
        <v>2009</v>
      </c>
      <c r="K1430">
        <v>8</v>
      </c>
      <c r="L1430">
        <v>31</v>
      </c>
      <c r="M1430" t="s">
        <v>92</v>
      </c>
      <c r="N1430">
        <v>0</v>
      </c>
      <c r="O1430">
        <v>0</v>
      </c>
    </row>
    <row r="1431" spans="1:15" x14ac:dyDescent="0.3">
      <c r="A1431">
        <v>1526</v>
      </c>
      <c r="B1431" s="34">
        <v>40057</v>
      </c>
      <c r="C1431">
        <v>1.4331100000000001</v>
      </c>
      <c r="D1431">
        <v>0</v>
      </c>
      <c r="F1431">
        <v>0.50440999999999803</v>
      </c>
      <c r="G1431">
        <v>10.850123718628399</v>
      </c>
      <c r="H1431">
        <v>0</v>
      </c>
      <c r="I1431">
        <v>0.53604189999999996</v>
      </c>
      <c r="J1431">
        <v>2009</v>
      </c>
      <c r="K1431">
        <v>9</v>
      </c>
      <c r="L1431">
        <v>1</v>
      </c>
      <c r="M1431" t="s">
        <v>93</v>
      </c>
      <c r="N1431">
        <v>0</v>
      </c>
      <c r="O1431">
        <v>0</v>
      </c>
    </row>
    <row r="1432" spans="1:15" x14ac:dyDescent="0.3">
      <c r="A1432">
        <v>1527</v>
      </c>
      <c r="B1432" s="34">
        <v>40058</v>
      </c>
      <c r="C1432">
        <v>1.4218</v>
      </c>
      <c r="D1432">
        <v>0</v>
      </c>
      <c r="F1432">
        <v>0.50440999999999803</v>
      </c>
      <c r="G1432">
        <v>10.850123718628399</v>
      </c>
      <c r="H1432">
        <v>1</v>
      </c>
      <c r="I1432">
        <v>0.53634579999999998</v>
      </c>
      <c r="J1432">
        <v>2009</v>
      </c>
      <c r="K1432">
        <v>9</v>
      </c>
      <c r="L1432">
        <v>2</v>
      </c>
      <c r="M1432" t="s">
        <v>89</v>
      </c>
      <c r="N1432">
        <v>0</v>
      </c>
      <c r="O1432">
        <v>0</v>
      </c>
    </row>
    <row r="1433" spans="1:15" x14ac:dyDescent="0.3">
      <c r="A1433">
        <v>1528</v>
      </c>
      <c r="B1433" s="34">
        <v>40059</v>
      </c>
      <c r="C1433">
        <v>1.4259999999999999</v>
      </c>
      <c r="D1433">
        <v>0</v>
      </c>
      <c r="F1433">
        <v>0.50440999999999803</v>
      </c>
      <c r="G1433">
        <v>10.850123718628399</v>
      </c>
      <c r="H1433">
        <v>1</v>
      </c>
      <c r="I1433">
        <v>0.53664920000000005</v>
      </c>
      <c r="J1433">
        <v>2009</v>
      </c>
      <c r="K1433">
        <v>9</v>
      </c>
      <c r="L1433">
        <v>3</v>
      </c>
      <c r="M1433" t="s">
        <v>90</v>
      </c>
      <c r="N1433">
        <v>0</v>
      </c>
      <c r="O1433">
        <v>0</v>
      </c>
    </row>
    <row r="1434" spans="1:15" x14ac:dyDescent="0.3">
      <c r="A1434">
        <v>1529</v>
      </c>
      <c r="B1434" s="34">
        <v>40060</v>
      </c>
      <c r="C1434">
        <v>1.4257</v>
      </c>
      <c r="D1434">
        <v>-1</v>
      </c>
      <c r="F1434">
        <v>0.500609999999998</v>
      </c>
      <c r="G1434">
        <v>11.5217391304347</v>
      </c>
      <c r="H1434">
        <v>1</v>
      </c>
      <c r="I1434">
        <v>0.53695230000000005</v>
      </c>
      <c r="J1434">
        <v>2009</v>
      </c>
      <c r="K1434">
        <v>9</v>
      </c>
      <c r="L1434">
        <v>4</v>
      </c>
      <c r="M1434" t="s">
        <v>91</v>
      </c>
      <c r="N1434">
        <v>0</v>
      </c>
      <c r="O1434">
        <v>0</v>
      </c>
    </row>
    <row r="1435" spans="1:15" x14ac:dyDescent="0.3">
      <c r="A1435">
        <v>1530</v>
      </c>
      <c r="B1435" s="34">
        <v>40063</v>
      </c>
      <c r="C1435">
        <v>1.4295</v>
      </c>
      <c r="D1435">
        <v>-1</v>
      </c>
      <c r="F1435">
        <v>0.49630999999999798</v>
      </c>
      <c r="G1435">
        <v>12.2817249911629</v>
      </c>
      <c r="H1435">
        <v>0</v>
      </c>
      <c r="I1435">
        <v>0.53660129999999995</v>
      </c>
      <c r="J1435">
        <v>2009</v>
      </c>
      <c r="K1435">
        <v>9</v>
      </c>
      <c r="L1435">
        <v>7</v>
      </c>
      <c r="M1435" t="s">
        <v>92</v>
      </c>
      <c r="N1435">
        <v>0</v>
      </c>
      <c r="O1435">
        <v>0</v>
      </c>
    </row>
    <row r="1436" spans="1:15" x14ac:dyDescent="0.3">
      <c r="A1436">
        <v>1531</v>
      </c>
      <c r="B1436" s="34">
        <v>40064</v>
      </c>
      <c r="C1436">
        <v>1.4338</v>
      </c>
      <c r="D1436">
        <v>-4</v>
      </c>
      <c r="F1436">
        <v>0.48080999999999802</v>
      </c>
      <c r="G1436">
        <v>15.021208907741199</v>
      </c>
      <c r="H1436">
        <v>0</v>
      </c>
      <c r="I1436">
        <v>0.53625080000000003</v>
      </c>
      <c r="J1436">
        <v>2009</v>
      </c>
      <c r="K1436">
        <v>9</v>
      </c>
      <c r="L1436">
        <v>8</v>
      </c>
      <c r="M1436" t="s">
        <v>93</v>
      </c>
      <c r="N1436">
        <v>0</v>
      </c>
      <c r="O1436">
        <v>0</v>
      </c>
    </row>
    <row r="1437" spans="1:15" x14ac:dyDescent="0.3">
      <c r="A1437">
        <v>1532</v>
      </c>
      <c r="B1437" s="34">
        <v>40065</v>
      </c>
      <c r="C1437">
        <v>1.4493</v>
      </c>
      <c r="D1437">
        <v>0</v>
      </c>
      <c r="F1437">
        <v>0.48080999999999802</v>
      </c>
      <c r="G1437">
        <v>15.021208907741199</v>
      </c>
      <c r="H1437">
        <v>0</v>
      </c>
      <c r="I1437">
        <v>0.53590079999999995</v>
      </c>
      <c r="J1437">
        <v>2009</v>
      </c>
      <c r="K1437">
        <v>9</v>
      </c>
      <c r="L1437">
        <v>9</v>
      </c>
      <c r="M1437" t="s">
        <v>89</v>
      </c>
      <c r="N1437">
        <v>0</v>
      </c>
      <c r="O1437">
        <v>0</v>
      </c>
    </row>
    <row r="1438" spans="1:15" x14ac:dyDescent="0.3">
      <c r="A1438">
        <v>1533</v>
      </c>
      <c r="B1438" s="34">
        <v>40066</v>
      </c>
      <c r="C1438">
        <v>1.4563999999999999</v>
      </c>
      <c r="D1438">
        <v>0</v>
      </c>
      <c r="F1438">
        <v>0.48080999999999802</v>
      </c>
      <c r="G1438">
        <v>15.021208907741199</v>
      </c>
      <c r="H1438">
        <v>0</v>
      </c>
      <c r="I1438">
        <v>0.53555120000000001</v>
      </c>
      <c r="J1438">
        <v>2009</v>
      </c>
      <c r="K1438">
        <v>9</v>
      </c>
      <c r="L1438">
        <v>10</v>
      </c>
      <c r="M1438" t="s">
        <v>90</v>
      </c>
      <c r="N1438">
        <v>0</v>
      </c>
      <c r="O1438">
        <v>0</v>
      </c>
    </row>
    <row r="1439" spans="1:15" x14ac:dyDescent="0.3">
      <c r="A1439">
        <v>1534</v>
      </c>
      <c r="B1439" s="34">
        <v>40067</v>
      </c>
      <c r="C1439">
        <v>1.4579</v>
      </c>
      <c r="D1439">
        <v>0</v>
      </c>
      <c r="F1439">
        <v>0.48080999999999802</v>
      </c>
      <c r="G1439">
        <v>15.021208907741199</v>
      </c>
      <c r="H1439">
        <v>0</v>
      </c>
      <c r="I1439">
        <v>0.53520210000000001</v>
      </c>
      <c r="J1439">
        <v>2009</v>
      </c>
      <c r="K1439">
        <v>9</v>
      </c>
      <c r="L1439">
        <v>11</v>
      </c>
      <c r="M1439" t="s">
        <v>91</v>
      </c>
      <c r="N1439">
        <v>0</v>
      </c>
      <c r="O1439">
        <v>0</v>
      </c>
    </row>
    <row r="1440" spans="1:15" x14ac:dyDescent="0.3">
      <c r="A1440">
        <v>1535</v>
      </c>
      <c r="B1440" s="34">
        <v>40070</v>
      </c>
      <c r="C1440">
        <v>1.4570000000000001</v>
      </c>
      <c r="D1440">
        <v>-2</v>
      </c>
      <c r="F1440">
        <v>0.47504999999999797</v>
      </c>
      <c r="G1440">
        <v>16.0392364793213</v>
      </c>
      <c r="H1440">
        <v>1</v>
      </c>
      <c r="I1440">
        <v>0.53550489999999995</v>
      </c>
      <c r="J1440">
        <v>2009</v>
      </c>
      <c r="K1440">
        <v>9</v>
      </c>
      <c r="L1440">
        <v>14</v>
      </c>
      <c r="M1440" t="s">
        <v>92</v>
      </c>
      <c r="N1440">
        <v>0</v>
      </c>
      <c r="O1440">
        <v>0</v>
      </c>
    </row>
    <row r="1441" spans="1:15" x14ac:dyDescent="0.3">
      <c r="A1441">
        <v>1536</v>
      </c>
      <c r="B1441" s="34">
        <v>40071</v>
      </c>
      <c r="C1441">
        <v>1.4627600000000001</v>
      </c>
      <c r="D1441">
        <v>-8</v>
      </c>
      <c r="F1441">
        <v>0.47170999999999802</v>
      </c>
      <c r="G1441">
        <v>16.629551078119398</v>
      </c>
      <c r="H1441">
        <v>0</v>
      </c>
      <c r="I1441">
        <v>0.53515630000000003</v>
      </c>
      <c r="J1441">
        <v>2009</v>
      </c>
      <c r="K1441">
        <v>9</v>
      </c>
      <c r="L1441">
        <v>15</v>
      </c>
      <c r="M1441" t="s">
        <v>93</v>
      </c>
      <c r="N1441">
        <v>0</v>
      </c>
      <c r="O1441">
        <v>0</v>
      </c>
    </row>
    <row r="1442" spans="1:15" x14ac:dyDescent="0.3">
      <c r="A1442">
        <v>1537</v>
      </c>
      <c r="B1442" s="34">
        <v>40072</v>
      </c>
      <c r="C1442">
        <v>1.4661</v>
      </c>
      <c r="D1442">
        <v>0</v>
      </c>
      <c r="F1442">
        <v>0.47170999999999802</v>
      </c>
      <c r="G1442">
        <v>16.629551078119398</v>
      </c>
      <c r="H1442">
        <v>0</v>
      </c>
      <c r="I1442">
        <v>0.53480799999999995</v>
      </c>
      <c r="J1442">
        <v>2009</v>
      </c>
      <c r="K1442">
        <v>9</v>
      </c>
      <c r="L1442">
        <v>16</v>
      </c>
      <c r="M1442" t="s">
        <v>89</v>
      </c>
      <c r="N1442">
        <v>0</v>
      </c>
      <c r="O1442">
        <v>0</v>
      </c>
    </row>
    <row r="1443" spans="1:15" x14ac:dyDescent="0.3">
      <c r="A1443">
        <v>1538</v>
      </c>
      <c r="B1443" s="34">
        <v>40073</v>
      </c>
      <c r="C1443">
        <v>1.47078</v>
      </c>
      <c r="D1443">
        <v>0</v>
      </c>
      <c r="F1443">
        <v>0.47170999999999802</v>
      </c>
      <c r="G1443">
        <v>16.629551078119398</v>
      </c>
      <c r="H1443">
        <v>0</v>
      </c>
      <c r="I1443">
        <v>0.53446039999999995</v>
      </c>
      <c r="J1443">
        <v>2009</v>
      </c>
      <c r="K1443">
        <v>9</v>
      </c>
      <c r="L1443">
        <v>17</v>
      </c>
      <c r="M1443" t="s">
        <v>90</v>
      </c>
      <c r="N1443">
        <v>0</v>
      </c>
      <c r="O1443">
        <v>0</v>
      </c>
    </row>
    <row r="1444" spans="1:15" x14ac:dyDescent="0.3">
      <c r="A1444">
        <v>1539</v>
      </c>
      <c r="B1444" s="34">
        <v>40074</v>
      </c>
      <c r="C1444">
        <v>1.47437</v>
      </c>
      <c r="D1444">
        <v>0</v>
      </c>
      <c r="F1444">
        <v>0.47170999999999802</v>
      </c>
      <c r="G1444">
        <v>16.629551078119398</v>
      </c>
      <c r="H1444">
        <v>0</v>
      </c>
      <c r="I1444">
        <v>0.53411299999999995</v>
      </c>
      <c r="J1444">
        <v>2009</v>
      </c>
      <c r="K1444">
        <v>9</v>
      </c>
      <c r="L1444">
        <v>18</v>
      </c>
      <c r="M1444" t="s">
        <v>91</v>
      </c>
      <c r="N1444">
        <v>0</v>
      </c>
      <c r="O1444">
        <v>0</v>
      </c>
    </row>
    <row r="1445" spans="1:15" x14ac:dyDescent="0.3">
      <c r="A1445">
        <v>1540</v>
      </c>
      <c r="B1445" s="34">
        <v>40077</v>
      </c>
      <c r="C1445">
        <v>1.47106</v>
      </c>
      <c r="D1445">
        <v>0</v>
      </c>
      <c r="F1445">
        <v>0.47170999999999802</v>
      </c>
      <c r="G1445">
        <v>16.629551078119398</v>
      </c>
      <c r="H1445">
        <v>1</v>
      </c>
      <c r="I1445">
        <v>0.53441559999999999</v>
      </c>
      <c r="J1445">
        <v>2009</v>
      </c>
      <c r="K1445">
        <v>9</v>
      </c>
      <c r="L1445">
        <v>21</v>
      </c>
      <c r="M1445" t="s">
        <v>92</v>
      </c>
      <c r="N1445">
        <v>0</v>
      </c>
      <c r="O1445">
        <v>0</v>
      </c>
    </row>
    <row r="1446" spans="1:15" x14ac:dyDescent="0.3">
      <c r="A1446">
        <v>1541</v>
      </c>
      <c r="B1446" s="34">
        <v>40078</v>
      </c>
      <c r="C1446">
        <v>1.46763</v>
      </c>
      <c r="D1446">
        <v>0</v>
      </c>
      <c r="F1446">
        <v>0.47170999999999802</v>
      </c>
      <c r="G1446">
        <v>16.629551078119398</v>
      </c>
      <c r="H1446">
        <v>1</v>
      </c>
      <c r="I1446">
        <v>0.53471769999999996</v>
      </c>
      <c r="J1446">
        <v>2009</v>
      </c>
      <c r="K1446">
        <v>9</v>
      </c>
      <c r="L1446">
        <v>22</v>
      </c>
      <c r="M1446" t="s">
        <v>93</v>
      </c>
      <c r="N1446">
        <v>0</v>
      </c>
      <c r="O1446">
        <v>0</v>
      </c>
    </row>
    <row r="1447" spans="1:15" x14ac:dyDescent="0.3">
      <c r="A1447">
        <v>1542</v>
      </c>
      <c r="B1447" s="34">
        <v>40079</v>
      </c>
      <c r="C1447">
        <v>1.4789300000000001</v>
      </c>
      <c r="D1447">
        <v>0</v>
      </c>
      <c r="F1447">
        <v>0.47170999999999802</v>
      </c>
      <c r="G1447">
        <v>16.629551078119398</v>
      </c>
      <c r="H1447">
        <v>1</v>
      </c>
      <c r="I1447">
        <v>0.53501949999999998</v>
      </c>
      <c r="J1447">
        <v>2009</v>
      </c>
      <c r="K1447">
        <v>9</v>
      </c>
      <c r="L1447">
        <v>23</v>
      </c>
      <c r="M1447" t="s">
        <v>89</v>
      </c>
      <c r="N1447">
        <v>0</v>
      </c>
      <c r="O1447">
        <v>0</v>
      </c>
    </row>
    <row r="1448" spans="1:15" x14ac:dyDescent="0.3">
      <c r="A1448">
        <v>1543</v>
      </c>
      <c r="B1448" s="34">
        <v>40080</v>
      </c>
      <c r="C1448">
        <v>1.46899</v>
      </c>
      <c r="D1448">
        <v>0</v>
      </c>
      <c r="F1448">
        <v>0.47170999999999802</v>
      </c>
      <c r="G1448">
        <v>16.629551078119398</v>
      </c>
      <c r="H1448">
        <v>1</v>
      </c>
      <c r="I1448">
        <v>0.53532080000000004</v>
      </c>
      <c r="J1448">
        <v>2009</v>
      </c>
      <c r="K1448">
        <v>9</v>
      </c>
      <c r="L1448">
        <v>24</v>
      </c>
      <c r="M1448" t="s">
        <v>90</v>
      </c>
      <c r="N1448">
        <v>0</v>
      </c>
      <c r="O1448">
        <v>0</v>
      </c>
    </row>
    <row r="1449" spans="1:15" x14ac:dyDescent="0.3">
      <c r="A1449">
        <v>1544</v>
      </c>
      <c r="B1449" s="34">
        <v>40081</v>
      </c>
      <c r="C1449">
        <v>1.4660599999999999</v>
      </c>
      <c r="D1449">
        <v>0</v>
      </c>
      <c r="F1449">
        <v>0.47170999999999802</v>
      </c>
      <c r="G1449">
        <v>16.629551078119398</v>
      </c>
      <c r="H1449">
        <v>0</v>
      </c>
      <c r="I1449">
        <v>0.53497410000000001</v>
      </c>
      <c r="J1449">
        <v>2009</v>
      </c>
      <c r="K1449">
        <v>9</v>
      </c>
      <c r="L1449">
        <v>25</v>
      </c>
      <c r="M1449" t="s">
        <v>91</v>
      </c>
      <c r="N1449">
        <v>0</v>
      </c>
      <c r="O1449">
        <v>0</v>
      </c>
    </row>
    <row r="1450" spans="1:15" x14ac:dyDescent="0.3">
      <c r="A1450">
        <v>1545</v>
      </c>
      <c r="B1450" s="34">
        <v>40084</v>
      </c>
      <c r="C1450">
        <v>1.4688099999999999</v>
      </c>
      <c r="D1450">
        <v>0</v>
      </c>
      <c r="F1450">
        <v>0.47170999999999802</v>
      </c>
      <c r="G1450">
        <v>16.629551078119398</v>
      </c>
      <c r="H1450">
        <v>1</v>
      </c>
      <c r="I1450">
        <v>0.5352751</v>
      </c>
      <c r="J1450">
        <v>2009</v>
      </c>
      <c r="K1450">
        <v>9</v>
      </c>
      <c r="L1450">
        <v>28</v>
      </c>
      <c r="M1450" t="s">
        <v>92</v>
      </c>
      <c r="N1450">
        <v>0</v>
      </c>
      <c r="O1450">
        <v>0</v>
      </c>
    </row>
    <row r="1451" spans="1:15" x14ac:dyDescent="0.3">
      <c r="A1451">
        <v>1546</v>
      </c>
      <c r="B1451" s="34">
        <v>40085</v>
      </c>
      <c r="C1451">
        <v>1.4612799999999999</v>
      </c>
      <c r="D1451">
        <v>0</v>
      </c>
      <c r="F1451">
        <v>0.47170999999999802</v>
      </c>
      <c r="G1451">
        <v>16.629551078119398</v>
      </c>
      <c r="H1451">
        <v>1</v>
      </c>
      <c r="I1451">
        <v>0.53557569999999999</v>
      </c>
      <c r="J1451">
        <v>2009</v>
      </c>
      <c r="K1451">
        <v>9</v>
      </c>
      <c r="L1451">
        <v>29</v>
      </c>
      <c r="M1451" t="s">
        <v>93</v>
      </c>
      <c r="N1451">
        <v>0</v>
      </c>
      <c r="O1451">
        <v>0</v>
      </c>
    </row>
    <row r="1452" spans="1:15" x14ac:dyDescent="0.3">
      <c r="A1452">
        <v>1547</v>
      </c>
      <c r="B1452" s="34">
        <v>40086</v>
      </c>
      <c r="C1452">
        <v>1.4583200000000001</v>
      </c>
      <c r="D1452">
        <v>0</v>
      </c>
      <c r="F1452">
        <v>0.47170999999999802</v>
      </c>
      <c r="G1452">
        <v>16.629551078119398</v>
      </c>
      <c r="H1452">
        <v>0</v>
      </c>
      <c r="I1452">
        <v>0.53522950000000002</v>
      </c>
      <c r="J1452">
        <v>2009</v>
      </c>
      <c r="K1452">
        <v>9</v>
      </c>
      <c r="L1452">
        <v>30</v>
      </c>
      <c r="M1452" t="s">
        <v>89</v>
      </c>
      <c r="N1452">
        <v>0</v>
      </c>
      <c r="O1452">
        <v>0</v>
      </c>
    </row>
    <row r="1453" spans="1:15" x14ac:dyDescent="0.3">
      <c r="A1453">
        <v>1548</v>
      </c>
      <c r="B1453" s="34">
        <v>40087</v>
      </c>
      <c r="C1453">
        <v>1.4636800000000001</v>
      </c>
      <c r="D1453">
        <v>0</v>
      </c>
      <c r="F1453">
        <v>0.47170999999999802</v>
      </c>
      <c r="G1453">
        <v>16.629551078119398</v>
      </c>
      <c r="H1453">
        <v>1</v>
      </c>
      <c r="I1453">
        <v>0.5355297</v>
      </c>
      <c r="J1453">
        <v>2009</v>
      </c>
      <c r="K1453">
        <v>10</v>
      </c>
      <c r="L1453">
        <v>1</v>
      </c>
      <c r="M1453" t="s">
        <v>90</v>
      </c>
      <c r="N1453">
        <v>0</v>
      </c>
      <c r="O1453">
        <v>0</v>
      </c>
    </row>
    <row r="1454" spans="1:15" x14ac:dyDescent="0.3">
      <c r="A1454">
        <v>1549</v>
      </c>
      <c r="B1454" s="34">
        <v>40088</v>
      </c>
      <c r="C1454">
        <v>1.4542299999999999</v>
      </c>
      <c r="D1454">
        <v>0</v>
      </c>
      <c r="F1454">
        <v>0.47170999999999802</v>
      </c>
      <c r="G1454">
        <v>16.629551078119398</v>
      </c>
      <c r="H1454">
        <v>0</v>
      </c>
      <c r="I1454">
        <v>0.53518399999999999</v>
      </c>
      <c r="J1454">
        <v>2009</v>
      </c>
      <c r="K1454">
        <v>10</v>
      </c>
      <c r="L1454">
        <v>2</v>
      </c>
      <c r="M1454" t="s">
        <v>91</v>
      </c>
      <c r="N1454">
        <v>0</v>
      </c>
      <c r="O1454">
        <v>0</v>
      </c>
    </row>
    <row r="1455" spans="1:15" x14ac:dyDescent="0.3">
      <c r="A1455">
        <v>1550</v>
      </c>
      <c r="B1455" s="34">
        <v>40091</v>
      </c>
      <c r="C1455">
        <v>1.4574</v>
      </c>
      <c r="D1455">
        <v>0</v>
      </c>
      <c r="F1455">
        <v>0.47170999999999802</v>
      </c>
      <c r="G1455">
        <v>16.629551078119398</v>
      </c>
      <c r="H1455">
        <v>1</v>
      </c>
      <c r="I1455">
        <v>0.53548390000000001</v>
      </c>
      <c r="J1455">
        <v>2009</v>
      </c>
      <c r="K1455">
        <v>10</v>
      </c>
      <c r="L1455">
        <v>5</v>
      </c>
      <c r="M1455" t="s">
        <v>92</v>
      </c>
      <c r="N1455">
        <v>0</v>
      </c>
      <c r="O1455">
        <v>0</v>
      </c>
    </row>
    <row r="1456" spans="1:15" x14ac:dyDescent="0.3">
      <c r="A1456">
        <v>1551</v>
      </c>
      <c r="B1456" s="34">
        <v>40092</v>
      </c>
      <c r="C1456">
        <v>1.4647399999999999</v>
      </c>
      <c r="D1456">
        <v>-5</v>
      </c>
      <c r="F1456">
        <v>0.46437999999999802</v>
      </c>
      <c r="G1456">
        <v>17.925061859314201</v>
      </c>
      <c r="H1456">
        <v>1</v>
      </c>
      <c r="I1456">
        <v>0.53578340000000002</v>
      </c>
      <c r="J1456">
        <v>2009</v>
      </c>
      <c r="K1456">
        <v>10</v>
      </c>
      <c r="L1456">
        <v>6</v>
      </c>
      <c r="M1456" t="s">
        <v>93</v>
      </c>
      <c r="N1456">
        <v>0</v>
      </c>
      <c r="O1456">
        <v>0</v>
      </c>
    </row>
    <row r="1457" spans="1:15" x14ac:dyDescent="0.3">
      <c r="A1457">
        <v>1552</v>
      </c>
      <c r="B1457" s="34">
        <v>40093</v>
      </c>
      <c r="C1457">
        <v>1.47207</v>
      </c>
      <c r="D1457">
        <v>0</v>
      </c>
      <c r="F1457">
        <v>0.46437999999999802</v>
      </c>
      <c r="G1457">
        <v>17.925061859314201</v>
      </c>
      <c r="H1457">
        <v>0</v>
      </c>
      <c r="I1457">
        <v>0.53543810000000003</v>
      </c>
      <c r="J1457">
        <v>2009</v>
      </c>
      <c r="K1457">
        <v>10</v>
      </c>
      <c r="L1457">
        <v>7</v>
      </c>
      <c r="M1457" t="s">
        <v>89</v>
      </c>
      <c r="N1457">
        <v>0</v>
      </c>
      <c r="O1457">
        <v>0</v>
      </c>
    </row>
    <row r="1458" spans="1:15" x14ac:dyDescent="0.3">
      <c r="A1458">
        <v>1553</v>
      </c>
      <c r="B1458" s="34">
        <v>40094</v>
      </c>
      <c r="C1458">
        <v>1.46862</v>
      </c>
      <c r="D1458">
        <v>0</v>
      </c>
      <c r="F1458">
        <v>0.46437999999999802</v>
      </c>
      <c r="G1458">
        <v>17.925061859314201</v>
      </c>
      <c r="H1458">
        <v>1</v>
      </c>
      <c r="I1458">
        <v>0.53573729999999997</v>
      </c>
      <c r="J1458">
        <v>2009</v>
      </c>
      <c r="K1458">
        <v>10</v>
      </c>
      <c r="L1458">
        <v>8</v>
      </c>
      <c r="M1458" t="s">
        <v>90</v>
      </c>
      <c r="N1458">
        <v>0</v>
      </c>
      <c r="O1458">
        <v>0</v>
      </c>
    </row>
    <row r="1459" spans="1:15" x14ac:dyDescent="0.3">
      <c r="A1459">
        <v>1554</v>
      </c>
      <c r="B1459" s="34">
        <v>40095</v>
      </c>
      <c r="C1459">
        <v>1.47905</v>
      </c>
      <c r="D1459">
        <v>0</v>
      </c>
      <c r="F1459">
        <v>0.46437999999999802</v>
      </c>
      <c r="G1459">
        <v>17.925061859314201</v>
      </c>
      <c r="H1459">
        <v>0</v>
      </c>
      <c r="I1459">
        <v>0.53539250000000005</v>
      </c>
      <c r="J1459">
        <v>2009</v>
      </c>
      <c r="K1459">
        <v>10</v>
      </c>
      <c r="L1459">
        <v>9</v>
      </c>
      <c r="M1459" t="s">
        <v>91</v>
      </c>
      <c r="N1459">
        <v>0</v>
      </c>
      <c r="O1459">
        <v>0</v>
      </c>
    </row>
    <row r="1460" spans="1:15" x14ac:dyDescent="0.3">
      <c r="A1460">
        <v>1555</v>
      </c>
      <c r="B1460" s="34">
        <v>40098</v>
      </c>
      <c r="C1460">
        <v>1.4730000000000001</v>
      </c>
      <c r="D1460">
        <v>0</v>
      </c>
      <c r="F1460">
        <v>0.46437999999999802</v>
      </c>
      <c r="G1460">
        <v>17.925061859314201</v>
      </c>
      <c r="H1460">
        <v>1</v>
      </c>
      <c r="I1460">
        <v>0.53569129999999998</v>
      </c>
      <c r="J1460">
        <v>2009</v>
      </c>
      <c r="K1460">
        <v>10</v>
      </c>
      <c r="L1460">
        <v>12</v>
      </c>
      <c r="M1460" t="s">
        <v>92</v>
      </c>
      <c r="N1460">
        <v>0</v>
      </c>
      <c r="O1460">
        <v>0</v>
      </c>
    </row>
    <row r="1461" spans="1:15" x14ac:dyDescent="0.3">
      <c r="A1461">
        <v>1556</v>
      </c>
      <c r="B1461" s="34">
        <v>40099</v>
      </c>
      <c r="C1461">
        <v>1.4775400000000001</v>
      </c>
      <c r="D1461">
        <v>-3</v>
      </c>
      <c r="F1461">
        <v>0.45681999999999801</v>
      </c>
      <c r="G1461">
        <v>19.261223047013001</v>
      </c>
      <c r="H1461">
        <v>0</v>
      </c>
      <c r="I1461">
        <v>0.53534700000000002</v>
      </c>
      <c r="J1461">
        <v>2009</v>
      </c>
      <c r="K1461">
        <v>10</v>
      </c>
      <c r="L1461">
        <v>13</v>
      </c>
      <c r="M1461" t="s">
        <v>93</v>
      </c>
      <c r="N1461">
        <v>0</v>
      </c>
      <c r="O1461">
        <v>0</v>
      </c>
    </row>
    <row r="1462" spans="1:15" x14ac:dyDescent="0.3">
      <c r="A1462">
        <v>1557</v>
      </c>
      <c r="B1462" s="34">
        <v>40100</v>
      </c>
      <c r="C1462">
        <v>1.4851000000000001</v>
      </c>
      <c r="D1462">
        <v>0</v>
      </c>
      <c r="F1462">
        <v>0.45681999999999801</v>
      </c>
      <c r="G1462">
        <v>19.261223047013001</v>
      </c>
      <c r="H1462">
        <v>0</v>
      </c>
      <c r="I1462">
        <v>0.53500320000000001</v>
      </c>
      <c r="J1462">
        <v>2009</v>
      </c>
      <c r="K1462">
        <v>10</v>
      </c>
      <c r="L1462">
        <v>14</v>
      </c>
      <c r="M1462" t="s">
        <v>89</v>
      </c>
      <c r="N1462">
        <v>0</v>
      </c>
      <c r="O1462">
        <v>0</v>
      </c>
    </row>
    <row r="1463" spans="1:15" x14ac:dyDescent="0.3">
      <c r="A1463">
        <v>1558</v>
      </c>
      <c r="B1463" s="34">
        <v>40101</v>
      </c>
      <c r="C1463">
        <v>1.4932300000000001</v>
      </c>
      <c r="D1463">
        <v>0</v>
      </c>
      <c r="F1463">
        <v>0.45681999999999801</v>
      </c>
      <c r="G1463">
        <v>19.261223047013001</v>
      </c>
      <c r="H1463">
        <v>0</v>
      </c>
      <c r="I1463">
        <v>0.53465980000000002</v>
      </c>
      <c r="J1463">
        <v>2009</v>
      </c>
      <c r="K1463">
        <v>10</v>
      </c>
      <c r="L1463">
        <v>15</v>
      </c>
      <c r="M1463" t="s">
        <v>90</v>
      </c>
      <c r="N1463">
        <v>0</v>
      </c>
      <c r="O1463">
        <v>0</v>
      </c>
    </row>
    <row r="1464" spans="1:15" x14ac:dyDescent="0.3">
      <c r="A1464">
        <v>1559</v>
      </c>
      <c r="B1464" s="34">
        <v>40102</v>
      </c>
      <c r="C1464">
        <v>1.49352</v>
      </c>
      <c r="D1464">
        <v>0</v>
      </c>
      <c r="F1464">
        <v>0.45681999999999801</v>
      </c>
      <c r="G1464">
        <v>19.261223047013001</v>
      </c>
      <c r="H1464">
        <v>0</v>
      </c>
      <c r="I1464">
        <v>0.53431689999999998</v>
      </c>
      <c r="J1464">
        <v>2009</v>
      </c>
      <c r="K1464">
        <v>10</v>
      </c>
      <c r="L1464">
        <v>16</v>
      </c>
      <c r="M1464" t="s">
        <v>91</v>
      </c>
      <c r="N1464">
        <v>0</v>
      </c>
      <c r="O1464">
        <v>0</v>
      </c>
    </row>
    <row r="1465" spans="1:15" x14ac:dyDescent="0.3">
      <c r="A1465">
        <v>1560</v>
      </c>
      <c r="B1465" s="34">
        <v>40105</v>
      </c>
      <c r="C1465">
        <v>1.4903500000000001</v>
      </c>
      <c r="D1465">
        <v>0</v>
      </c>
      <c r="F1465">
        <v>0.45681999999999801</v>
      </c>
      <c r="G1465">
        <v>19.261223047013001</v>
      </c>
      <c r="H1465">
        <v>1</v>
      </c>
      <c r="I1465">
        <v>0.53461539999999996</v>
      </c>
      <c r="J1465">
        <v>2009</v>
      </c>
      <c r="K1465">
        <v>10</v>
      </c>
      <c r="L1465">
        <v>19</v>
      </c>
      <c r="M1465" t="s">
        <v>92</v>
      </c>
      <c r="N1465">
        <v>0</v>
      </c>
      <c r="O1465">
        <v>0</v>
      </c>
    </row>
    <row r="1466" spans="1:15" x14ac:dyDescent="0.3">
      <c r="A1466">
        <v>1561</v>
      </c>
      <c r="B1466" s="34">
        <v>40106</v>
      </c>
      <c r="C1466">
        <v>1.49647</v>
      </c>
      <c r="D1466">
        <v>0</v>
      </c>
      <c r="F1466">
        <v>0.45681999999999801</v>
      </c>
      <c r="G1466">
        <v>19.261223047013001</v>
      </c>
      <c r="H1466">
        <v>1</v>
      </c>
      <c r="I1466">
        <v>0.53491350000000004</v>
      </c>
      <c r="J1466">
        <v>2009</v>
      </c>
      <c r="K1466">
        <v>10</v>
      </c>
      <c r="L1466">
        <v>20</v>
      </c>
      <c r="M1466" t="s">
        <v>93</v>
      </c>
      <c r="N1466">
        <v>0</v>
      </c>
      <c r="O1466">
        <v>0</v>
      </c>
    </row>
    <row r="1467" spans="1:15" x14ac:dyDescent="0.3">
      <c r="A1467">
        <v>1562</v>
      </c>
      <c r="B1467" s="34">
        <v>40107</v>
      </c>
      <c r="C1467">
        <v>1.49396</v>
      </c>
      <c r="D1467">
        <v>0</v>
      </c>
      <c r="F1467">
        <v>0.45681999999999801</v>
      </c>
      <c r="G1467">
        <v>19.261223047013001</v>
      </c>
      <c r="H1467">
        <v>1</v>
      </c>
      <c r="I1467">
        <v>0.53521129999999995</v>
      </c>
      <c r="J1467">
        <v>2009</v>
      </c>
      <c r="K1467">
        <v>10</v>
      </c>
      <c r="L1467">
        <v>21</v>
      </c>
      <c r="M1467" t="s">
        <v>89</v>
      </c>
      <c r="N1467">
        <v>0</v>
      </c>
      <c r="O1467">
        <v>0</v>
      </c>
    </row>
    <row r="1468" spans="1:15" x14ac:dyDescent="0.3">
      <c r="A1468">
        <v>1563</v>
      </c>
      <c r="B1468" s="34">
        <v>40108</v>
      </c>
      <c r="C1468">
        <v>1.5007200000000001</v>
      </c>
      <c r="D1468">
        <v>0</v>
      </c>
      <c r="F1468">
        <v>0.45681999999999801</v>
      </c>
      <c r="G1468">
        <v>19.261223047013001</v>
      </c>
      <c r="H1468">
        <v>0</v>
      </c>
      <c r="I1468">
        <v>0.53486880000000003</v>
      </c>
      <c r="J1468">
        <v>2009</v>
      </c>
      <c r="K1468">
        <v>10</v>
      </c>
      <c r="L1468">
        <v>22</v>
      </c>
      <c r="M1468" t="s">
        <v>90</v>
      </c>
      <c r="N1468">
        <v>0</v>
      </c>
      <c r="O1468">
        <v>0</v>
      </c>
    </row>
    <row r="1469" spans="1:15" x14ac:dyDescent="0.3">
      <c r="A1469">
        <v>1564</v>
      </c>
      <c r="B1469" s="34">
        <v>40109</v>
      </c>
      <c r="C1469">
        <v>1.50261</v>
      </c>
      <c r="D1469">
        <v>0</v>
      </c>
      <c r="F1469">
        <v>0.45681999999999801</v>
      </c>
      <c r="G1469">
        <v>19.261223047013001</v>
      </c>
      <c r="H1469">
        <v>0</v>
      </c>
      <c r="I1469">
        <v>0.53452679999999997</v>
      </c>
      <c r="J1469">
        <v>2009</v>
      </c>
      <c r="K1469">
        <v>10</v>
      </c>
      <c r="L1469">
        <v>23</v>
      </c>
      <c r="M1469" t="s">
        <v>91</v>
      </c>
      <c r="N1469">
        <v>0</v>
      </c>
      <c r="O1469">
        <v>0</v>
      </c>
    </row>
    <row r="1470" spans="1:15" x14ac:dyDescent="0.3">
      <c r="A1470">
        <v>1565</v>
      </c>
      <c r="B1470" s="34">
        <v>40112</v>
      </c>
      <c r="C1470">
        <v>1.5007200000000001</v>
      </c>
      <c r="D1470">
        <v>0</v>
      </c>
      <c r="F1470">
        <v>0.45681999999999801</v>
      </c>
      <c r="G1470">
        <v>19.261223047013001</v>
      </c>
      <c r="H1470">
        <v>1</v>
      </c>
      <c r="I1470">
        <v>0.53482430000000003</v>
      </c>
      <c r="J1470">
        <v>2009</v>
      </c>
      <c r="K1470">
        <v>10</v>
      </c>
      <c r="L1470">
        <v>26</v>
      </c>
      <c r="M1470" t="s">
        <v>92</v>
      </c>
      <c r="N1470">
        <v>0</v>
      </c>
      <c r="O1470">
        <v>0</v>
      </c>
    </row>
    <row r="1471" spans="1:15" x14ac:dyDescent="0.3">
      <c r="A1471">
        <v>1566</v>
      </c>
      <c r="B1471" s="34">
        <v>40113</v>
      </c>
      <c r="C1471">
        <v>1.4865200000000001</v>
      </c>
      <c r="D1471">
        <v>0</v>
      </c>
      <c r="F1471">
        <v>0.45681999999999801</v>
      </c>
      <c r="G1471">
        <v>19.261223047013001</v>
      </c>
      <c r="H1471">
        <v>1</v>
      </c>
      <c r="I1471">
        <v>0.53512130000000002</v>
      </c>
      <c r="J1471">
        <v>2009</v>
      </c>
      <c r="K1471">
        <v>10</v>
      </c>
      <c r="L1471">
        <v>27</v>
      </c>
      <c r="M1471" t="s">
        <v>93</v>
      </c>
      <c r="N1471">
        <v>0</v>
      </c>
      <c r="O1471">
        <v>0</v>
      </c>
    </row>
    <row r="1472" spans="1:15" x14ac:dyDescent="0.3">
      <c r="A1472">
        <v>1567</v>
      </c>
      <c r="B1472" s="34">
        <v>40114</v>
      </c>
      <c r="C1472">
        <v>1.48062</v>
      </c>
      <c r="D1472">
        <v>0</v>
      </c>
      <c r="F1472">
        <v>0.45681999999999801</v>
      </c>
      <c r="G1472">
        <v>19.261223047013001</v>
      </c>
      <c r="H1472">
        <v>0</v>
      </c>
      <c r="I1472">
        <v>0.53477980000000003</v>
      </c>
      <c r="J1472">
        <v>2009</v>
      </c>
      <c r="K1472">
        <v>10</v>
      </c>
      <c r="L1472">
        <v>28</v>
      </c>
      <c r="M1472" t="s">
        <v>89</v>
      </c>
      <c r="N1472">
        <v>0</v>
      </c>
      <c r="O1472">
        <v>0</v>
      </c>
    </row>
    <row r="1473" spans="1:15" x14ac:dyDescent="0.3">
      <c r="A1473">
        <v>1568</v>
      </c>
      <c r="B1473" s="34">
        <v>40115</v>
      </c>
      <c r="C1473">
        <v>1.47153</v>
      </c>
      <c r="D1473">
        <v>0</v>
      </c>
      <c r="F1473">
        <v>0.45681999999999801</v>
      </c>
      <c r="G1473">
        <v>19.261223047013001</v>
      </c>
      <c r="H1473">
        <v>0</v>
      </c>
      <c r="I1473">
        <v>0.53443879999999999</v>
      </c>
      <c r="J1473">
        <v>2009</v>
      </c>
      <c r="K1473">
        <v>10</v>
      </c>
      <c r="L1473">
        <v>29</v>
      </c>
      <c r="M1473" t="s">
        <v>90</v>
      </c>
      <c r="N1473">
        <v>0</v>
      </c>
      <c r="O1473">
        <v>0</v>
      </c>
    </row>
    <row r="1474" spans="1:15" x14ac:dyDescent="0.3">
      <c r="A1474">
        <v>1569</v>
      </c>
      <c r="B1474" s="34">
        <v>40116</v>
      </c>
      <c r="C1474">
        <v>1.4839599999999999</v>
      </c>
      <c r="D1474">
        <v>0</v>
      </c>
      <c r="F1474">
        <v>0.45681999999999801</v>
      </c>
      <c r="G1474">
        <v>19.261223047013001</v>
      </c>
      <c r="H1474">
        <v>1</v>
      </c>
      <c r="I1474">
        <v>0.53473550000000003</v>
      </c>
      <c r="J1474">
        <v>2009</v>
      </c>
      <c r="K1474">
        <v>10</v>
      </c>
      <c r="L1474">
        <v>30</v>
      </c>
      <c r="M1474" t="s">
        <v>91</v>
      </c>
      <c r="N1474">
        <v>0</v>
      </c>
      <c r="O1474">
        <v>0</v>
      </c>
    </row>
    <row r="1475" spans="1:15" x14ac:dyDescent="0.3">
      <c r="A1475">
        <v>1570</v>
      </c>
      <c r="B1475" s="34">
        <v>40119</v>
      </c>
      <c r="C1475">
        <v>1.4718500000000001</v>
      </c>
      <c r="D1475">
        <v>0</v>
      </c>
      <c r="F1475">
        <v>0.45681999999999801</v>
      </c>
      <c r="G1475">
        <v>19.261223047013001</v>
      </c>
      <c r="H1475">
        <v>1</v>
      </c>
      <c r="I1475">
        <v>0.5350319</v>
      </c>
      <c r="J1475">
        <v>2009</v>
      </c>
      <c r="K1475">
        <v>11</v>
      </c>
      <c r="L1475">
        <v>2</v>
      </c>
      <c r="M1475" t="s">
        <v>92</v>
      </c>
      <c r="N1475">
        <v>0</v>
      </c>
      <c r="O1475">
        <v>0</v>
      </c>
    </row>
    <row r="1476" spans="1:15" x14ac:dyDescent="0.3">
      <c r="A1476">
        <v>1571</v>
      </c>
      <c r="B1476" s="34">
        <v>40120</v>
      </c>
      <c r="C1476">
        <v>1.47722</v>
      </c>
      <c r="D1476">
        <v>0</v>
      </c>
      <c r="F1476">
        <v>0.45681999999999801</v>
      </c>
      <c r="G1476">
        <v>19.261223047013001</v>
      </c>
      <c r="H1476">
        <v>1</v>
      </c>
      <c r="I1476">
        <v>0.53532780000000002</v>
      </c>
      <c r="J1476">
        <v>2009</v>
      </c>
      <c r="K1476">
        <v>11</v>
      </c>
      <c r="L1476">
        <v>3</v>
      </c>
      <c r="M1476" t="s">
        <v>93</v>
      </c>
      <c r="N1476">
        <v>0</v>
      </c>
      <c r="O1476">
        <v>0</v>
      </c>
    </row>
    <row r="1477" spans="1:15" x14ac:dyDescent="0.3">
      <c r="A1477">
        <v>1572</v>
      </c>
      <c r="B1477" s="34">
        <v>40121</v>
      </c>
      <c r="C1477">
        <v>1.47156</v>
      </c>
      <c r="D1477">
        <v>0</v>
      </c>
      <c r="F1477">
        <v>0.45681999999999801</v>
      </c>
      <c r="G1477">
        <v>19.261223047013001</v>
      </c>
      <c r="H1477">
        <v>0</v>
      </c>
      <c r="I1477">
        <v>0.53498730000000005</v>
      </c>
      <c r="J1477">
        <v>2009</v>
      </c>
      <c r="K1477">
        <v>11</v>
      </c>
      <c r="L1477">
        <v>4</v>
      </c>
      <c r="M1477" t="s">
        <v>89</v>
      </c>
      <c r="N1477">
        <v>0</v>
      </c>
      <c r="O1477">
        <v>0</v>
      </c>
    </row>
    <row r="1478" spans="1:15" x14ac:dyDescent="0.3">
      <c r="A1478">
        <v>1573</v>
      </c>
      <c r="B1478" s="34">
        <v>40122</v>
      </c>
      <c r="C1478">
        <v>1.4877199999999999</v>
      </c>
      <c r="D1478">
        <v>0</v>
      </c>
      <c r="F1478">
        <v>0.45681999999999801</v>
      </c>
      <c r="G1478">
        <v>19.261223047013001</v>
      </c>
      <c r="H1478">
        <v>1</v>
      </c>
      <c r="I1478">
        <v>0.53528290000000001</v>
      </c>
      <c r="J1478">
        <v>2009</v>
      </c>
      <c r="K1478">
        <v>11</v>
      </c>
      <c r="L1478">
        <v>5</v>
      </c>
      <c r="M1478" t="s">
        <v>90</v>
      </c>
      <c r="N1478">
        <v>0</v>
      </c>
      <c r="O1478">
        <v>0</v>
      </c>
    </row>
    <row r="1479" spans="1:15" x14ac:dyDescent="0.3">
      <c r="A1479">
        <v>1574</v>
      </c>
      <c r="B1479" s="34">
        <v>40123</v>
      </c>
      <c r="C1479">
        <v>1.48712</v>
      </c>
      <c r="D1479">
        <v>0</v>
      </c>
      <c r="F1479">
        <v>0.45681999999999801</v>
      </c>
      <c r="G1479">
        <v>19.261223047013001</v>
      </c>
      <c r="H1479">
        <v>1</v>
      </c>
      <c r="I1479">
        <v>0.53557809999999995</v>
      </c>
      <c r="J1479">
        <v>2009</v>
      </c>
      <c r="K1479">
        <v>11</v>
      </c>
      <c r="L1479">
        <v>6</v>
      </c>
      <c r="M1479" t="s">
        <v>91</v>
      </c>
      <c r="N1479">
        <v>0</v>
      </c>
      <c r="O1479">
        <v>0</v>
      </c>
    </row>
    <row r="1480" spans="1:15" x14ac:dyDescent="0.3">
      <c r="A1480">
        <v>1575</v>
      </c>
      <c r="B1480" s="34">
        <v>40126</v>
      </c>
      <c r="C1480">
        <v>1.4846200000000001</v>
      </c>
      <c r="D1480">
        <v>0</v>
      </c>
      <c r="F1480">
        <v>0.45681999999999801</v>
      </c>
      <c r="G1480">
        <v>19.261223047013001</v>
      </c>
      <c r="H1480">
        <v>1</v>
      </c>
      <c r="I1480">
        <v>0.53587300000000004</v>
      </c>
      <c r="J1480">
        <v>2009</v>
      </c>
      <c r="K1480">
        <v>11</v>
      </c>
      <c r="L1480">
        <v>9</v>
      </c>
      <c r="M1480" t="s">
        <v>92</v>
      </c>
      <c r="N1480">
        <v>0</v>
      </c>
      <c r="O1480">
        <v>0</v>
      </c>
    </row>
    <row r="1481" spans="1:15" x14ac:dyDescent="0.3">
      <c r="A1481">
        <v>1576</v>
      </c>
      <c r="B1481" s="34">
        <v>40127</v>
      </c>
      <c r="C1481">
        <v>1.49959</v>
      </c>
      <c r="D1481">
        <v>0</v>
      </c>
      <c r="F1481">
        <v>0.45681999999999801</v>
      </c>
      <c r="G1481">
        <v>19.261223047013001</v>
      </c>
      <c r="H1481">
        <v>0</v>
      </c>
      <c r="I1481">
        <v>0.53553300000000004</v>
      </c>
      <c r="J1481">
        <v>2009</v>
      </c>
      <c r="K1481">
        <v>11</v>
      </c>
      <c r="L1481">
        <v>10</v>
      </c>
      <c r="M1481" t="s">
        <v>93</v>
      </c>
      <c r="N1481">
        <v>0</v>
      </c>
      <c r="O1481">
        <v>0</v>
      </c>
    </row>
    <row r="1482" spans="1:15" x14ac:dyDescent="0.3">
      <c r="A1482">
        <v>1577</v>
      </c>
      <c r="B1482" s="34">
        <v>40128</v>
      </c>
      <c r="C1482">
        <v>1.4984</v>
      </c>
      <c r="D1482">
        <v>0</v>
      </c>
      <c r="F1482">
        <v>0.45681999999999801</v>
      </c>
      <c r="G1482">
        <v>19.261223047013001</v>
      </c>
      <c r="H1482">
        <v>1</v>
      </c>
      <c r="I1482">
        <v>0.53582750000000001</v>
      </c>
      <c r="J1482">
        <v>2009</v>
      </c>
      <c r="K1482">
        <v>11</v>
      </c>
      <c r="L1482">
        <v>11</v>
      </c>
      <c r="M1482" t="s">
        <v>89</v>
      </c>
      <c r="N1482">
        <v>0</v>
      </c>
      <c r="O1482">
        <v>0</v>
      </c>
    </row>
    <row r="1483" spans="1:15" x14ac:dyDescent="0.3">
      <c r="A1483">
        <v>1578</v>
      </c>
      <c r="B1483" s="34">
        <v>40129</v>
      </c>
      <c r="C1483">
        <v>1.4984500000000001</v>
      </c>
      <c r="D1483">
        <v>1</v>
      </c>
      <c r="E1483" t="s">
        <v>388</v>
      </c>
      <c r="F1483">
        <v>0.442719999999998</v>
      </c>
      <c r="G1483">
        <v>21.753269706610102</v>
      </c>
      <c r="H1483">
        <v>0</v>
      </c>
      <c r="I1483">
        <v>0.53548790000000002</v>
      </c>
      <c r="J1483">
        <v>2009</v>
      </c>
      <c r="K1483">
        <v>11</v>
      </c>
      <c r="L1483">
        <v>12</v>
      </c>
      <c r="M1483" t="s">
        <v>90</v>
      </c>
      <c r="N1483">
        <v>0</v>
      </c>
      <c r="O1483">
        <v>0</v>
      </c>
    </row>
    <row r="1484" spans="1:15" x14ac:dyDescent="0.3">
      <c r="A1484">
        <v>1579</v>
      </c>
      <c r="B1484" s="34">
        <v>40130</v>
      </c>
      <c r="C1484">
        <v>1.4843500000000001</v>
      </c>
      <c r="D1484">
        <v>0</v>
      </c>
      <c r="F1484">
        <v>0.442719999999998</v>
      </c>
      <c r="G1484">
        <v>21.753269706610102</v>
      </c>
      <c r="H1484">
        <v>1</v>
      </c>
      <c r="I1484">
        <v>0.53578219999999999</v>
      </c>
      <c r="J1484">
        <v>2009</v>
      </c>
      <c r="K1484">
        <v>11</v>
      </c>
      <c r="L1484">
        <v>13</v>
      </c>
      <c r="M1484" t="s">
        <v>91</v>
      </c>
      <c r="N1484">
        <v>0</v>
      </c>
      <c r="O1484">
        <v>0</v>
      </c>
    </row>
    <row r="1485" spans="1:15" x14ac:dyDescent="0.3">
      <c r="A1485">
        <v>1580</v>
      </c>
      <c r="B1485" s="34">
        <v>40133</v>
      </c>
      <c r="C1485">
        <v>1.4901899999999999</v>
      </c>
      <c r="D1485">
        <v>0</v>
      </c>
      <c r="F1485">
        <v>0.442719999999998</v>
      </c>
      <c r="G1485">
        <v>21.753269706610102</v>
      </c>
      <c r="H1485">
        <v>1</v>
      </c>
      <c r="I1485">
        <v>0.53607590000000005</v>
      </c>
      <c r="J1485">
        <v>2009</v>
      </c>
      <c r="K1485">
        <v>11</v>
      </c>
      <c r="L1485">
        <v>16</v>
      </c>
      <c r="M1485" t="s">
        <v>92</v>
      </c>
      <c r="N1485">
        <v>0</v>
      </c>
      <c r="O1485">
        <v>0</v>
      </c>
    </row>
    <row r="1486" spans="1:15" x14ac:dyDescent="0.3">
      <c r="A1486">
        <v>1581</v>
      </c>
      <c r="B1486" s="34">
        <v>40134</v>
      </c>
      <c r="C1486">
        <v>1.49701</v>
      </c>
      <c r="D1486">
        <v>0</v>
      </c>
      <c r="F1486">
        <v>0.442719999999998</v>
      </c>
      <c r="G1486">
        <v>21.753269706610102</v>
      </c>
      <c r="H1486">
        <v>0</v>
      </c>
      <c r="I1486">
        <v>0.53573689999999996</v>
      </c>
      <c r="J1486">
        <v>2009</v>
      </c>
      <c r="K1486">
        <v>11</v>
      </c>
      <c r="L1486">
        <v>17</v>
      </c>
      <c r="M1486" t="s">
        <v>93</v>
      </c>
      <c r="N1486">
        <v>0</v>
      </c>
      <c r="O1486">
        <v>0</v>
      </c>
    </row>
    <row r="1487" spans="1:15" x14ac:dyDescent="0.3">
      <c r="A1487">
        <v>1582</v>
      </c>
      <c r="B1487" s="34">
        <v>40135</v>
      </c>
      <c r="C1487">
        <v>1.4863299999999999</v>
      </c>
      <c r="D1487">
        <v>0</v>
      </c>
      <c r="F1487">
        <v>0.442719999999998</v>
      </c>
      <c r="G1487">
        <v>21.753269706610102</v>
      </c>
      <c r="H1487">
        <v>1</v>
      </c>
      <c r="I1487">
        <v>0.53603040000000002</v>
      </c>
      <c r="J1487">
        <v>2009</v>
      </c>
      <c r="K1487">
        <v>11</v>
      </c>
      <c r="L1487">
        <v>18</v>
      </c>
      <c r="M1487" t="s">
        <v>89</v>
      </c>
      <c r="N1487">
        <v>0</v>
      </c>
      <c r="O1487">
        <v>0</v>
      </c>
    </row>
    <row r="1488" spans="1:15" x14ac:dyDescent="0.3">
      <c r="A1488">
        <v>1583</v>
      </c>
      <c r="B1488" s="34">
        <v>40136</v>
      </c>
      <c r="C1488">
        <v>1.4960899999999999</v>
      </c>
      <c r="D1488">
        <v>0</v>
      </c>
      <c r="F1488">
        <v>0.442719999999998</v>
      </c>
      <c r="G1488">
        <v>21.753269706610102</v>
      </c>
      <c r="H1488">
        <v>1</v>
      </c>
      <c r="I1488">
        <v>0.53632340000000001</v>
      </c>
      <c r="J1488">
        <v>2009</v>
      </c>
      <c r="K1488">
        <v>11</v>
      </c>
      <c r="L1488">
        <v>19</v>
      </c>
      <c r="M1488" t="s">
        <v>90</v>
      </c>
      <c r="N1488">
        <v>0</v>
      </c>
      <c r="O1488">
        <v>0</v>
      </c>
    </row>
    <row r="1489" spans="1:15" x14ac:dyDescent="0.3">
      <c r="A1489">
        <v>1584</v>
      </c>
      <c r="B1489" s="34">
        <v>40137</v>
      </c>
      <c r="C1489">
        <v>1.4917100000000001</v>
      </c>
      <c r="D1489">
        <v>0</v>
      </c>
      <c r="F1489">
        <v>0.442719999999998</v>
      </c>
      <c r="G1489">
        <v>21.753269706610102</v>
      </c>
      <c r="H1489">
        <v>1</v>
      </c>
      <c r="I1489">
        <v>0.53661610000000004</v>
      </c>
      <c r="J1489">
        <v>2009</v>
      </c>
      <c r="K1489">
        <v>11</v>
      </c>
      <c r="L1489">
        <v>20</v>
      </c>
      <c r="M1489" t="s">
        <v>91</v>
      </c>
      <c r="N1489">
        <v>0</v>
      </c>
      <c r="O1489">
        <v>0</v>
      </c>
    </row>
    <row r="1490" spans="1:15" x14ac:dyDescent="0.3">
      <c r="A1490">
        <v>1585</v>
      </c>
      <c r="B1490" s="34">
        <v>40140</v>
      </c>
      <c r="C1490">
        <v>1.48614</v>
      </c>
      <c r="D1490">
        <v>0</v>
      </c>
      <c r="F1490">
        <v>0.442719999999998</v>
      </c>
      <c r="G1490">
        <v>21.753269706610102</v>
      </c>
      <c r="H1490">
        <v>1</v>
      </c>
      <c r="I1490">
        <v>0.53690850000000001</v>
      </c>
      <c r="J1490">
        <v>2009</v>
      </c>
      <c r="K1490">
        <v>11</v>
      </c>
      <c r="L1490">
        <v>23</v>
      </c>
      <c r="M1490" t="s">
        <v>92</v>
      </c>
      <c r="N1490">
        <v>0</v>
      </c>
      <c r="O1490">
        <v>0</v>
      </c>
    </row>
    <row r="1491" spans="1:15" x14ac:dyDescent="0.3">
      <c r="A1491">
        <v>1586</v>
      </c>
      <c r="B1491" s="34">
        <v>40141</v>
      </c>
      <c r="C1491">
        <v>1.4960199999999999</v>
      </c>
      <c r="D1491">
        <v>0</v>
      </c>
      <c r="F1491">
        <v>0.442719999999998</v>
      </c>
      <c r="G1491">
        <v>21.753269706610102</v>
      </c>
      <c r="H1491">
        <v>1</v>
      </c>
      <c r="I1491">
        <v>0.53720049999999997</v>
      </c>
      <c r="J1491">
        <v>2009</v>
      </c>
      <c r="K1491">
        <v>11</v>
      </c>
      <c r="L1491">
        <v>24</v>
      </c>
      <c r="M1491" t="s">
        <v>93</v>
      </c>
      <c r="N1491">
        <v>0</v>
      </c>
      <c r="O1491">
        <v>0</v>
      </c>
    </row>
    <row r="1492" spans="1:15" x14ac:dyDescent="0.3">
      <c r="A1492">
        <v>1587</v>
      </c>
      <c r="B1492" s="34">
        <v>40142</v>
      </c>
      <c r="C1492">
        <v>1.4963200000000001</v>
      </c>
      <c r="D1492">
        <v>0</v>
      </c>
      <c r="F1492">
        <v>0.442719999999998</v>
      </c>
      <c r="G1492">
        <v>21.753269706610102</v>
      </c>
      <c r="H1492">
        <v>0</v>
      </c>
      <c r="I1492">
        <v>0.53686199999999995</v>
      </c>
      <c r="J1492">
        <v>2009</v>
      </c>
      <c r="K1492">
        <v>11</v>
      </c>
      <c r="L1492">
        <v>25</v>
      </c>
      <c r="M1492" t="s">
        <v>89</v>
      </c>
      <c r="N1492">
        <v>0</v>
      </c>
      <c r="O1492">
        <v>0</v>
      </c>
    </row>
    <row r="1493" spans="1:15" x14ac:dyDescent="0.3">
      <c r="A1493">
        <v>1588</v>
      </c>
      <c r="B1493" s="34">
        <v>40143</v>
      </c>
      <c r="C1493">
        <v>1.5134399999999999</v>
      </c>
      <c r="D1493">
        <v>0</v>
      </c>
      <c r="F1493">
        <v>0.442719999999998</v>
      </c>
      <c r="G1493">
        <v>21.753269706610102</v>
      </c>
      <c r="H1493">
        <v>0</v>
      </c>
      <c r="I1493">
        <v>0.53652390000000005</v>
      </c>
      <c r="J1493">
        <v>2009</v>
      </c>
      <c r="K1493">
        <v>11</v>
      </c>
      <c r="L1493">
        <v>26</v>
      </c>
      <c r="M1493" t="s">
        <v>90</v>
      </c>
      <c r="N1493">
        <v>0</v>
      </c>
      <c r="O1493">
        <v>0</v>
      </c>
    </row>
    <row r="1494" spans="1:15" x14ac:dyDescent="0.3">
      <c r="A1494">
        <v>1589</v>
      </c>
      <c r="B1494" s="34">
        <v>40144</v>
      </c>
      <c r="C1494">
        <v>1.5005900000000001</v>
      </c>
      <c r="D1494">
        <v>0</v>
      </c>
      <c r="F1494">
        <v>0.442719999999998</v>
      </c>
      <c r="G1494">
        <v>21.753269706610102</v>
      </c>
      <c r="H1494">
        <v>1</v>
      </c>
      <c r="I1494">
        <v>0.53681559999999995</v>
      </c>
      <c r="J1494">
        <v>2009</v>
      </c>
      <c r="K1494">
        <v>11</v>
      </c>
      <c r="L1494">
        <v>27</v>
      </c>
      <c r="M1494" t="s">
        <v>91</v>
      </c>
      <c r="N1494">
        <v>0</v>
      </c>
      <c r="O1494">
        <v>0</v>
      </c>
    </row>
    <row r="1495" spans="1:15" x14ac:dyDescent="0.3">
      <c r="A1495">
        <v>1590</v>
      </c>
      <c r="B1495" s="34">
        <v>40147</v>
      </c>
      <c r="C1495">
        <v>1.4986900000000001</v>
      </c>
      <c r="D1495">
        <v>0</v>
      </c>
      <c r="F1495">
        <v>0.442719999999998</v>
      </c>
      <c r="G1495">
        <v>21.753269706610102</v>
      </c>
      <c r="H1495">
        <v>0</v>
      </c>
      <c r="I1495">
        <v>0.53647800000000001</v>
      </c>
      <c r="J1495">
        <v>2009</v>
      </c>
      <c r="K1495">
        <v>11</v>
      </c>
      <c r="L1495">
        <v>30</v>
      </c>
      <c r="M1495" t="s">
        <v>92</v>
      </c>
      <c r="N1495">
        <v>0</v>
      </c>
      <c r="O1495">
        <v>0</v>
      </c>
    </row>
    <row r="1496" spans="1:15" x14ac:dyDescent="0.3">
      <c r="A1496">
        <v>1591</v>
      </c>
      <c r="B1496" s="34">
        <v>40148</v>
      </c>
      <c r="C1496">
        <v>1.50075</v>
      </c>
      <c r="D1496">
        <v>0</v>
      </c>
      <c r="F1496">
        <v>0.442719999999998</v>
      </c>
      <c r="G1496">
        <v>21.753269706610102</v>
      </c>
      <c r="H1496">
        <v>1</v>
      </c>
      <c r="I1496">
        <v>0.5367693</v>
      </c>
      <c r="J1496">
        <v>2009</v>
      </c>
      <c r="K1496">
        <v>12</v>
      </c>
      <c r="L1496">
        <v>1</v>
      </c>
      <c r="M1496" t="s">
        <v>93</v>
      </c>
      <c r="N1496">
        <v>0</v>
      </c>
      <c r="O1496">
        <v>0</v>
      </c>
    </row>
    <row r="1497" spans="1:15" x14ac:dyDescent="0.3">
      <c r="A1497">
        <v>1592</v>
      </c>
      <c r="B1497" s="34">
        <v>40149</v>
      </c>
      <c r="C1497">
        <v>1.5076099999999999</v>
      </c>
      <c r="D1497">
        <v>0</v>
      </c>
      <c r="F1497">
        <v>0.442719999999998</v>
      </c>
      <c r="G1497">
        <v>21.753269706610102</v>
      </c>
      <c r="H1497">
        <v>0</v>
      </c>
      <c r="I1497">
        <v>0.53643209999999997</v>
      </c>
      <c r="J1497">
        <v>2009</v>
      </c>
      <c r="K1497">
        <v>12</v>
      </c>
      <c r="L1497">
        <v>2</v>
      </c>
      <c r="M1497" t="s">
        <v>89</v>
      </c>
      <c r="N1497">
        <v>0</v>
      </c>
      <c r="O1497">
        <v>0</v>
      </c>
    </row>
    <row r="1498" spans="1:15" x14ac:dyDescent="0.3">
      <c r="A1498">
        <v>1593</v>
      </c>
      <c r="B1498" s="34">
        <v>40150</v>
      </c>
      <c r="C1498">
        <v>1.5046999999999999</v>
      </c>
      <c r="D1498">
        <v>0</v>
      </c>
      <c r="F1498">
        <v>0.442719999999998</v>
      </c>
      <c r="G1498">
        <v>21.753269706610102</v>
      </c>
      <c r="H1498">
        <v>1</v>
      </c>
      <c r="I1498">
        <v>0.53672310000000001</v>
      </c>
      <c r="J1498">
        <v>2009</v>
      </c>
      <c r="K1498">
        <v>12</v>
      </c>
      <c r="L1498">
        <v>3</v>
      </c>
      <c r="M1498" t="s">
        <v>90</v>
      </c>
      <c r="N1498">
        <v>0</v>
      </c>
      <c r="O1498">
        <v>0</v>
      </c>
    </row>
    <row r="1499" spans="1:15" x14ac:dyDescent="0.3">
      <c r="A1499">
        <v>1594</v>
      </c>
      <c r="B1499" s="34">
        <v>40151</v>
      </c>
      <c r="C1499">
        <v>1.5051699999999999</v>
      </c>
      <c r="D1499">
        <v>3</v>
      </c>
      <c r="E1499" t="s">
        <v>389</v>
      </c>
      <c r="F1499">
        <v>0.42314999999999803</v>
      </c>
      <c r="G1499">
        <v>25.2120890774125</v>
      </c>
      <c r="H1499">
        <v>0</v>
      </c>
      <c r="I1499">
        <v>0.53638640000000004</v>
      </c>
      <c r="J1499">
        <v>2009</v>
      </c>
      <c r="K1499">
        <v>12</v>
      </c>
      <c r="L1499">
        <v>4</v>
      </c>
      <c r="M1499" t="s">
        <v>91</v>
      </c>
      <c r="N1499">
        <v>0</v>
      </c>
      <c r="O1499">
        <v>0</v>
      </c>
    </row>
    <row r="1500" spans="1:15" x14ac:dyDescent="0.3">
      <c r="A1500">
        <v>1595</v>
      </c>
      <c r="B1500" s="34">
        <v>40154</v>
      </c>
      <c r="C1500">
        <v>1.4856</v>
      </c>
      <c r="D1500">
        <v>0</v>
      </c>
      <c r="F1500">
        <v>0.42314999999999803</v>
      </c>
      <c r="G1500">
        <v>25.2120890774125</v>
      </c>
      <c r="H1500">
        <v>1</v>
      </c>
      <c r="I1500">
        <v>0.53667710000000002</v>
      </c>
      <c r="J1500">
        <v>2009</v>
      </c>
      <c r="K1500">
        <v>12</v>
      </c>
      <c r="L1500">
        <v>7</v>
      </c>
      <c r="M1500" t="s">
        <v>92</v>
      </c>
      <c r="N1500">
        <v>0</v>
      </c>
      <c r="O1500">
        <v>0</v>
      </c>
    </row>
    <row r="1501" spans="1:15" x14ac:dyDescent="0.3">
      <c r="A1501">
        <v>1596</v>
      </c>
      <c r="B1501" s="34">
        <v>40155</v>
      </c>
      <c r="C1501">
        <v>1.4826600000000001</v>
      </c>
      <c r="D1501">
        <v>0</v>
      </c>
      <c r="F1501">
        <v>0.42314999999999803</v>
      </c>
      <c r="G1501">
        <v>25.2120890774125</v>
      </c>
      <c r="H1501">
        <v>0</v>
      </c>
      <c r="I1501">
        <v>0.53634079999999995</v>
      </c>
      <c r="J1501">
        <v>2009</v>
      </c>
      <c r="K1501">
        <v>12</v>
      </c>
      <c r="L1501">
        <v>8</v>
      </c>
      <c r="M1501" t="s">
        <v>93</v>
      </c>
      <c r="N1501">
        <v>0</v>
      </c>
      <c r="O1501">
        <v>0</v>
      </c>
    </row>
    <row r="1502" spans="1:15" x14ac:dyDescent="0.3">
      <c r="A1502">
        <v>1597</v>
      </c>
      <c r="B1502" s="34">
        <v>40156</v>
      </c>
      <c r="C1502">
        <v>1.4703299999999999</v>
      </c>
      <c r="D1502">
        <v>0</v>
      </c>
      <c r="F1502">
        <v>0.42314999999999803</v>
      </c>
      <c r="G1502">
        <v>25.2120890774125</v>
      </c>
      <c r="H1502">
        <v>0</v>
      </c>
      <c r="I1502">
        <v>0.53600499999999995</v>
      </c>
      <c r="J1502">
        <v>2009</v>
      </c>
      <c r="K1502">
        <v>12</v>
      </c>
      <c r="L1502">
        <v>9</v>
      </c>
      <c r="M1502" t="s">
        <v>89</v>
      </c>
      <c r="N1502">
        <v>0</v>
      </c>
      <c r="O1502">
        <v>0</v>
      </c>
    </row>
    <row r="1503" spans="1:15" x14ac:dyDescent="0.3">
      <c r="A1503">
        <v>1598</v>
      </c>
      <c r="B1503" s="34">
        <v>40157</v>
      </c>
      <c r="C1503">
        <v>1.47393</v>
      </c>
      <c r="D1503">
        <v>0</v>
      </c>
      <c r="F1503">
        <v>0.42314999999999803</v>
      </c>
      <c r="G1503">
        <v>25.2120890774125</v>
      </c>
      <c r="H1503">
        <v>1</v>
      </c>
      <c r="I1503">
        <v>0.53629539999999998</v>
      </c>
      <c r="J1503">
        <v>2009</v>
      </c>
      <c r="K1503">
        <v>12</v>
      </c>
      <c r="L1503">
        <v>10</v>
      </c>
      <c r="M1503" t="s">
        <v>90</v>
      </c>
      <c r="N1503">
        <v>0</v>
      </c>
      <c r="O1503">
        <v>0</v>
      </c>
    </row>
    <row r="1504" spans="1:15" x14ac:dyDescent="0.3">
      <c r="A1504">
        <v>1599</v>
      </c>
      <c r="B1504" s="34">
        <v>40158</v>
      </c>
      <c r="C1504">
        <v>1.4732099999999999</v>
      </c>
      <c r="D1504">
        <v>0</v>
      </c>
      <c r="F1504">
        <v>0.42314999999999803</v>
      </c>
      <c r="G1504">
        <v>25.2120890774125</v>
      </c>
      <c r="H1504">
        <v>0</v>
      </c>
      <c r="I1504">
        <v>0.53595999999999999</v>
      </c>
      <c r="J1504">
        <v>2009</v>
      </c>
      <c r="K1504">
        <v>12</v>
      </c>
      <c r="L1504">
        <v>11</v>
      </c>
      <c r="M1504" t="s">
        <v>91</v>
      </c>
      <c r="N1504">
        <v>0</v>
      </c>
      <c r="O1504">
        <v>0</v>
      </c>
    </row>
    <row r="1505" spans="1:15" x14ac:dyDescent="0.3">
      <c r="A1505">
        <v>1600</v>
      </c>
      <c r="B1505" s="34">
        <v>40161</v>
      </c>
      <c r="C1505">
        <v>1.4613799999999999</v>
      </c>
      <c r="D1505">
        <v>0</v>
      </c>
      <c r="F1505">
        <v>0.42314999999999803</v>
      </c>
      <c r="G1505">
        <v>25.2120890774125</v>
      </c>
      <c r="H1505">
        <v>0</v>
      </c>
      <c r="I1505">
        <v>0.53562500000000002</v>
      </c>
      <c r="J1505">
        <v>2009</v>
      </c>
      <c r="K1505">
        <v>12</v>
      </c>
      <c r="L1505">
        <v>14</v>
      </c>
      <c r="M1505" t="s">
        <v>92</v>
      </c>
      <c r="N1505">
        <v>0</v>
      </c>
      <c r="O1505">
        <v>0</v>
      </c>
    </row>
    <row r="1506" spans="1:15" x14ac:dyDescent="0.3">
      <c r="A1506">
        <v>1601</v>
      </c>
      <c r="B1506" s="34">
        <v>40162</v>
      </c>
      <c r="C1506">
        <v>1.4650799999999999</v>
      </c>
      <c r="D1506">
        <v>0</v>
      </c>
      <c r="F1506">
        <v>0.42314999999999803</v>
      </c>
      <c r="G1506">
        <v>25.2120890774125</v>
      </c>
      <c r="H1506">
        <v>1</v>
      </c>
      <c r="I1506">
        <v>0.53591509999999998</v>
      </c>
      <c r="J1506">
        <v>2009</v>
      </c>
      <c r="K1506">
        <v>12</v>
      </c>
      <c r="L1506">
        <v>15</v>
      </c>
      <c r="M1506" t="s">
        <v>93</v>
      </c>
      <c r="N1506">
        <v>0</v>
      </c>
      <c r="O1506">
        <v>0</v>
      </c>
    </row>
    <row r="1507" spans="1:15" x14ac:dyDescent="0.3">
      <c r="A1507">
        <v>1602</v>
      </c>
      <c r="B1507" s="34">
        <v>40163</v>
      </c>
      <c r="C1507">
        <v>1.45367</v>
      </c>
      <c r="D1507">
        <v>0</v>
      </c>
      <c r="F1507">
        <v>0.42314999999999803</v>
      </c>
      <c r="G1507">
        <v>25.2120890774125</v>
      </c>
      <c r="H1507">
        <v>0</v>
      </c>
      <c r="I1507">
        <v>0.53558050000000001</v>
      </c>
      <c r="J1507">
        <v>2009</v>
      </c>
      <c r="K1507">
        <v>12</v>
      </c>
      <c r="L1507">
        <v>16</v>
      </c>
      <c r="M1507" t="s">
        <v>89</v>
      </c>
      <c r="N1507">
        <v>0</v>
      </c>
      <c r="O1507">
        <v>0</v>
      </c>
    </row>
    <row r="1508" spans="1:15" x14ac:dyDescent="0.3">
      <c r="A1508">
        <v>1603</v>
      </c>
      <c r="B1508" s="34">
        <v>40164</v>
      </c>
      <c r="C1508">
        <v>1.4530000000000001</v>
      </c>
      <c r="D1508">
        <v>0</v>
      </c>
      <c r="F1508">
        <v>0.42314999999999803</v>
      </c>
      <c r="G1508">
        <v>25.2120890774125</v>
      </c>
      <c r="H1508">
        <v>0</v>
      </c>
      <c r="I1508">
        <v>0.53524640000000001</v>
      </c>
      <c r="J1508">
        <v>2009</v>
      </c>
      <c r="K1508">
        <v>12</v>
      </c>
      <c r="L1508">
        <v>17</v>
      </c>
      <c r="M1508" t="s">
        <v>90</v>
      </c>
      <c r="N1508">
        <v>0</v>
      </c>
      <c r="O1508">
        <v>0</v>
      </c>
    </row>
    <row r="1509" spans="1:15" x14ac:dyDescent="0.3">
      <c r="A1509">
        <v>1604</v>
      </c>
      <c r="B1509" s="34">
        <v>40165</v>
      </c>
      <c r="C1509">
        <v>1.4349700000000001</v>
      </c>
      <c r="D1509">
        <v>0</v>
      </c>
      <c r="F1509">
        <v>0.42314999999999803</v>
      </c>
      <c r="G1509">
        <v>25.2120890774125</v>
      </c>
      <c r="H1509">
        <v>0</v>
      </c>
      <c r="I1509">
        <v>0.53491270000000002</v>
      </c>
      <c r="J1509">
        <v>2009</v>
      </c>
      <c r="K1509">
        <v>12</v>
      </c>
      <c r="L1509">
        <v>18</v>
      </c>
      <c r="M1509" t="s">
        <v>91</v>
      </c>
      <c r="N1509">
        <v>0</v>
      </c>
      <c r="O1509">
        <v>0</v>
      </c>
    </row>
    <row r="1510" spans="1:15" x14ac:dyDescent="0.3">
      <c r="A1510">
        <v>1605</v>
      </c>
      <c r="B1510" s="34">
        <v>40168</v>
      </c>
      <c r="C1510">
        <v>1.4335199999999999</v>
      </c>
      <c r="D1510">
        <v>0</v>
      </c>
      <c r="F1510">
        <v>0.42314999999999803</v>
      </c>
      <c r="G1510">
        <v>25.2120890774125</v>
      </c>
      <c r="H1510">
        <v>0</v>
      </c>
      <c r="I1510">
        <v>0.53457949999999999</v>
      </c>
      <c r="J1510">
        <v>2009</v>
      </c>
      <c r="K1510">
        <v>12</v>
      </c>
      <c r="L1510">
        <v>21</v>
      </c>
      <c r="M1510" t="s">
        <v>92</v>
      </c>
      <c r="N1510">
        <v>0</v>
      </c>
      <c r="O1510">
        <v>0</v>
      </c>
    </row>
    <row r="1511" spans="1:15" x14ac:dyDescent="0.3">
      <c r="A1511">
        <v>1606</v>
      </c>
      <c r="B1511" s="34">
        <v>40169</v>
      </c>
      <c r="C1511">
        <v>1.4274</v>
      </c>
      <c r="D1511">
        <v>0</v>
      </c>
      <c r="F1511">
        <v>0.42314999999999803</v>
      </c>
      <c r="G1511">
        <v>25.2120890774125</v>
      </c>
      <c r="H1511">
        <v>0</v>
      </c>
      <c r="I1511">
        <v>0.53424660000000002</v>
      </c>
      <c r="J1511">
        <v>2009</v>
      </c>
      <c r="K1511">
        <v>12</v>
      </c>
      <c r="L1511">
        <v>22</v>
      </c>
      <c r="M1511" t="s">
        <v>93</v>
      </c>
      <c r="N1511">
        <v>0</v>
      </c>
      <c r="O1511">
        <v>0</v>
      </c>
    </row>
    <row r="1512" spans="1:15" x14ac:dyDescent="0.3">
      <c r="A1512">
        <v>1607</v>
      </c>
      <c r="B1512" s="34">
        <v>40170</v>
      </c>
      <c r="C1512">
        <v>1.4253100000000001</v>
      </c>
      <c r="D1512">
        <v>0</v>
      </c>
      <c r="F1512">
        <v>0.42314999999999803</v>
      </c>
      <c r="G1512">
        <v>25.2120890774125</v>
      </c>
      <c r="H1512">
        <v>1</v>
      </c>
      <c r="I1512">
        <v>0.53453640000000002</v>
      </c>
      <c r="J1512">
        <v>2009</v>
      </c>
      <c r="K1512">
        <v>12</v>
      </c>
      <c r="L1512">
        <v>23</v>
      </c>
      <c r="M1512" t="s">
        <v>89</v>
      </c>
      <c r="N1512">
        <v>0</v>
      </c>
      <c r="O1512">
        <v>0</v>
      </c>
    </row>
    <row r="1513" spans="1:15" x14ac:dyDescent="0.3">
      <c r="A1513">
        <v>1608</v>
      </c>
      <c r="B1513" s="34">
        <v>40171</v>
      </c>
      <c r="C1513">
        <v>1.43282</v>
      </c>
      <c r="D1513">
        <v>0</v>
      </c>
      <c r="F1513">
        <v>0.42314999999999803</v>
      </c>
      <c r="G1513">
        <v>25.2120890774125</v>
      </c>
      <c r="H1513">
        <v>0</v>
      </c>
      <c r="I1513">
        <v>0.53420400000000001</v>
      </c>
      <c r="J1513">
        <v>2009</v>
      </c>
      <c r="K1513">
        <v>12</v>
      </c>
      <c r="L1513">
        <v>24</v>
      </c>
      <c r="M1513" t="s">
        <v>90</v>
      </c>
      <c r="N1513">
        <v>0</v>
      </c>
      <c r="O1513">
        <v>0</v>
      </c>
    </row>
    <row r="1514" spans="1:15" x14ac:dyDescent="0.3">
      <c r="A1514">
        <v>1609</v>
      </c>
      <c r="B1514" s="34">
        <v>40175</v>
      </c>
      <c r="C1514">
        <v>1.4353800000000001</v>
      </c>
      <c r="D1514">
        <v>0</v>
      </c>
      <c r="F1514">
        <v>0.42314999999999803</v>
      </c>
      <c r="G1514">
        <v>25.2120890774125</v>
      </c>
      <c r="H1514">
        <v>0</v>
      </c>
      <c r="I1514">
        <v>0.53387189999999995</v>
      </c>
      <c r="J1514">
        <v>2009</v>
      </c>
      <c r="K1514">
        <v>12</v>
      </c>
      <c r="L1514">
        <v>28</v>
      </c>
      <c r="M1514" t="s">
        <v>92</v>
      </c>
      <c r="N1514">
        <v>0</v>
      </c>
      <c r="O1514">
        <v>0</v>
      </c>
    </row>
    <row r="1515" spans="1:15" x14ac:dyDescent="0.3">
      <c r="A1515">
        <v>1610</v>
      </c>
      <c r="B1515" s="34">
        <v>40176</v>
      </c>
      <c r="C1515">
        <v>1.43716</v>
      </c>
      <c r="D1515">
        <v>0</v>
      </c>
      <c r="F1515">
        <v>0.42314999999999803</v>
      </c>
      <c r="G1515">
        <v>25.2120890774125</v>
      </c>
      <c r="H1515">
        <v>0</v>
      </c>
      <c r="I1515">
        <v>0.53354040000000003</v>
      </c>
      <c r="J1515">
        <v>2009</v>
      </c>
      <c r="K1515">
        <v>12</v>
      </c>
      <c r="L1515">
        <v>29</v>
      </c>
      <c r="M1515" t="s">
        <v>93</v>
      </c>
      <c r="N1515">
        <v>0</v>
      </c>
      <c r="O1515">
        <v>0</v>
      </c>
    </row>
    <row r="1516" spans="1:15" x14ac:dyDescent="0.3">
      <c r="A1516">
        <v>1611</v>
      </c>
      <c r="B1516" s="34">
        <v>40177</v>
      </c>
      <c r="C1516">
        <v>1.43486</v>
      </c>
      <c r="D1516">
        <v>0</v>
      </c>
      <c r="F1516">
        <v>0.42314999999999803</v>
      </c>
      <c r="G1516">
        <v>25.2120890774125</v>
      </c>
      <c r="H1516">
        <v>1</v>
      </c>
      <c r="I1516">
        <v>0.53382989999999997</v>
      </c>
      <c r="J1516">
        <v>2009</v>
      </c>
      <c r="K1516">
        <v>12</v>
      </c>
      <c r="L1516">
        <v>30</v>
      </c>
      <c r="M1516" t="s">
        <v>89</v>
      </c>
      <c r="N1516">
        <v>0</v>
      </c>
      <c r="O1516">
        <v>0</v>
      </c>
    </row>
    <row r="1517" spans="1:15" x14ac:dyDescent="0.3">
      <c r="A1517">
        <v>1612</v>
      </c>
      <c r="B1517" s="34">
        <v>40178</v>
      </c>
      <c r="C1517">
        <v>1.4336</v>
      </c>
      <c r="D1517">
        <v>0</v>
      </c>
      <c r="F1517">
        <v>0.42314999999999803</v>
      </c>
      <c r="G1517">
        <v>25.2120890774125</v>
      </c>
      <c r="H1517">
        <v>1</v>
      </c>
      <c r="I1517">
        <v>0.53411909999999996</v>
      </c>
      <c r="J1517">
        <v>2009</v>
      </c>
      <c r="K1517">
        <v>12</v>
      </c>
      <c r="L1517">
        <v>31</v>
      </c>
      <c r="M1517" t="s">
        <v>90</v>
      </c>
      <c r="N1517">
        <v>0</v>
      </c>
      <c r="O1517">
        <v>0</v>
      </c>
    </row>
    <row r="1518" spans="1:15" x14ac:dyDescent="0.3">
      <c r="A1518">
        <v>1613</v>
      </c>
      <c r="B1518" s="34">
        <v>40182</v>
      </c>
      <c r="C1518">
        <v>1.4327799999999999</v>
      </c>
      <c r="D1518">
        <v>1</v>
      </c>
      <c r="E1518" t="s">
        <v>390</v>
      </c>
      <c r="F1518">
        <v>0.43147999999999798</v>
      </c>
      <c r="G1518">
        <v>23.739837398373901</v>
      </c>
      <c r="H1518">
        <v>1</v>
      </c>
      <c r="I1518">
        <v>0.53440790000000005</v>
      </c>
      <c r="J1518">
        <v>2010</v>
      </c>
      <c r="K1518">
        <v>1</v>
      </c>
      <c r="L1518">
        <v>4</v>
      </c>
      <c r="M1518" t="s">
        <v>92</v>
      </c>
      <c r="N1518">
        <v>0</v>
      </c>
      <c r="O1518">
        <v>0</v>
      </c>
    </row>
    <row r="1519" spans="1:15" x14ac:dyDescent="0.3">
      <c r="A1519">
        <v>1614</v>
      </c>
      <c r="B1519" s="34">
        <v>40183</v>
      </c>
      <c r="C1519">
        <v>1.4411099999999999</v>
      </c>
      <c r="D1519">
        <v>0</v>
      </c>
      <c r="F1519">
        <v>0.43147999999999798</v>
      </c>
      <c r="G1519">
        <v>23.739837398373901</v>
      </c>
      <c r="H1519">
        <v>0</v>
      </c>
      <c r="I1519">
        <v>0.53407680000000002</v>
      </c>
      <c r="J1519">
        <v>2010</v>
      </c>
      <c r="K1519">
        <v>1</v>
      </c>
      <c r="L1519">
        <v>5</v>
      </c>
      <c r="M1519" t="s">
        <v>93</v>
      </c>
      <c r="N1519">
        <v>0</v>
      </c>
      <c r="O1519">
        <v>0</v>
      </c>
    </row>
    <row r="1520" spans="1:15" x14ac:dyDescent="0.3">
      <c r="A1520">
        <v>1615</v>
      </c>
      <c r="B1520" s="34">
        <v>40184</v>
      </c>
      <c r="C1520">
        <v>1.43624</v>
      </c>
      <c r="D1520">
        <v>0</v>
      </c>
      <c r="F1520">
        <v>0.43147999999999798</v>
      </c>
      <c r="G1520">
        <v>23.739837398373901</v>
      </c>
      <c r="H1520">
        <v>1</v>
      </c>
      <c r="I1520">
        <v>0.53436530000000004</v>
      </c>
      <c r="J1520">
        <v>2010</v>
      </c>
      <c r="K1520">
        <v>1</v>
      </c>
      <c r="L1520">
        <v>6</v>
      </c>
      <c r="M1520" t="s">
        <v>89</v>
      </c>
      <c r="N1520">
        <v>0</v>
      </c>
      <c r="O1520">
        <v>0</v>
      </c>
    </row>
    <row r="1521" spans="1:15" x14ac:dyDescent="0.3">
      <c r="A1521">
        <v>1616</v>
      </c>
      <c r="B1521" s="34">
        <v>40185</v>
      </c>
      <c r="C1521">
        <v>1.43998</v>
      </c>
      <c r="D1521">
        <v>0</v>
      </c>
      <c r="F1521">
        <v>0.43147999999999798</v>
      </c>
      <c r="G1521">
        <v>23.739837398373901</v>
      </c>
      <c r="H1521">
        <v>0</v>
      </c>
      <c r="I1521">
        <v>0.53403469999999997</v>
      </c>
      <c r="J1521">
        <v>2010</v>
      </c>
      <c r="K1521">
        <v>1</v>
      </c>
      <c r="L1521">
        <v>7</v>
      </c>
      <c r="M1521" t="s">
        <v>90</v>
      </c>
      <c r="N1521">
        <v>0</v>
      </c>
      <c r="O1521">
        <v>0</v>
      </c>
    </row>
    <row r="1522" spans="1:15" x14ac:dyDescent="0.3">
      <c r="A1522">
        <v>1617</v>
      </c>
      <c r="B1522" s="34">
        <v>40186</v>
      </c>
      <c r="C1522">
        <v>1.43041</v>
      </c>
      <c r="D1522">
        <v>0</v>
      </c>
      <c r="F1522">
        <v>0.43147999999999798</v>
      </c>
      <c r="G1522">
        <v>23.739837398373901</v>
      </c>
      <c r="H1522">
        <v>1</v>
      </c>
      <c r="I1522">
        <v>0.53432279999999999</v>
      </c>
      <c r="J1522">
        <v>2010</v>
      </c>
      <c r="K1522">
        <v>1</v>
      </c>
      <c r="L1522">
        <v>8</v>
      </c>
      <c r="M1522" t="s">
        <v>91</v>
      </c>
      <c r="N1522">
        <v>0</v>
      </c>
      <c r="O1522">
        <v>0</v>
      </c>
    </row>
    <row r="1523" spans="1:15" x14ac:dyDescent="0.3">
      <c r="A1523">
        <v>1618</v>
      </c>
      <c r="B1523" s="34">
        <v>40189</v>
      </c>
      <c r="C1523">
        <v>1.44085</v>
      </c>
      <c r="D1523">
        <v>0</v>
      </c>
      <c r="F1523">
        <v>0.43147999999999798</v>
      </c>
      <c r="G1523">
        <v>23.739837398373901</v>
      </c>
      <c r="H1523">
        <v>1</v>
      </c>
      <c r="I1523">
        <v>0.53461060000000005</v>
      </c>
      <c r="J1523">
        <v>2010</v>
      </c>
      <c r="K1523">
        <v>1</v>
      </c>
      <c r="L1523">
        <v>11</v>
      </c>
      <c r="M1523" t="s">
        <v>92</v>
      </c>
      <c r="N1523">
        <v>0</v>
      </c>
      <c r="O1523">
        <v>0</v>
      </c>
    </row>
    <row r="1524" spans="1:15" x14ac:dyDescent="0.3">
      <c r="A1524">
        <v>1619</v>
      </c>
      <c r="B1524" s="34">
        <v>40190</v>
      </c>
      <c r="C1524">
        <v>1.4512</v>
      </c>
      <c r="D1524">
        <v>0</v>
      </c>
      <c r="F1524">
        <v>0.43147999999999798</v>
      </c>
      <c r="G1524">
        <v>23.739837398373901</v>
      </c>
      <c r="H1524">
        <v>0</v>
      </c>
      <c r="I1524">
        <v>0.53428039999999999</v>
      </c>
      <c r="J1524">
        <v>2010</v>
      </c>
      <c r="K1524">
        <v>1</v>
      </c>
      <c r="L1524">
        <v>12</v>
      </c>
      <c r="M1524" t="s">
        <v>93</v>
      </c>
      <c r="N1524">
        <v>0</v>
      </c>
      <c r="O1524">
        <v>0</v>
      </c>
    </row>
    <row r="1525" spans="1:15" x14ac:dyDescent="0.3">
      <c r="A1525">
        <v>1620</v>
      </c>
      <c r="B1525" s="34">
        <v>40191</v>
      </c>
      <c r="C1525">
        <v>1.4492</v>
      </c>
      <c r="D1525">
        <v>0</v>
      </c>
      <c r="F1525">
        <v>0.43147999999999798</v>
      </c>
      <c r="G1525">
        <v>23.739837398373901</v>
      </c>
      <c r="H1525">
        <v>1</v>
      </c>
      <c r="I1525">
        <v>0.53456789999999998</v>
      </c>
      <c r="J1525">
        <v>2010</v>
      </c>
      <c r="K1525">
        <v>1</v>
      </c>
      <c r="L1525">
        <v>13</v>
      </c>
      <c r="M1525" t="s">
        <v>89</v>
      </c>
      <c r="N1525">
        <v>0</v>
      </c>
      <c r="O1525">
        <v>0</v>
      </c>
    </row>
    <row r="1526" spans="1:15" x14ac:dyDescent="0.3">
      <c r="A1526">
        <v>1621</v>
      </c>
      <c r="B1526" s="34">
        <v>40192</v>
      </c>
      <c r="C1526">
        <v>1.45052</v>
      </c>
      <c r="D1526">
        <v>-3</v>
      </c>
      <c r="F1526">
        <v>0.43221999999999799</v>
      </c>
      <c r="G1526">
        <v>23.609049133969599</v>
      </c>
      <c r="H1526">
        <v>0</v>
      </c>
      <c r="I1526">
        <v>0.53423810000000005</v>
      </c>
      <c r="J1526">
        <v>2010</v>
      </c>
      <c r="K1526">
        <v>1</v>
      </c>
      <c r="L1526">
        <v>14</v>
      </c>
      <c r="M1526" t="s">
        <v>90</v>
      </c>
      <c r="N1526">
        <v>0</v>
      </c>
      <c r="O1526">
        <v>0</v>
      </c>
    </row>
    <row r="1527" spans="1:15" x14ac:dyDescent="0.3">
      <c r="A1527">
        <v>1622</v>
      </c>
      <c r="B1527" s="34">
        <v>40193</v>
      </c>
      <c r="C1527">
        <v>1.4497800000000001</v>
      </c>
      <c r="D1527">
        <v>0</v>
      </c>
      <c r="F1527">
        <v>0.43221999999999799</v>
      </c>
      <c r="G1527">
        <v>23.609049133969599</v>
      </c>
      <c r="H1527">
        <v>1</v>
      </c>
      <c r="I1527">
        <v>0.53452529999999998</v>
      </c>
      <c r="J1527">
        <v>2010</v>
      </c>
      <c r="K1527">
        <v>1</v>
      </c>
      <c r="L1527">
        <v>15</v>
      </c>
      <c r="M1527" t="s">
        <v>91</v>
      </c>
      <c r="N1527">
        <v>0</v>
      </c>
      <c r="O1527">
        <v>0</v>
      </c>
    </row>
    <row r="1528" spans="1:15" x14ac:dyDescent="0.3">
      <c r="A1528">
        <v>1623</v>
      </c>
      <c r="B1528" s="34">
        <v>40196</v>
      </c>
      <c r="C1528">
        <v>1.4385699999999999</v>
      </c>
      <c r="D1528">
        <v>0</v>
      </c>
      <c r="F1528">
        <v>0.43221999999999799</v>
      </c>
      <c r="G1528">
        <v>23.609049133969599</v>
      </c>
      <c r="H1528">
        <v>1</v>
      </c>
      <c r="I1528">
        <v>0.53481210000000001</v>
      </c>
      <c r="J1528">
        <v>2010</v>
      </c>
      <c r="K1528">
        <v>1</v>
      </c>
      <c r="L1528">
        <v>18</v>
      </c>
      <c r="M1528" t="s">
        <v>92</v>
      </c>
      <c r="N1528">
        <v>0</v>
      </c>
      <c r="O1528">
        <v>0</v>
      </c>
    </row>
    <row r="1529" spans="1:15" x14ac:dyDescent="0.3">
      <c r="A1529">
        <v>1624</v>
      </c>
      <c r="B1529" s="34">
        <v>40197</v>
      </c>
      <c r="C1529">
        <v>1.43872</v>
      </c>
      <c r="D1529">
        <v>0</v>
      </c>
      <c r="F1529">
        <v>0.43221999999999799</v>
      </c>
      <c r="G1529">
        <v>23.609049133969599</v>
      </c>
      <c r="H1529">
        <v>1</v>
      </c>
      <c r="I1529">
        <v>0.53509850000000003</v>
      </c>
      <c r="J1529">
        <v>2010</v>
      </c>
      <c r="K1529">
        <v>1</v>
      </c>
      <c r="L1529">
        <v>19</v>
      </c>
      <c r="M1529" t="s">
        <v>93</v>
      </c>
      <c r="N1529">
        <v>0</v>
      </c>
      <c r="O1529">
        <v>0</v>
      </c>
    </row>
    <row r="1530" spans="1:15" x14ac:dyDescent="0.3">
      <c r="A1530">
        <v>1625</v>
      </c>
      <c r="B1530" s="34">
        <v>40198</v>
      </c>
      <c r="C1530">
        <v>1.42869</v>
      </c>
      <c r="D1530">
        <v>0</v>
      </c>
      <c r="F1530">
        <v>0.43221999999999799</v>
      </c>
      <c r="G1530">
        <v>23.609049133969599</v>
      </c>
      <c r="H1530">
        <v>0</v>
      </c>
      <c r="I1530">
        <v>0.53476919999999994</v>
      </c>
      <c r="J1530">
        <v>2010</v>
      </c>
      <c r="K1530">
        <v>1</v>
      </c>
      <c r="L1530">
        <v>20</v>
      </c>
      <c r="M1530" t="s">
        <v>89</v>
      </c>
      <c r="N1530">
        <v>0</v>
      </c>
      <c r="O1530">
        <v>0</v>
      </c>
    </row>
    <row r="1531" spans="1:15" x14ac:dyDescent="0.3">
      <c r="A1531">
        <v>1626</v>
      </c>
      <c r="B1531" s="34">
        <v>40199</v>
      </c>
      <c r="C1531">
        <v>1.41062</v>
      </c>
      <c r="D1531">
        <v>0</v>
      </c>
      <c r="F1531">
        <v>0.43221999999999799</v>
      </c>
      <c r="G1531">
        <v>23.609049133969599</v>
      </c>
      <c r="H1531">
        <v>0</v>
      </c>
      <c r="I1531">
        <v>0.53444029999999998</v>
      </c>
      <c r="J1531">
        <v>2010</v>
      </c>
      <c r="K1531">
        <v>1</v>
      </c>
      <c r="L1531">
        <v>21</v>
      </c>
      <c r="M1531" t="s">
        <v>90</v>
      </c>
      <c r="N1531">
        <v>0</v>
      </c>
      <c r="O1531">
        <v>0</v>
      </c>
    </row>
    <row r="1532" spans="1:15" x14ac:dyDescent="0.3">
      <c r="A1532">
        <v>1627</v>
      </c>
      <c r="B1532" s="34">
        <v>40200</v>
      </c>
      <c r="C1532">
        <v>1.4083699999999999</v>
      </c>
      <c r="D1532">
        <v>0</v>
      </c>
      <c r="F1532">
        <v>0.43221999999999799</v>
      </c>
      <c r="G1532">
        <v>23.609049133969599</v>
      </c>
      <c r="H1532">
        <v>0</v>
      </c>
      <c r="I1532">
        <v>0.53411189999999997</v>
      </c>
      <c r="J1532">
        <v>2010</v>
      </c>
      <c r="K1532">
        <v>1</v>
      </c>
      <c r="L1532">
        <v>22</v>
      </c>
      <c r="M1532" t="s">
        <v>91</v>
      </c>
      <c r="N1532">
        <v>0</v>
      </c>
      <c r="O1532">
        <v>0</v>
      </c>
    </row>
    <row r="1533" spans="1:15" x14ac:dyDescent="0.3">
      <c r="A1533">
        <v>1628</v>
      </c>
      <c r="B1533" s="34">
        <v>40203</v>
      </c>
      <c r="C1533">
        <v>1.4136299999999999</v>
      </c>
      <c r="D1533">
        <v>0</v>
      </c>
      <c r="F1533">
        <v>0.43221999999999799</v>
      </c>
      <c r="G1533">
        <v>23.609049133969599</v>
      </c>
      <c r="H1533">
        <v>1</v>
      </c>
      <c r="I1533">
        <v>0.53439800000000004</v>
      </c>
      <c r="J1533">
        <v>2010</v>
      </c>
      <c r="K1533">
        <v>1</v>
      </c>
      <c r="L1533">
        <v>25</v>
      </c>
      <c r="M1533" t="s">
        <v>92</v>
      </c>
      <c r="N1533">
        <v>0</v>
      </c>
      <c r="O1533">
        <v>0</v>
      </c>
    </row>
    <row r="1534" spans="1:15" x14ac:dyDescent="0.3">
      <c r="A1534">
        <v>1629</v>
      </c>
      <c r="B1534" s="34">
        <v>40204</v>
      </c>
      <c r="C1534">
        <v>1.4148099999999999</v>
      </c>
      <c r="D1534">
        <v>0</v>
      </c>
      <c r="F1534">
        <v>0.43221999999999799</v>
      </c>
      <c r="G1534">
        <v>23.609049133969599</v>
      </c>
      <c r="H1534">
        <v>1</v>
      </c>
      <c r="I1534">
        <v>0.53468389999999999</v>
      </c>
      <c r="J1534">
        <v>2010</v>
      </c>
      <c r="K1534">
        <v>1</v>
      </c>
      <c r="L1534">
        <v>26</v>
      </c>
      <c r="M1534" t="s">
        <v>93</v>
      </c>
      <c r="N1534">
        <v>0</v>
      </c>
      <c r="O1534">
        <v>0</v>
      </c>
    </row>
    <row r="1535" spans="1:15" x14ac:dyDescent="0.3">
      <c r="A1535">
        <v>1630</v>
      </c>
      <c r="B1535" s="34">
        <v>40205</v>
      </c>
      <c r="C1535">
        <v>1.4077</v>
      </c>
      <c r="D1535">
        <v>0</v>
      </c>
      <c r="F1535">
        <v>0.43221999999999799</v>
      </c>
      <c r="G1535">
        <v>23.609049133969599</v>
      </c>
      <c r="H1535">
        <v>1</v>
      </c>
      <c r="I1535">
        <v>0.53496929999999998</v>
      </c>
      <c r="J1535">
        <v>2010</v>
      </c>
      <c r="K1535">
        <v>1</v>
      </c>
      <c r="L1535">
        <v>27</v>
      </c>
      <c r="M1535" t="s">
        <v>89</v>
      </c>
      <c r="N1535">
        <v>0</v>
      </c>
      <c r="O1535">
        <v>0</v>
      </c>
    </row>
    <row r="1536" spans="1:15" x14ac:dyDescent="0.3">
      <c r="A1536">
        <v>1631</v>
      </c>
      <c r="B1536" s="34">
        <v>40206</v>
      </c>
      <c r="C1536">
        <v>1.40327</v>
      </c>
      <c r="D1536">
        <v>0</v>
      </c>
      <c r="F1536">
        <v>0.43221999999999799</v>
      </c>
      <c r="G1536">
        <v>23.609049133969599</v>
      </c>
      <c r="H1536">
        <v>0</v>
      </c>
      <c r="I1536">
        <v>0.53464129999999999</v>
      </c>
      <c r="J1536">
        <v>2010</v>
      </c>
      <c r="K1536">
        <v>1</v>
      </c>
      <c r="L1536">
        <v>28</v>
      </c>
      <c r="M1536" t="s">
        <v>90</v>
      </c>
      <c r="N1536">
        <v>0</v>
      </c>
      <c r="O1536">
        <v>0</v>
      </c>
    </row>
    <row r="1537" spans="1:15" x14ac:dyDescent="0.3">
      <c r="A1537">
        <v>1632</v>
      </c>
      <c r="B1537" s="34">
        <v>40207</v>
      </c>
      <c r="C1537">
        <v>1.3960900000000001</v>
      </c>
      <c r="D1537">
        <v>0</v>
      </c>
      <c r="F1537">
        <v>0.43221999999999799</v>
      </c>
      <c r="G1537">
        <v>23.609049133969599</v>
      </c>
      <c r="H1537">
        <v>0</v>
      </c>
      <c r="I1537">
        <v>0.5343137</v>
      </c>
      <c r="J1537">
        <v>2010</v>
      </c>
      <c r="K1537">
        <v>1</v>
      </c>
      <c r="L1537">
        <v>29</v>
      </c>
      <c r="M1537" t="s">
        <v>91</v>
      </c>
      <c r="N1537">
        <v>0</v>
      </c>
      <c r="O1537">
        <v>0</v>
      </c>
    </row>
    <row r="1538" spans="1:15" x14ac:dyDescent="0.3">
      <c r="A1538">
        <v>1633</v>
      </c>
      <c r="B1538" s="34">
        <v>40210</v>
      </c>
      <c r="C1538">
        <v>1.38611</v>
      </c>
      <c r="D1538">
        <v>0</v>
      </c>
      <c r="F1538">
        <v>0.43221999999999799</v>
      </c>
      <c r="G1538">
        <v>23.609049133969599</v>
      </c>
      <c r="H1538">
        <v>0</v>
      </c>
      <c r="I1538">
        <v>0.53398650000000003</v>
      </c>
      <c r="J1538">
        <v>2010</v>
      </c>
      <c r="K1538">
        <v>2</v>
      </c>
      <c r="L1538">
        <v>1</v>
      </c>
      <c r="M1538" t="s">
        <v>92</v>
      </c>
      <c r="N1538">
        <v>0</v>
      </c>
      <c r="O1538">
        <v>0</v>
      </c>
    </row>
    <row r="1539" spans="1:15" x14ac:dyDescent="0.3">
      <c r="A1539">
        <v>1634</v>
      </c>
      <c r="B1539" s="34">
        <v>40211</v>
      </c>
      <c r="C1539">
        <v>1.3932500000000001</v>
      </c>
      <c r="D1539">
        <v>0</v>
      </c>
      <c r="F1539">
        <v>0.43221999999999799</v>
      </c>
      <c r="G1539">
        <v>23.609049133969599</v>
      </c>
      <c r="H1539">
        <v>1</v>
      </c>
      <c r="I1539">
        <v>0.53427170000000002</v>
      </c>
      <c r="J1539">
        <v>2010</v>
      </c>
      <c r="K1539">
        <v>2</v>
      </c>
      <c r="L1539">
        <v>2</v>
      </c>
      <c r="M1539" t="s">
        <v>93</v>
      </c>
      <c r="N1539">
        <v>0</v>
      </c>
      <c r="O1539">
        <v>0</v>
      </c>
    </row>
    <row r="1540" spans="1:15" x14ac:dyDescent="0.3">
      <c r="A1540">
        <v>1635</v>
      </c>
      <c r="B1540" s="34">
        <v>40212</v>
      </c>
      <c r="C1540">
        <v>1.3967099999999999</v>
      </c>
      <c r="D1540">
        <v>0</v>
      </c>
      <c r="F1540">
        <v>0.43221999999999799</v>
      </c>
      <c r="G1540">
        <v>23.609049133969599</v>
      </c>
      <c r="H1540">
        <v>0</v>
      </c>
      <c r="I1540">
        <v>0.533945</v>
      </c>
      <c r="J1540">
        <v>2010</v>
      </c>
      <c r="K1540">
        <v>2</v>
      </c>
      <c r="L1540">
        <v>3</v>
      </c>
      <c r="M1540" t="s">
        <v>89</v>
      </c>
      <c r="N1540">
        <v>0</v>
      </c>
      <c r="O1540">
        <v>0</v>
      </c>
    </row>
    <row r="1541" spans="1:15" x14ac:dyDescent="0.3">
      <c r="A1541">
        <v>1636</v>
      </c>
      <c r="B1541" s="34">
        <v>40213</v>
      </c>
      <c r="C1541">
        <v>1.3891199999999999</v>
      </c>
      <c r="D1541">
        <v>0</v>
      </c>
      <c r="F1541">
        <v>0.43221999999999799</v>
      </c>
      <c r="G1541">
        <v>23.609049133969599</v>
      </c>
      <c r="H1541">
        <v>1</v>
      </c>
      <c r="I1541">
        <v>0.53422979999999998</v>
      </c>
      <c r="J1541">
        <v>2010</v>
      </c>
      <c r="K1541">
        <v>2</v>
      </c>
      <c r="L1541">
        <v>4</v>
      </c>
      <c r="M1541" t="s">
        <v>90</v>
      </c>
      <c r="N1541">
        <v>0</v>
      </c>
      <c r="O1541">
        <v>0</v>
      </c>
    </row>
    <row r="1542" spans="1:15" x14ac:dyDescent="0.3">
      <c r="A1542">
        <v>1637</v>
      </c>
      <c r="B1542" s="34">
        <v>40214</v>
      </c>
      <c r="C1542">
        <v>1.37273</v>
      </c>
      <c r="D1542">
        <v>0</v>
      </c>
      <c r="F1542">
        <v>0.43221999999999799</v>
      </c>
      <c r="G1542">
        <v>23.609049133969599</v>
      </c>
      <c r="H1542">
        <v>0</v>
      </c>
      <c r="I1542">
        <v>0.53390349999999998</v>
      </c>
      <c r="J1542">
        <v>2010</v>
      </c>
      <c r="K1542">
        <v>2</v>
      </c>
      <c r="L1542">
        <v>5</v>
      </c>
      <c r="M1542" t="s">
        <v>91</v>
      </c>
      <c r="N1542">
        <v>0</v>
      </c>
      <c r="O1542">
        <v>0</v>
      </c>
    </row>
    <row r="1543" spans="1:15" x14ac:dyDescent="0.3">
      <c r="A1543">
        <v>1638</v>
      </c>
      <c r="B1543" s="34">
        <v>40217</v>
      </c>
      <c r="C1543">
        <v>1.3677600000000001</v>
      </c>
      <c r="D1543">
        <v>0</v>
      </c>
      <c r="F1543">
        <v>0.43221999999999799</v>
      </c>
      <c r="G1543">
        <v>23.609049133969599</v>
      </c>
      <c r="H1543">
        <v>0</v>
      </c>
      <c r="I1543">
        <v>0.53357759999999999</v>
      </c>
      <c r="J1543">
        <v>2010</v>
      </c>
      <c r="K1543">
        <v>2</v>
      </c>
      <c r="L1543">
        <v>8</v>
      </c>
      <c r="M1543" t="s">
        <v>92</v>
      </c>
      <c r="N1543">
        <v>0</v>
      </c>
      <c r="O1543">
        <v>0</v>
      </c>
    </row>
    <row r="1544" spans="1:15" x14ac:dyDescent="0.3">
      <c r="A1544">
        <v>1639</v>
      </c>
      <c r="B1544" s="34">
        <v>40218</v>
      </c>
      <c r="C1544">
        <v>1.3655200000000001</v>
      </c>
      <c r="D1544">
        <v>0</v>
      </c>
      <c r="F1544">
        <v>0.43221999999999799</v>
      </c>
      <c r="G1544">
        <v>23.609049133969599</v>
      </c>
      <c r="H1544">
        <v>0</v>
      </c>
      <c r="I1544">
        <v>0.53325199999999995</v>
      </c>
      <c r="J1544">
        <v>2010</v>
      </c>
      <c r="K1544">
        <v>2</v>
      </c>
      <c r="L1544">
        <v>9</v>
      </c>
      <c r="M1544" t="s">
        <v>93</v>
      </c>
      <c r="N1544">
        <v>0</v>
      </c>
      <c r="O1544">
        <v>0</v>
      </c>
    </row>
    <row r="1545" spans="1:15" x14ac:dyDescent="0.3">
      <c r="A1545">
        <v>1640</v>
      </c>
      <c r="B1545" s="34">
        <v>40219</v>
      </c>
      <c r="C1545">
        <v>1.3793800000000001</v>
      </c>
      <c r="D1545">
        <v>0</v>
      </c>
      <c r="F1545">
        <v>0.43221999999999799</v>
      </c>
      <c r="G1545">
        <v>23.609049133969599</v>
      </c>
      <c r="H1545">
        <v>0</v>
      </c>
      <c r="I1545">
        <v>0.53292689999999998</v>
      </c>
      <c r="J1545">
        <v>2010</v>
      </c>
      <c r="K1545">
        <v>2</v>
      </c>
      <c r="L1545">
        <v>10</v>
      </c>
      <c r="M1545" t="s">
        <v>89</v>
      </c>
      <c r="N1545">
        <v>0</v>
      </c>
      <c r="O1545">
        <v>0</v>
      </c>
    </row>
    <row r="1546" spans="1:15" x14ac:dyDescent="0.3">
      <c r="A1546">
        <v>1641</v>
      </c>
      <c r="B1546" s="34">
        <v>40220</v>
      </c>
      <c r="C1546">
        <v>1.37337</v>
      </c>
      <c r="D1546">
        <v>0</v>
      </c>
      <c r="F1546">
        <v>0.43221999999999799</v>
      </c>
      <c r="G1546">
        <v>23.609049133969599</v>
      </c>
      <c r="H1546">
        <v>1</v>
      </c>
      <c r="I1546">
        <v>0.53321149999999995</v>
      </c>
      <c r="J1546">
        <v>2010</v>
      </c>
      <c r="K1546">
        <v>2</v>
      </c>
      <c r="L1546">
        <v>11</v>
      </c>
      <c r="M1546" t="s">
        <v>90</v>
      </c>
      <c r="N1546">
        <v>0</v>
      </c>
      <c r="O1546">
        <v>0</v>
      </c>
    </row>
    <row r="1547" spans="1:15" x14ac:dyDescent="0.3">
      <c r="A1547">
        <v>1642</v>
      </c>
      <c r="B1547" s="34">
        <v>40221</v>
      </c>
      <c r="C1547">
        <v>1.3688499999999999</v>
      </c>
      <c r="D1547">
        <v>0</v>
      </c>
      <c r="F1547">
        <v>0.43221999999999799</v>
      </c>
      <c r="G1547">
        <v>23.609049133969599</v>
      </c>
      <c r="H1547">
        <v>1</v>
      </c>
      <c r="I1547">
        <v>0.53349570000000002</v>
      </c>
      <c r="J1547">
        <v>2010</v>
      </c>
      <c r="K1547">
        <v>2</v>
      </c>
      <c r="L1547">
        <v>12</v>
      </c>
      <c r="M1547" t="s">
        <v>91</v>
      </c>
      <c r="N1547">
        <v>0</v>
      </c>
      <c r="O1547">
        <v>0</v>
      </c>
    </row>
    <row r="1548" spans="1:15" x14ac:dyDescent="0.3">
      <c r="A1548">
        <v>1643</v>
      </c>
      <c r="B1548" s="34">
        <v>40224</v>
      </c>
      <c r="C1548">
        <v>1.3630899999999999</v>
      </c>
      <c r="D1548">
        <v>0</v>
      </c>
      <c r="F1548">
        <v>0.43221999999999799</v>
      </c>
      <c r="G1548">
        <v>23.609049133969599</v>
      </c>
      <c r="H1548">
        <v>0</v>
      </c>
      <c r="I1548">
        <v>0.53317110000000001</v>
      </c>
      <c r="J1548">
        <v>2010</v>
      </c>
      <c r="K1548">
        <v>2</v>
      </c>
      <c r="L1548">
        <v>15</v>
      </c>
      <c r="M1548" t="s">
        <v>92</v>
      </c>
      <c r="N1548">
        <v>0</v>
      </c>
      <c r="O1548">
        <v>0</v>
      </c>
    </row>
    <row r="1549" spans="1:15" x14ac:dyDescent="0.3">
      <c r="A1549">
        <v>1644</v>
      </c>
      <c r="B1549" s="34">
        <v>40225</v>
      </c>
      <c r="C1549">
        <v>1.3597300000000001</v>
      </c>
      <c r="D1549">
        <v>0</v>
      </c>
      <c r="F1549">
        <v>0.43221999999999799</v>
      </c>
      <c r="G1549">
        <v>23.609049133969599</v>
      </c>
      <c r="H1549">
        <v>0</v>
      </c>
      <c r="I1549">
        <v>0.53284670000000001</v>
      </c>
      <c r="J1549">
        <v>2010</v>
      </c>
      <c r="K1549">
        <v>2</v>
      </c>
      <c r="L1549">
        <v>16</v>
      </c>
      <c r="M1549" t="s">
        <v>93</v>
      </c>
      <c r="N1549">
        <v>0</v>
      </c>
      <c r="O1549">
        <v>0</v>
      </c>
    </row>
    <row r="1550" spans="1:15" x14ac:dyDescent="0.3">
      <c r="A1550">
        <v>1645</v>
      </c>
      <c r="B1550" s="34">
        <v>40226</v>
      </c>
      <c r="C1550">
        <v>1.3758699999999999</v>
      </c>
      <c r="D1550">
        <v>0</v>
      </c>
      <c r="F1550">
        <v>0.43221999999999799</v>
      </c>
      <c r="G1550">
        <v>23.609049133969599</v>
      </c>
      <c r="H1550">
        <v>1</v>
      </c>
      <c r="I1550">
        <v>0.53313069999999996</v>
      </c>
      <c r="J1550">
        <v>2010</v>
      </c>
      <c r="K1550">
        <v>2</v>
      </c>
      <c r="L1550">
        <v>17</v>
      </c>
      <c r="M1550" t="s">
        <v>89</v>
      </c>
      <c r="N1550">
        <v>0</v>
      </c>
      <c r="O1550">
        <v>0</v>
      </c>
    </row>
    <row r="1551" spans="1:15" x14ac:dyDescent="0.3">
      <c r="A1551">
        <v>1646</v>
      </c>
      <c r="B1551" s="34">
        <v>40227</v>
      </c>
      <c r="C1551">
        <v>1.3599300000000001</v>
      </c>
      <c r="D1551">
        <v>0</v>
      </c>
      <c r="F1551">
        <v>0.43221999999999799</v>
      </c>
      <c r="G1551">
        <v>23.609049133969599</v>
      </c>
      <c r="H1551">
        <v>1</v>
      </c>
      <c r="I1551">
        <v>0.53341439999999996</v>
      </c>
      <c r="J1551">
        <v>2010</v>
      </c>
      <c r="K1551">
        <v>2</v>
      </c>
      <c r="L1551">
        <v>18</v>
      </c>
      <c r="M1551" t="s">
        <v>90</v>
      </c>
      <c r="N1551">
        <v>0</v>
      </c>
      <c r="O1551">
        <v>0</v>
      </c>
    </row>
    <row r="1552" spans="1:15" x14ac:dyDescent="0.3">
      <c r="A1552">
        <v>1647</v>
      </c>
      <c r="B1552" s="34">
        <v>40228</v>
      </c>
      <c r="C1552">
        <v>1.3492299999999999</v>
      </c>
      <c r="D1552">
        <v>0</v>
      </c>
      <c r="F1552">
        <v>0.43221999999999799</v>
      </c>
      <c r="G1552">
        <v>23.609049133969599</v>
      </c>
      <c r="H1552">
        <v>0</v>
      </c>
      <c r="I1552">
        <v>0.53309050000000002</v>
      </c>
      <c r="J1552">
        <v>2010</v>
      </c>
      <c r="K1552">
        <v>2</v>
      </c>
      <c r="L1552">
        <v>19</v>
      </c>
      <c r="M1552" t="s">
        <v>91</v>
      </c>
      <c r="N1552">
        <v>0</v>
      </c>
      <c r="O1552">
        <v>0</v>
      </c>
    </row>
    <row r="1553" spans="1:15" x14ac:dyDescent="0.3">
      <c r="A1553">
        <v>1648</v>
      </c>
      <c r="B1553" s="34">
        <v>40231</v>
      </c>
      <c r="C1553">
        <v>1.3611599999999999</v>
      </c>
      <c r="D1553">
        <v>0</v>
      </c>
      <c r="F1553">
        <v>0.43221999999999799</v>
      </c>
      <c r="G1553">
        <v>23.609049133969599</v>
      </c>
      <c r="H1553">
        <v>1</v>
      </c>
      <c r="I1553">
        <v>0.53337380000000001</v>
      </c>
      <c r="J1553">
        <v>2010</v>
      </c>
      <c r="K1553">
        <v>2</v>
      </c>
      <c r="L1553">
        <v>22</v>
      </c>
      <c r="M1553" t="s">
        <v>92</v>
      </c>
      <c r="N1553">
        <v>0</v>
      </c>
      <c r="O1553">
        <v>0</v>
      </c>
    </row>
    <row r="1554" spans="1:15" x14ac:dyDescent="0.3">
      <c r="A1554">
        <v>1649</v>
      </c>
      <c r="B1554" s="34">
        <v>40232</v>
      </c>
      <c r="C1554">
        <v>1.3599600000000001</v>
      </c>
      <c r="D1554">
        <v>0</v>
      </c>
      <c r="F1554">
        <v>0.43221999999999799</v>
      </c>
      <c r="G1554">
        <v>23.609049133969599</v>
      </c>
      <c r="H1554">
        <v>1</v>
      </c>
      <c r="I1554">
        <v>0.53365680000000004</v>
      </c>
      <c r="J1554">
        <v>2010</v>
      </c>
      <c r="K1554">
        <v>2</v>
      </c>
      <c r="L1554">
        <v>23</v>
      </c>
      <c r="M1554" t="s">
        <v>93</v>
      </c>
      <c r="N1554">
        <v>0</v>
      </c>
      <c r="O1554">
        <v>0</v>
      </c>
    </row>
    <row r="1555" spans="1:15" x14ac:dyDescent="0.3">
      <c r="A1555">
        <v>1650</v>
      </c>
      <c r="B1555" s="34">
        <v>40233</v>
      </c>
      <c r="C1555">
        <v>1.3513599999999999</v>
      </c>
      <c r="D1555">
        <v>0</v>
      </c>
      <c r="F1555">
        <v>0.43221999999999799</v>
      </c>
      <c r="G1555">
        <v>23.609049133969599</v>
      </c>
      <c r="H1555">
        <v>1</v>
      </c>
      <c r="I1555">
        <v>0.53393939999999995</v>
      </c>
      <c r="J1555">
        <v>2010</v>
      </c>
      <c r="K1555">
        <v>2</v>
      </c>
      <c r="L1555">
        <v>24</v>
      </c>
      <c r="M1555" t="s">
        <v>89</v>
      </c>
      <c r="N1555">
        <v>0</v>
      </c>
      <c r="O1555">
        <v>0</v>
      </c>
    </row>
    <row r="1556" spans="1:15" x14ac:dyDescent="0.3">
      <c r="A1556">
        <v>1651</v>
      </c>
      <c r="B1556" s="34">
        <v>40234</v>
      </c>
      <c r="C1556">
        <v>1.35372</v>
      </c>
      <c r="D1556">
        <v>0</v>
      </c>
      <c r="F1556">
        <v>0.43221999999999799</v>
      </c>
      <c r="G1556">
        <v>23.609049133969599</v>
      </c>
      <c r="H1556">
        <v>1</v>
      </c>
      <c r="I1556">
        <v>0.53422170000000002</v>
      </c>
      <c r="J1556">
        <v>2010</v>
      </c>
      <c r="K1556">
        <v>2</v>
      </c>
      <c r="L1556">
        <v>25</v>
      </c>
      <c r="M1556" t="s">
        <v>90</v>
      </c>
      <c r="N1556">
        <v>0</v>
      </c>
      <c r="O1556">
        <v>0</v>
      </c>
    </row>
    <row r="1557" spans="1:15" x14ac:dyDescent="0.3">
      <c r="A1557">
        <v>1652</v>
      </c>
      <c r="B1557" s="34">
        <v>40235</v>
      </c>
      <c r="C1557">
        <v>1.3538300000000001</v>
      </c>
      <c r="D1557">
        <v>0</v>
      </c>
      <c r="F1557">
        <v>0.43221999999999799</v>
      </c>
      <c r="G1557">
        <v>23.609049133969599</v>
      </c>
      <c r="H1557">
        <v>1</v>
      </c>
      <c r="I1557">
        <v>0.53450359999999997</v>
      </c>
      <c r="J1557">
        <v>2010</v>
      </c>
      <c r="K1557">
        <v>2</v>
      </c>
      <c r="L1557">
        <v>26</v>
      </c>
      <c r="M1557" t="s">
        <v>91</v>
      </c>
      <c r="N1557">
        <v>0</v>
      </c>
      <c r="O1557">
        <v>0</v>
      </c>
    </row>
    <row r="1558" spans="1:15" x14ac:dyDescent="0.3">
      <c r="A1558">
        <v>1653</v>
      </c>
      <c r="B1558" s="34">
        <v>40238</v>
      </c>
      <c r="C1558">
        <v>1.3631</v>
      </c>
      <c r="D1558">
        <v>0</v>
      </c>
      <c r="F1558">
        <v>0.43221999999999799</v>
      </c>
      <c r="G1558">
        <v>23.609049133969599</v>
      </c>
      <c r="H1558">
        <v>1</v>
      </c>
      <c r="I1558">
        <v>0.53478519999999996</v>
      </c>
      <c r="J1558">
        <v>2010</v>
      </c>
      <c r="K1558">
        <v>3</v>
      </c>
      <c r="L1558">
        <v>1</v>
      </c>
      <c r="M1558" t="s">
        <v>92</v>
      </c>
      <c r="N1558">
        <v>0</v>
      </c>
      <c r="O1558">
        <v>0</v>
      </c>
    </row>
    <row r="1559" spans="1:15" x14ac:dyDescent="0.3">
      <c r="A1559">
        <v>1654</v>
      </c>
      <c r="B1559" s="34">
        <v>40239</v>
      </c>
      <c r="C1559">
        <v>1.35677</v>
      </c>
      <c r="D1559">
        <v>0</v>
      </c>
      <c r="F1559">
        <v>0.43221999999999799</v>
      </c>
      <c r="G1559">
        <v>23.609049133969599</v>
      </c>
      <c r="H1559">
        <v>1</v>
      </c>
      <c r="I1559">
        <v>0.5350665</v>
      </c>
      <c r="J1559">
        <v>2010</v>
      </c>
      <c r="K1559">
        <v>3</v>
      </c>
      <c r="L1559">
        <v>2</v>
      </c>
      <c r="M1559" t="s">
        <v>93</v>
      </c>
      <c r="N1559">
        <v>0</v>
      </c>
      <c r="O1559">
        <v>0</v>
      </c>
    </row>
    <row r="1560" spans="1:15" x14ac:dyDescent="0.3">
      <c r="A1560">
        <v>1655</v>
      </c>
      <c r="B1560" s="34">
        <v>40240</v>
      </c>
      <c r="C1560">
        <v>1.36087</v>
      </c>
      <c r="D1560">
        <v>0</v>
      </c>
      <c r="F1560">
        <v>0.43221999999999799</v>
      </c>
      <c r="G1560">
        <v>23.609049133969599</v>
      </c>
      <c r="H1560">
        <v>0</v>
      </c>
      <c r="I1560">
        <v>0.53474319999999997</v>
      </c>
      <c r="J1560">
        <v>2010</v>
      </c>
      <c r="K1560">
        <v>3</v>
      </c>
      <c r="L1560">
        <v>3</v>
      </c>
      <c r="M1560" t="s">
        <v>89</v>
      </c>
      <c r="N1560">
        <v>0</v>
      </c>
      <c r="O1560">
        <v>0</v>
      </c>
    </row>
    <row r="1561" spans="1:15" x14ac:dyDescent="0.3">
      <c r="A1561">
        <v>1656</v>
      </c>
      <c r="B1561" s="34">
        <v>40241</v>
      </c>
      <c r="C1561">
        <v>1.3694</v>
      </c>
      <c r="D1561">
        <v>0</v>
      </c>
      <c r="F1561">
        <v>0.43221999999999799</v>
      </c>
      <c r="G1561">
        <v>23.609049133969599</v>
      </c>
      <c r="H1561">
        <v>0</v>
      </c>
      <c r="I1561">
        <v>0.53442029999999996</v>
      </c>
      <c r="J1561">
        <v>2010</v>
      </c>
      <c r="K1561">
        <v>3</v>
      </c>
      <c r="L1561">
        <v>4</v>
      </c>
      <c r="M1561" t="s">
        <v>90</v>
      </c>
      <c r="N1561">
        <v>0</v>
      </c>
      <c r="O1561">
        <v>0</v>
      </c>
    </row>
    <row r="1562" spans="1:15" x14ac:dyDescent="0.3">
      <c r="A1562">
        <v>1657</v>
      </c>
      <c r="B1562" s="34">
        <v>40242</v>
      </c>
      <c r="C1562">
        <v>1.3579300000000001</v>
      </c>
      <c r="D1562">
        <v>0</v>
      </c>
      <c r="F1562">
        <v>0.43221999999999799</v>
      </c>
      <c r="G1562">
        <v>23.609049133969599</v>
      </c>
      <c r="H1562">
        <v>1</v>
      </c>
      <c r="I1562">
        <v>0.53470130000000005</v>
      </c>
      <c r="J1562">
        <v>2010</v>
      </c>
      <c r="K1562">
        <v>3</v>
      </c>
      <c r="L1562">
        <v>5</v>
      </c>
      <c r="M1562" t="s">
        <v>91</v>
      </c>
      <c r="N1562">
        <v>0</v>
      </c>
      <c r="O1562">
        <v>0</v>
      </c>
    </row>
    <row r="1563" spans="1:15" x14ac:dyDescent="0.3">
      <c r="A1563">
        <v>1658</v>
      </c>
      <c r="B1563" s="34">
        <v>40245</v>
      </c>
      <c r="C1563">
        <v>1.36198</v>
      </c>
      <c r="D1563">
        <v>0</v>
      </c>
      <c r="F1563">
        <v>0.43221999999999799</v>
      </c>
      <c r="G1563">
        <v>23.609049133969599</v>
      </c>
      <c r="H1563">
        <v>0</v>
      </c>
      <c r="I1563">
        <v>0.53437880000000004</v>
      </c>
      <c r="J1563">
        <v>2010</v>
      </c>
      <c r="K1563">
        <v>3</v>
      </c>
      <c r="L1563">
        <v>8</v>
      </c>
      <c r="M1563" t="s">
        <v>92</v>
      </c>
      <c r="N1563">
        <v>0</v>
      </c>
      <c r="O1563">
        <v>0</v>
      </c>
    </row>
    <row r="1564" spans="1:15" x14ac:dyDescent="0.3">
      <c r="A1564">
        <v>1659</v>
      </c>
      <c r="B1564" s="34">
        <v>40246</v>
      </c>
      <c r="C1564">
        <v>1.36267</v>
      </c>
      <c r="D1564">
        <v>0</v>
      </c>
      <c r="F1564">
        <v>0.43221999999999799</v>
      </c>
      <c r="G1564">
        <v>23.609049133969599</v>
      </c>
      <c r="H1564">
        <v>0</v>
      </c>
      <c r="I1564">
        <v>0.53405670000000005</v>
      </c>
      <c r="J1564">
        <v>2010</v>
      </c>
      <c r="K1564">
        <v>3</v>
      </c>
      <c r="L1564">
        <v>9</v>
      </c>
      <c r="M1564" t="s">
        <v>93</v>
      </c>
      <c r="N1564">
        <v>0</v>
      </c>
      <c r="O1564">
        <v>0</v>
      </c>
    </row>
    <row r="1565" spans="1:15" x14ac:dyDescent="0.3">
      <c r="A1565">
        <v>1660</v>
      </c>
      <c r="B1565" s="34">
        <v>40247</v>
      </c>
      <c r="C1565">
        <v>1.3601300000000001</v>
      </c>
      <c r="D1565">
        <v>0</v>
      </c>
      <c r="F1565">
        <v>0.43221999999999799</v>
      </c>
      <c r="G1565">
        <v>23.609049133969599</v>
      </c>
      <c r="H1565">
        <v>1</v>
      </c>
      <c r="I1565">
        <v>0.53433730000000002</v>
      </c>
      <c r="J1565">
        <v>2010</v>
      </c>
      <c r="K1565">
        <v>3</v>
      </c>
      <c r="L1565">
        <v>10</v>
      </c>
      <c r="M1565" t="s">
        <v>89</v>
      </c>
      <c r="N1565">
        <v>0</v>
      </c>
      <c r="O1565">
        <v>0</v>
      </c>
    </row>
    <row r="1566" spans="1:15" x14ac:dyDescent="0.3">
      <c r="A1566">
        <v>1661</v>
      </c>
      <c r="B1566" s="34">
        <v>40248</v>
      </c>
      <c r="C1566">
        <v>1.36548</v>
      </c>
      <c r="D1566">
        <v>0</v>
      </c>
      <c r="F1566">
        <v>0.43221999999999799</v>
      </c>
      <c r="G1566">
        <v>23.609049133969599</v>
      </c>
      <c r="H1566">
        <v>0</v>
      </c>
      <c r="I1566">
        <v>0.53401569999999998</v>
      </c>
      <c r="J1566">
        <v>2010</v>
      </c>
      <c r="K1566">
        <v>3</v>
      </c>
      <c r="L1566">
        <v>11</v>
      </c>
      <c r="M1566" t="s">
        <v>90</v>
      </c>
      <c r="N1566">
        <v>0</v>
      </c>
      <c r="O1566">
        <v>0</v>
      </c>
    </row>
    <row r="1567" spans="1:15" x14ac:dyDescent="0.3">
      <c r="A1567">
        <v>1662</v>
      </c>
      <c r="B1567" s="34">
        <v>40249</v>
      </c>
      <c r="C1567">
        <v>1.36765</v>
      </c>
      <c r="D1567">
        <v>0</v>
      </c>
      <c r="F1567">
        <v>0.43221999999999799</v>
      </c>
      <c r="G1567">
        <v>23.609049133969599</v>
      </c>
      <c r="H1567">
        <v>0</v>
      </c>
      <c r="I1567">
        <v>0.53369429999999995</v>
      </c>
      <c r="J1567">
        <v>2010</v>
      </c>
      <c r="K1567">
        <v>3</v>
      </c>
      <c r="L1567">
        <v>12</v>
      </c>
      <c r="M1567" t="s">
        <v>91</v>
      </c>
      <c r="N1567">
        <v>0</v>
      </c>
      <c r="O1567">
        <v>0</v>
      </c>
    </row>
    <row r="1568" spans="1:15" x14ac:dyDescent="0.3">
      <c r="A1568">
        <v>1663</v>
      </c>
      <c r="B1568" s="34">
        <v>40252</v>
      </c>
      <c r="C1568">
        <v>1.3767799999999999</v>
      </c>
      <c r="D1568">
        <v>0</v>
      </c>
      <c r="F1568">
        <v>0.43221999999999799</v>
      </c>
      <c r="G1568">
        <v>23.609049133969599</v>
      </c>
      <c r="H1568">
        <v>0</v>
      </c>
      <c r="I1568">
        <v>0.5333734</v>
      </c>
      <c r="J1568">
        <v>2010</v>
      </c>
      <c r="K1568">
        <v>3</v>
      </c>
      <c r="L1568">
        <v>15</v>
      </c>
      <c r="M1568" t="s">
        <v>92</v>
      </c>
      <c r="N1568">
        <v>0</v>
      </c>
      <c r="O1568">
        <v>0</v>
      </c>
    </row>
    <row r="1569" spans="1:15" x14ac:dyDescent="0.3">
      <c r="A1569">
        <v>1664</v>
      </c>
      <c r="B1569" s="34">
        <v>40253</v>
      </c>
      <c r="C1569">
        <v>1.36724</v>
      </c>
      <c r="D1569">
        <v>0</v>
      </c>
      <c r="F1569">
        <v>0.43221999999999799</v>
      </c>
      <c r="G1569">
        <v>23.609049133969599</v>
      </c>
      <c r="H1569">
        <v>1</v>
      </c>
      <c r="I1569">
        <v>0.53365390000000001</v>
      </c>
      <c r="J1569">
        <v>2010</v>
      </c>
      <c r="K1569">
        <v>3</v>
      </c>
      <c r="L1569">
        <v>16</v>
      </c>
      <c r="M1569" t="s">
        <v>93</v>
      </c>
      <c r="N1569">
        <v>0</v>
      </c>
      <c r="O1569">
        <v>0</v>
      </c>
    </row>
    <row r="1570" spans="1:15" x14ac:dyDescent="0.3">
      <c r="A1570">
        <v>1665</v>
      </c>
      <c r="B1570" s="34">
        <v>40254</v>
      </c>
      <c r="C1570">
        <v>1.3762700000000001</v>
      </c>
      <c r="D1570">
        <v>0</v>
      </c>
      <c r="F1570">
        <v>0.43221999999999799</v>
      </c>
      <c r="G1570">
        <v>23.609049133969599</v>
      </c>
      <c r="H1570">
        <v>0</v>
      </c>
      <c r="I1570">
        <v>0.53333339999999996</v>
      </c>
      <c r="J1570">
        <v>2010</v>
      </c>
      <c r="K1570">
        <v>3</v>
      </c>
      <c r="L1570">
        <v>17</v>
      </c>
      <c r="M1570" t="s">
        <v>89</v>
      </c>
      <c r="N1570">
        <v>0</v>
      </c>
      <c r="O1570">
        <v>0</v>
      </c>
    </row>
    <row r="1571" spans="1:15" x14ac:dyDescent="0.3">
      <c r="A1571">
        <v>1666</v>
      </c>
      <c r="B1571" s="34">
        <v>40255</v>
      </c>
      <c r="C1571">
        <v>1.3735299999999999</v>
      </c>
      <c r="D1571">
        <v>0</v>
      </c>
      <c r="F1571">
        <v>0.43221999999999799</v>
      </c>
      <c r="G1571">
        <v>23.609049133969599</v>
      </c>
      <c r="H1571">
        <v>1</v>
      </c>
      <c r="I1571">
        <v>0.53361340000000002</v>
      </c>
      <c r="J1571">
        <v>2010</v>
      </c>
      <c r="K1571">
        <v>3</v>
      </c>
      <c r="L1571">
        <v>18</v>
      </c>
      <c r="M1571" t="s">
        <v>90</v>
      </c>
      <c r="N1571">
        <v>0</v>
      </c>
      <c r="O1571">
        <v>0</v>
      </c>
    </row>
    <row r="1572" spans="1:15" x14ac:dyDescent="0.3">
      <c r="A1572">
        <v>1667</v>
      </c>
      <c r="B1572" s="34">
        <v>40256</v>
      </c>
      <c r="C1572">
        <v>1.3607199999999999</v>
      </c>
      <c r="D1572">
        <v>0</v>
      </c>
      <c r="F1572">
        <v>0.43221999999999799</v>
      </c>
      <c r="G1572">
        <v>23.609049133969599</v>
      </c>
      <c r="H1572">
        <v>1</v>
      </c>
      <c r="I1572">
        <v>0.53389319999999996</v>
      </c>
      <c r="J1572">
        <v>2010</v>
      </c>
      <c r="K1572">
        <v>3</v>
      </c>
      <c r="L1572">
        <v>19</v>
      </c>
      <c r="M1572" t="s">
        <v>91</v>
      </c>
      <c r="N1572">
        <v>0</v>
      </c>
      <c r="O1572">
        <v>0</v>
      </c>
    </row>
    <row r="1573" spans="1:15" x14ac:dyDescent="0.3">
      <c r="A1573">
        <v>1668</v>
      </c>
      <c r="B1573" s="34">
        <v>40259</v>
      </c>
      <c r="C1573">
        <v>1.35301</v>
      </c>
      <c r="D1573">
        <v>0</v>
      </c>
      <c r="F1573">
        <v>0.43221999999999799</v>
      </c>
      <c r="G1573">
        <v>23.609049133969599</v>
      </c>
      <c r="H1573">
        <v>0</v>
      </c>
      <c r="I1573">
        <v>0.53357319999999997</v>
      </c>
      <c r="J1573">
        <v>2010</v>
      </c>
      <c r="K1573">
        <v>3</v>
      </c>
      <c r="L1573">
        <v>22</v>
      </c>
      <c r="M1573" t="s">
        <v>92</v>
      </c>
      <c r="N1573">
        <v>0</v>
      </c>
      <c r="O1573">
        <v>0</v>
      </c>
    </row>
    <row r="1574" spans="1:15" x14ac:dyDescent="0.3">
      <c r="A1574">
        <v>1669</v>
      </c>
      <c r="B1574" s="34">
        <v>40260</v>
      </c>
      <c r="C1574">
        <v>1.35578</v>
      </c>
      <c r="D1574">
        <v>0</v>
      </c>
      <c r="F1574">
        <v>0.43221999999999799</v>
      </c>
      <c r="G1574">
        <v>23.609049133969599</v>
      </c>
      <c r="H1574">
        <v>1</v>
      </c>
      <c r="I1574">
        <v>0.53385260000000001</v>
      </c>
      <c r="J1574">
        <v>2010</v>
      </c>
      <c r="K1574">
        <v>3</v>
      </c>
      <c r="L1574">
        <v>23</v>
      </c>
      <c r="M1574" t="s">
        <v>93</v>
      </c>
      <c r="N1574">
        <v>0</v>
      </c>
      <c r="O1574">
        <v>0</v>
      </c>
    </row>
    <row r="1575" spans="1:15" x14ac:dyDescent="0.3">
      <c r="A1575">
        <v>1670</v>
      </c>
      <c r="B1575" s="34">
        <v>40261</v>
      </c>
      <c r="C1575">
        <v>1.3492</v>
      </c>
      <c r="D1575">
        <v>0</v>
      </c>
      <c r="F1575">
        <v>0.43221999999999799</v>
      </c>
      <c r="G1575">
        <v>23.609049133969599</v>
      </c>
      <c r="H1575">
        <v>0</v>
      </c>
      <c r="I1575">
        <v>0.53353289999999998</v>
      </c>
      <c r="J1575">
        <v>2010</v>
      </c>
      <c r="K1575">
        <v>3</v>
      </c>
      <c r="L1575">
        <v>24</v>
      </c>
      <c r="M1575" t="s">
        <v>89</v>
      </c>
      <c r="N1575">
        <v>0</v>
      </c>
      <c r="O1575">
        <v>0</v>
      </c>
    </row>
    <row r="1576" spans="1:15" x14ac:dyDescent="0.3">
      <c r="A1576">
        <v>1671</v>
      </c>
      <c r="B1576" s="34">
        <v>40262</v>
      </c>
      <c r="C1576">
        <v>1.3328100000000001</v>
      </c>
      <c r="D1576">
        <v>0</v>
      </c>
      <c r="F1576">
        <v>0.43221999999999799</v>
      </c>
      <c r="G1576">
        <v>23.609049133969599</v>
      </c>
      <c r="H1576">
        <v>0</v>
      </c>
      <c r="I1576">
        <v>0.53321359999999995</v>
      </c>
      <c r="J1576">
        <v>2010</v>
      </c>
      <c r="K1576">
        <v>3</v>
      </c>
      <c r="L1576">
        <v>25</v>
      </c>
      <c r="M1576" t="s">
        <v>90</v>
      </c>
      <c r="N1576">
        <v>0</v>
      </c>
      <c r="O1576">
        <v>0</v>
      </c>
    </row>
    <row r="1577" spans="1:15" x14ac:dyDescent="0.3">
      <c r="A1577">
        <v>1672</v>
      </c>
      <c r="B1577" s="34">
        <v>40263</v>
      </c>
      <c r="C1577">
        <v>1.32735</v>
      </c>
      <c r="D1577">
        <v>0</v>
      </c>
      <c r="F1577">
        <v>0.43221999999999799</v>
      </c>
      <c r="G1577">
        <v>23.609049133969599</v>
      </c>
      <c r="H1577">
        <v>0</v>
      </c>
      <c r="I1577">
        <v>0.53289470000000005</v>
      </c>
      <c r="J1577">
        <v>2010</v>
      </c>
      <c r="K1577">
        <v>3</v>
      </c>
      <c r="L1577">
        <v>26</v>
      </c>
      <c r="M1577" t="s">
        <v>91</v>
      </c>
      <c r="N1577">
        <v>0</v>
      </c>
      <c r="O1577">
        <v>0</v>
      </c>
    </row>
    <row r="1578" spans="1:15" x14ac:dyDescent="0.3">
      <c r="A1578">
        <v>1673</v>
      </c>
      <c r="B1578" s="34">
        <v>40266</v>
      </c>
      <c r="C1578">
        <v>1.3407500000000001</v>
      </c>
      <c r="D1578">
        <v>0</v>
      </c>
      <c r="F1578">
        <v>0.43221999999999799</v>
      </c>
      <c r="G1578">
        <v>23.609049133969599</v>
      </c>
      <c r="H1578">
        <v>1</v>
      </c>
      <c r="I1578">
        <v>0.53317389999999998</v>
      </c>
      <c r="J1578">
        <v>2010</v>
      </c>
      <c r="K1578">
        <v>3</v>
      </c>
      <c r="L1578">
        <v>29</v>
      </c>
      <c r="M1578" t="s">
        <v>92</v>
      </c>
      <c r="N1578">
        <v>0</v>
      </c>
      <c r="O1578">
        <v>0</v>
      </c>
    </row>
    <row r="1579" spans="1:15" x14ac:dyDescent="0.3">
      <c r="A1579">
        <v>1674</v>
      </c>
      <c r="B1579" s="34">
        <v>40267</v>
      </c>
      <c r="C1579">
        <v>1.34755</v>
      </c>
      <c r="D1579">
        <v>0</v>
      </c>
      <c r="F1579">
        <v>0.43221999999999799</v>
      </c>
      <c r="G1579">
        <v>23.609049133969599</v>
      </c>
      <c r="H1579">
        <v>0</v>
      </c>
      <c r="I1579">
        <v>0.53285550000000004</v>
      </c>
      <c r="J1579">
        <v>2010</v>
      </c>
      <c r="K1579">
        <v>3</v>
      </c>
      <c r="L1579">
        <v>30</v>
      </c>
      <c r="M1579" t="s">
        <v>93</v>
      </c>
      <c r="N1579">
        <v>0</v>
      </c>
      <c r="O1579">
        <v>0</v>
      </c>
    </row>
    <row r="1580" spans="1:15" x14ac:dyDescent="0.3">
      <c r="A1580">
        <v>1675</v>
      </c>
      <c r="B1580" s="34">
        <v>40268</v>
      </c>
      <c r="C1580">
        <v>1.3419399999999999</v>
      </c>
      <c r="D1580">
        <v>0</v>
      </c>
      <c r="F1580">
        <v>0.43221999999999799</v>
      </c>
      <c r="G1580">
        <v>23.609049133969599</v>
      </c>
      <c r="H1580">
        <v>1</v>
      </c>
      <c r="I1580">
        <v>0.53313429999999995</v>
      </c>
      <c r="J1580">
        <v>2010</v>
      </c>
      <c r="K1580">
        <v>3</v>
      </c>
      <c r="L1580">
        <v>31</v>
      </c>
      <c r="M1580" t="s">
        <v>89</v>
      </c>
      <c r="N1580">
        <v>0</v>
      </c>
      <c r="O1580">
        <v>0</v>
      </c>
    </row>
    <row r="1581" spans="1:15" x14ac:dyDescent="0.3">
      <c r="A1581">
        <v>1676</v>
      </c>
      <c r="B1581" s="34">
        <v>40269</v>
      </c>
      <c r="C1581">
        <v>1.3506199999999999</v>
      </c>
      <c r="D1581">
        <v>0</v>
      </c>
      <c r="F1581">
        <v>0.43221999999999799</v>
      </c>
      <c r="G1581">
        <v>23.609049133969599</v>
      </c>
      <c r="H1581">
        <v>0</v>
      </c>
      <c r="I1581">
        <v>0.53281619999999996</v>
      </c>
      <c r="J1581">
        <v>2010</v>
      </c>
      <c r="K1581">
        <v>4</v>
      </c>
      <c r="L1581">
        <v>1</v>
      </c>
      <c r="M1581" t="s">
        <v>90</v>
      </c>
      <c r="N1581">
        <v>0</v>
      </c>
      <c r="O1581">
        <v>0</v>
      </c>
    </row>
    <row r="1582" spans="1:15" x14ac:dyDescent="0.3">
      <c r="A1582">
        <v>1677</v>
      </c>
      <c r="B1582" s="34">
        <v>40270</v>
      </c>
      <c r="C1582">
        <v>1.3583700000000001</v>
      </c>
      <c r="D1582">
        <v>0</v>
      </c>
      <c r="F1582">
        <v>0.43221999999999799</v>
      </c>
      <c r="G1582">
        <v>23.609049133969599</v>
      </c>
      <c r="H1582">
        <v>0</v>
      </c>
      <c r="I1582">
        <v>0.53249849999999999</v>
      </c>
      <c r="J1582">
        <v>2010</v>
      </c>
      <c r="K1582">
        <v>4</v>
      </c>
      <c r="L1582">
        <v>2</v>
      </c>
      <c r="M1582" t="s">
        <v>91</v>
      </c>
      <c r="N1582">
        <v>0</v>
      </c>
      <c r="O1582">
        <v>0</v>
      </c>
    </row>
    <row r="1583" spans="1:15" x14ac:dyDescent="0.3">
      <c r="A1583">
        <v>1678</v>
      </c>
      <c r="B1583" s="34">
        <v>40273</v>
      </c>
      <c r="C1583">
        <v>1.3503000000000001</v>
      </c>
      <c r="D1583">
        <v>0</v>
      </c>
      <c r="F1583">
        <v>0.43221999999999799</v>
      </c>
      <c r="G1583">
        <v>23.609049133969599</v>
      </c>
      <c r="H1583">
        <v>1</v>
      </c>
      <c r="I1583">
        <v>0.5327771</v>
      </c>
      <c r="J1583">
        <v>2010</v>
      </c>
      <c r="K1583">
        <v>4</v>
      </c>
      <c r="L1583">
        <v>5</v>
      </c>
      <c r="M1583" t="s">
        <v>92</v>
      </c>
      <c r="N1583">
        <v>0</v>
      </c>
      <c r="O1583">
        <v>0</v>
      </c>
    </row>
    <row r="1584" spans="1:15" x14ac:dyDescent="0.3">
      <c r="A1584">
        <v>1679</v>
      </c>
      <c r="B1584" s="34">
        <v>40274</v>
      </c>
      <c r="C1584">
        <v>1.3481799999999999</v>
      </c>
      <c r="D1584">
        <v>9</v>
      </c>
      <c r="E1584" t="s">
        <v>391</v>
      </c>
      <c r="F1584">
        <v>0.42335999999999802</v>
      </c>
      <c r="G1584">
        <v>25.174973488865302</v>
      </c>
      <c r="H1584">
        <v>1</v>
      </c>
      <c r="I1584">
        <v>0.53305539999999996</v>
      </c>
      <c r="J1584">
        <v>2010</v>
      </c>
      <c r="K1584">
        <v>4</v>
      </c>
      <c r="L1584">
        <v>6</v>
      </c>
      <c r="M1584" t="s">
        <v>93</v>
      </c>
      <c r="N1584">
        <v>0</v>
      </c>
      <c r="O1584">
        <v>0</v>
      </c>
    </row>
    <row r="1585" spans="1:15" x14ac:dyDescent="0.3">
      <c r="A1585">
        <v>1680</v>
      </c>
      <c r="B1585" s="34">
        <v>40275</v>
      </c>
      <c r="C1585">
        <v>1.3393200000000001</v>
      </c>
      <c r="D1585">
        <v>0</v>
      </c>
      <c r="F1585">
        <v>0.42335999999999802</v>
      </c>
      <c r="G1585">
        <v>25.174973488865302</v>
      </c>
      <c r="H1585">
        <v>1</v>
      </c>
      <c r="I1585">
        <v>0.53333339999999996</v>
      </c>
      <c r="J1585">
        <v>2010</v>
      </c>
      <c r="K1585">
        <v>4</v>
      </c>
      <c r="L1585">
        <v>7</v>
      </c>
      <c r="M1585" t="s">
        <v>89</v>
      </c>
      <c r="N1585">
        <v>0</v>
      </c>
      <c r="O1585">
        <v>0</v>
      </c>
    </row>
    <row r="1586" spans="1:15" x14ac:dyDescent="0.3">
      <c r="A1586">
        <v>1681</v>
      </c>
      <c r="B1586" s="34">
        <v>40276</v>
      </c>
      <c r="C1586">
        <v>1.33388</v>
      </c>
      <c r="D1586">
        <v>0</v>
      </c>
      <c r="F1586">
        <v>0.42335999999999802</v>
      </c>
      <c r="G1586">
        <v>25.174973488865302</v>
      </c>
      <c r="H1586">
        <v>0</v>
      </c>
      <c r="I1586">
        <v>0.53301609999999999</v>
      </c>
      <c r="J1586">
        <v>2010</v>
      </c>
      <c r="K1586">
        <v>4</v>
      </c>
      <c r="L1586">
        <v>8</v>
      </c>
      <c r="M1586" t="s">
        <v>90</v>
      </c>
      <c r="N1586">
        <v>0</v>
      </c>
      <c r="O1586">
        <v>0</v>
      </c>
    </row>
    <row r="1587" spans="1:15" x14ac:dyDescent="0.3">
      <c r="A1587">
        <v>1682</v>
      </c>
      <c r="B1587" s="34">
        <v>40277</v>
      </c>
      <c r="C1587">
        <v>1.33572</v>
      </c>
      <c r="D1587">
        <v>0</v>
      </c>
      <c r="F1587">
        <v>0.42335999999999802</v>
      </c>
      <c r="G1587">
        <v>25.174973488865302</v>
      </c>
      <c r="H1587">
        <v>1</v>
      </c>
      <c r="I1587">
        <v>0.53329369999999998</v>
      </c>
      <c r="J1587">
        <v>2010</v>
      </c>
      <c r="K1587">
        <v>4</v>
      </c>
      <c r="L1587">
        <v>9</v>
      </c>
      <c r="M1587" t="s">
        <v>91</v>
      </c>
      <c r="N1587">
        <v>0</v>
      </c>
      <c r="O1587">
        <v>0</v>
      </c>
    </row>
    <row r="1588" spans="1:15" x14ac:dyDescent="0.3">
      <c r="A1588">
        <v>1683</v>
      </c>
      <c r="B1588" s="34">
        <v>40280</v>
      </c>
      <c r="C1588">
        <v>1.3498399999999999</v>
      </c>
      <c r="D1588">
        <v>0</v>
      </c>
      <c r="F1588">
        <v>0.42335999999999802</v>
      </c>
      <c r="G1588">
        <v>25.174973488865302</v>
      </c>
      <c r="H1588">
        <v>0</v>
      </c>
      <c r="I1588">
        <v>0.53297680000000003</v>
      </c>
      <c r="J1588">
        <v>2010</v>
      </c>
      <c r="K1588">
        <v>4</v>
      </c>
      <c r="L1588">
        <v>12</v>
      </c>
      <c r="M1588" t="s">
        <v>92</v>
      </c>
      <c r="N1588">
        <v>0</v>
      </c>
      <c r="O1588">
        <v>0</v>
      </c>
    </row>
    <row r="1589" spans="1:15" x14ac:dyDescent="0.3">
      <c r="A1589">
        <v>1684</v>
      </c>
      <c r="B1589" s="34">
        <v>40281</v>
      </c>
      <c r="C1589">
        <v>1.3585799999999999</v>
      </c>
      <c r="D1589">
        <v>0</v>
      </c>
      <c r="F1589">
        <v>0.42335999999999802</v>
      </c>
      <c r="G1589">
        <v>25.174973488865302</v>
      </c>
      <c r="H1589">
        <v>0</v>
      </c>
      <c r="I1589">
        <v>0.53266029999999998</v>
      </c>
      <c r="J1589">
        <v>2010</v>
      </c>
      <c r="K1589">
        <v>4</v>
      </c>
      <c r="L1589">
        <v>13</v>
      </c>
      <c r="M1589" t="s">
        <v>93</v>
      </c>
      <c r="N1589">
        <v>0</v>
      </c>
      <c r="O1589">
        <v>0</v>
      </c>
    </row>
    <row r="1590" spans="1:15" x14ac:dyDescent="0.3">
      <c r="A1590">
        <v>1685</v>
      </c>
      <c r="B1590" s="34">
        <v>40282</v>
      </c>
      <c r="C1590">
        <v>1.36147</v>
      </c>
      <c r="D1590">
        <v>0</v>
      </c>
      <c r="F1590">
        <v>0.42335999999999802</v>
      </c>
      <c r="G1590">
        <v>25.174973488865302</v>
      </c>
      <c r="H1590">
        <v>0</v>
      </c>
      <c r="I1590">
        <v>0.53234420000000005</v>
      </c>
      <c r="J1590">
        <v>2010</v>
      </c>
      <c r="K1590">
        <v>4</v>
      </c>
      <c r="L1590">
        <v>14</v>
      </c>
      <c r="M1590" t="s">
        <v>89</v>
      </c>
      <c r="N1590">
        <v>0</v>
      </c>
      <c r="O1590">
        <v>0</v>
      </c>
    </row>
    <row r="1591" spans="1:15" x14ac:dyDescent="0.3">
      <c r="A1591">
        <v>1686</v>
      </c>
      <c r="B1591" s="34">
        <v>40283</v>
      </c>
      <c r="C1591">
        <v>1.3650800000000001</v>
      </c>
      <c r="D1591">
        <v>0</v>
      </c>
      <c r="F1591">
        <v>0.42335999999999802</v>
      </c>
      <c r="G1591">
        <v>25.174973488865302</v>
      </c>
      <c r="H1591">
        <v>0</v>
      </c>
      <c r="I1591">
        <v>0.53202850000000002</v>
      </c>
      <c r="J1591">
        <v>2010</v>
      </c>
      <c r="K1591">
        <v>4</v>
      </c>
      <c r="L1591">
        <v>15</v>
      </c>
      <c r="M1591" t="s">
        <v>90</v>
      </c>
      <c r="N1591">
        <v>0</v>
      </c>
      <c r="O1591">
        <v>0</v>
      </c>
    </row>
    <row r="1592" spans="1:15" x14ac:dyDescent="0.3">
      <c r="A1592">
        <v>1687</v>
      </c>
      <c r="B1592" s="34">
        <v>40284</v>
      </c>
      <c r="C1592">
        <v>1.3579000000000001</v>
      </c>
      <c r="D1592">
        <v>0</v>
      </c>
      <c r="F1592">
        <v>0.42335999999999802</v>
      </c>
      <c r="G1592">
        <v>25.174973488865302</v>
      </c>
      <c r="H1592">
        <v>1</v>
      </c>
      <c r="I1592">
        <v>0.5323059</v>
      </c>
      <c r="J1592">
        <v>2010</v>
      </c>
      <c r="K1592">
        <v>4</v>
      </c>
      <c r="L1592">
        <v>16</v>
      </c>
      <c r="M1592" t="s">
        <v>91</v>
      </c>
      <c r="N1592">
        <v>0</v>
      </c>
      <c r="O1592">
        <v>0</v>
      </c>
    </row>
    <row r="1593" spans="1:15" x14ac:dyDescent="0.3">
      <c r="A1593">
        <v>1688</v>
      </c>
      <c r="B1593" s="34">
        <v>40287</v>
      </c>
      <c r="C1593">
        <v>1.3501700000000001</v>
      </c>
      <c r="D1593">
        <v>2</v>
      </c>
      <c r="E1593" t="s">
        <v>392</v>
      </c>
      <c r="F1593">
        <v>0.422069999999998</v>
      </c>
      <c r="G1593">
        <v>25.4029692470837</v>
      </c>
      <c r="H1593">
        <v>1</v>
      </c>
      <c r="I1593">
        <v>0.53258289999999997</v>
      </c>
      <c r="J1593">
        <v>2010</v>
      </c>
      <c r="K1593">
        <v>4</v>
      </c>
      <c r="L1593">
        <v>19</v>
      </c>
      <c r="M1593" t="s">
        <v>92</v>
      </c>
      <c r="N1593">
        <v>0</v>
      </c>
      <c r="O1593">
        <v>0</v>
      </c>
    </row>
    <row r="1594" spans="1:15" x14ac:dyDescent="0.3">
      <c r="A1594">
        <v>1689</v>
      </c>
      <c r="B1594" s="34">
        <v>40288</v>
      </c>
      <c r="C1594">
        <v>1.3488800000000001</v>
      </c>
      <c r="D1594">
        <v>0</v>
      </c>
      <c r="F1594">
        <v>0.422069999999998</v>
      </c>
      <c r="G1594">
        <v>25.4029692470837</v>
      </c>
      <c r="H1594">
        <v>1</v>
      </c>
      <c r="I1594">
        <v>0.53285970000000005</v>
      </c>
      <c r="J1594">
        <v>2010</v>
      </c>
      <c r="K1594">
        <v>4</v>
      </c>
      <c r="L1594">
        <v>20</v>
      </c>
      <c r="M1594" t="s">
        <v>93</v>
      </c>
      <c r="N1594">
        <v>0</v>
      </c>
      <c r="O1594">
        <v>0</v>
      </c>
    </row>
    <row r="1595" spans="1:15" x14ac:dyDescent="0.3">
      <c r="A1595">
        <v>1690</v>
      </c>
      <c r="B1595" s="34">
        <v>40289</v>
      </c>
      <c r="C1595">
        <v>1.3440300000000001</v>
      </c>
      <c r="D1595">
        <v>0</v>
      </c>
      <c r="F1595">
        <v>0.422069999999998</v>
      </c>
      <c r="G1595">
        <v>25.4029692470837</v>
      </c>
      <c r="H1595">
        <v>1</v>
      </c>
      <c r="I1595">
        <v>0.5331361</v>
      </c>
      <c r="J1595">
        <v>2010</v>
      </c>
      <c r="K1595">
        <v>4</v>
      </c>
      <c r="L1595">
        <v>21</v>
      </c>
      <c r="M1595" t="s">
        <v>89</v>
      </c>
      <c r="N1595">
        <v>0</v>
      </c>
      <c r="O1595">
        <v>0</v>
      </c>
    </row>
    <row r="1596" spans="1:15" x14ac:dyDescent="0.3">
      <c r="A1596">
        <v>1691</v>
      </c>
      <c r="B1596" s="34">
        <v>40290</v>
      </c>
      <c r="C1596">
        <v>1.3388199999999999</v>
      </c>
      <c r="D1596">
        <v>0</v>
      </c>
      <c r="F1596">
        <v>0.422069999999998</v>
      </c>
      <c r="G1596">
        <v>25.4029692470837</v>
      </c>
      <c r="H1596">
        <v>0</v>
      </c>
      <c r="I1596">
        <v>0.53282079999999998</v>
      </c>
      <c r="J1596">
        <v>2010</v>
      </c>
      <c r="K1596">
        <v>4</v>
      </c>
      <c r="L1596">
        <v>22</v>
      </c>
      <c r="M1596" t="s">
        <v>90</v>
      </c>
      <c r="N1596">
        <v>0</v>
      </c>
      <c r="O1596">
        <v>0</v>
      </c>
    </row>
    <row r="1597" spans="1:15" x14ac:dyDescent="0.3">
      <c r="A1597">
        <v>1692</v>
      </c>
      <c r="B1597" s="34">
        <v>40291</v>
      </c>
      <c r="C1597">
        <v>1.32866</v>
      </c>
      <c r="D1597">
        <v>0</v>
      </c>
      <c r="F1597">
        <v>0.422069999999998</v>
      </c>
      <c r="G1597">
        <v>25.4029692470837</v>
      </c>
      <c r="H1597">
        <v>0</v>
      </c>
      <c r="I1597">
        <v>0.53250589999999998</v>
      </c>
      <c r="J1597">
        <v>2010</v>
      </c>
      <c r="K1597">
        <v>4</v>
      </c>
      <c r="L1597">
        <v>23</v>
      </c>
      <c r="M1597" t="s">
        <v>91</v>
      </c>
      <c r="N1597">
        <v>0</v>
      </c>
      <c r="O1597">
        <v>0</v>
      </c>
    </row>
    <row r="1598" spans="1:15" x14ac:dyDescent="0.3">
      <c r="A1598">
        <v>1693</v>
      </c>
      <c r="B1598" s="34">
        <v>40294</v>
      </c>
      <c r="C1598">
        <v>1.3381099999999999</v>
      </c>
      <c r="D1598">
        <v>0</v>
      </c>
      <c r="F1598">
        <v>0.422069999999998</v>
      </c>
      <c r="G1598">
        <v>25.4029692470837</v>
      </c>
      <c r="H1598">
        <v>1</v>
      </c>
      <c r="I1598">
        <v>0.53278199999999998</v>
      </c>
      <c r="J1598">
        <v>2010</v>
      </c>
      <c r="K1598">
        <v>4</v>
      </c>
      <c r="L1598">
        <v>26</v>
      </c>
      <c r="M1598" t="s">
        <v>92</v>
      </c>
      <c r="N1598">
        <v>0</v>
      </c>
      <c r="O1598">
        <v>0</v>
      </c>
    </row>
    <row r="1599" spans="1:15" x14ac:dyDescent="0.3">
      <c r="A1599">
        <v>1694</v>
      </c>
      <c r="B1599" s="34">
        <v>40295</v>
      </c>
      <c r="C1599">
        <v>1.3391900000000001</v>
      </c>
      <c r="D1599">
        <v>0</v>
      </c>
      <c r="F1599">
        <v>0.422069999999998</v>
      </c>
      <c r="G1599">
        <v>25.4029692470837</v>
      </c>
      <c r="H1599">
        <v>0</v>
      </c>
      <c r="I1599">
        <v>0.53246749999999998</v>
      </c>
      <c r="J1599">
        <v>2010</v>
      </c>
      <c r="K1599">
        <v>4</v>
      </c>
      <c r="L1599">
        <v>27</v>
      </c>
      <c r="M1599" t="s">
        <v>93</v>
      </c>
      <c r="N1599">
        <v>0</v>
      </c>
      <c r="O1599">
        <v>0</v>
      </c>
    </row>
    <row r="1600" spans="1:15" x14ac:dyDescent="0.3">
      <c r="A1600">
        <v>1695</v>
      </c>
      <c r="B1600" s="34">
        <v>40296</v>
      </c>
      <c r="C1600">
        <v>1.31619</v>
      </c>
      <c r="D1600">
        <v>0</v>
      </c>
      <c r="F1600">
        <v>0.422069999999998</v>
      </c>
      <c r="G1600">
        <v>25.4029692470837</v>
      </c>
      <c r="H1600">
        <v>1</v>
      </c>
      <c r="I1600">
        <v>0.53274330000000003</v>
      </c>
      <c r="J1600">
        <v>2010</v>
      </c>
      <c r="K1600">
        <v>4</v>
      </c>
      <c r="L1600">
        <v>28</v>
      </c>
      <c r="M1600" t="s">
        <v>89</v>
      </c>
      <c r="N1600">
        <v>0</v>
      </c>
      <c r="O1600">
        <v>0</v>
      </c>
    </row>
    <row r="1601" spans="1:15" x14ac:dyDescent="0.3">
      <c r="A1601">
        <v>1696</v>
      </c>
      <c r="B1601" s="34">
        <v>40297</v>
      </c>
      <c r="C1601">
        <v>1.3205199999999999</v>
      </c>
      <c r="D1601">
        <v>0</v>
      </c>
      <c r="F1601">
        <v>0.422069999999998</v>
      </c>
      <c r="G1601">
        <v>25.4029692470837</v>
      </c>
      <c r="H1601">
        <v>1</v>
      </c>
      <c r="I1601">
        <v>0.53301889999999996</v>
      </c>
      <c r="J1601">
        <v>2010</v>
      </c>
      <c r="K1601">
        <v>4</v>
      </c>
      <c r="L1601">
        <v>29</v>
      </c>
      <c r="M1601" t="s">
        <v>90</v>
      </c>
      <c r="N1601">
        <v>0</v>
      </c>
      <c r="O1601">
        <v>0</v>
      </c>
    </row>
    <row r="1602" spans="1:15" x14ac:dyDescent="0.3">
      <c r="A1602">
        <v>1697</v>
      </c>
      <c r="B1602" s="34">
        <v>40298</v>
      </c>
      <c r="C1602">
        <v>1.3242799999999999</v>
      </c>
      <c r="D1602">
        <v>0</v>
      </c>
      <c r="F1602">
        <v>0.422069999999998</v>
      </c>
      <c r="G1602">
        <v>25.4029692470837</v>
      </c>
      <c r="H1602">
        <v>1</v>
      </c>
      <c r="I1602">
        <v>0.53329400000000005</v>
      </c>
      <c r="J1602">
        <v>2010</v>
      </c>
      <c r="K1602">
        <v>4</v>
      </c>
      <c r="L1602">
        <v>30</v>
      </c>
      <c r="M1602" t="s">
        <v>91</v>
      </c>
      <c r="N1602">
        <v>0</v>
      </c>
      <c r="O1602">
        <v>0</v>
      </c>
    </row>
    <row r="1603" spans="1:15" x14ac:dyDescent="0.3">
      <c r="A1603">
        <v>1698</v>
      </c>
      <c r="B1603" s="34">
        <v>40301</v>
      </c>
      <c r="C1603">
        <v>1.3293600000000001</v>
      </c>
      <c r="D1603">
        <v>0</v>
      </c>
      <c r="F1603">
        <v>0.422069999999998</v>
      </c>
      <c r="G1603">
        <v>25.4029692470837</v>
      </c>
      <c r="H1603">
        <v>0</v>
      </c>
      <c r="I1603">
        <v>0.53298000000000001</v>
      </c>
      <c r="J1603">
        <v>2010</v>
      </c>
      <c r="K1603">
        <v>5</v>
      </c>
      <c r="L1603">
        <v>3</v>
      </c>
      <c r="M1603" t="s">
        <v>92</v>
      </c>
      <c r="N1603">
        <v>0</v>
      </c>
      <c r="O1603">
        <v>0</v>
      </c>
    </row>
    <row r="1604" spans="1:15" x14ac:dyDescent="0.3">
      <c r="A1604">
        <v>1699</v>
      </c>
      <c r="B1604" s="34">
        <v>40302</v>
      </c>
      <c r="C1604">
        <v>1.3188800000000001</v>
      </c>
      <c r="D1604">
        <v>0</v>
      </c>
      <c r="F1604">
        <v>0.422069999999998</v>
      </c>
      <c r="G1604">
        <v>25.4029692470837</v>
      </c>
      <c r="H1604">
        <v>1</v>
      </c>
      <c r="I1604">
        <v>0.53325489999999998</v>
      </c>
      <c r="J1604">
        <v>2010</v>
      </c>
      <c r="K1604">
        <v>5</v>
      </c>
      <c r="L1604">
        <v>4</v>
      </c>
      <c r="M1604" t="s">
        <v>93</v>
      </c>
      <c r="N1604">
        <v>0</v>
      </c>
      <c r="O1604">
        <v>0</v>
      </c>
    </row>
    <row r="1605" spans="1:15" x14ac:dyDescent="0.3">
      <c r="A1605">
        <v>1700</v>
      </c>
      <c r="B1605" s="34">
        <v>40303</v>
      </c>
      <c r="C1605">
        <v>1.29718</v>
      </c>
      <c r="D1605">
        <v>0</v>
      </c>
      <c r="F1605">
        <v>0.422069999999998</v>
      </c>
      <c r="G1605">
        <v>25.4029692470837</v>
      </c>
      <c r="H1605">
        <v>0</v>
      </c>
      <c r="I1605">
        <v>0.5329412</v>
      </c>
      <c r="J1605">
        <v>2010</v>
      </c>
      <c r="K1605">
        <v>5</v>
      </c>
      <c r="L1605">
        <v>5</v>
      </c>
      <c r="M1605" t="s">
        <v>89</v>
      </c>
      <c r="N1605">
        <v>0</v>
      </c>
      <c r="O1605">
        <v>0</v>
      </c>
    </row>
    <row r="1606" spans="1:15" x14ac:dyDescent="0.3">
      <c r="A1606">
        <v>1701</v>
      </c>
      <c r="B1606" s="34">
        <v>40304</v>
      </c>
      <c r="C1606">
        <v>1.28182</v>
      </c>
      <c r="D1606">
        <v>0</v>
      </c>
      <c r="F1606">
        <v>0.422069999999998</v>
      </c>
      <c r="G1606">
        <v>25.4029692470837</v>
      </c>
      <c r="H1606">
        <v>0</v>
      </c>
      <c r="I1606">
        <v>0.53262790000000004</v>
      </c>
      <c r="J1606">
        <v>2010</v>
      </c>
      <c r="K1606">
        <v>5</v>
      </c>
      <c r="L1606">
        <v>6</v>
      </c>
      <c r="M1606" t="s">
        <v>90</v>
      </c>
      <c r="N1606">
        <v>0</v>
      </c>
      <c r="O1606">
        <v>0</v>
      </c>
    </row>
    <row r="1607" spans="1:15" x14ac:dyDescent="0.3">
      <c r="A1607">
        <v>1702</v>
      </c>
      <c r="B1607" s="34">
        <v>40305</v>
      </c>
      <c r="C1607">
        <v>1.2629600000000001</v>
      </c>
      <c r="D1607">
        <v>0</v>
      </c>
      <c r="F1607">
        <v>0.422069999999998</v>
      </c>
      <c r="G1607">
        <v>25.4029692470837</v>
      </c>
      <c r="H1607">
        <v>0</v>
      </c>
      <c r="I1607">
        <v>0.53231490000000004</v>
      </c>
      <c r="J1607">
        <v>2010</v>
      </c>
      <c r="K1607">
        <v>5</v>
      </c>
      <c r="L1607">
        <v>7</v>
      </c>
      <c r="M1607" t="s">
        <v>91</v>
      </c>
      <c r="N1607">
        <v>0</v>
      </c>
      <c r="O1607">
        <v>0</v>
      </c>
    </row>
    <row r="1608" spans="1:15" x14ac:dyDescent="0.3">
      <c r="A1608">
        <v>1703</v>
      </c>
      <c r="B1608" s="34">
        <v>40308</v>
      </c>
      <c r="C1608">
        <v>1.27518</v>
      </c>
      <c r="D1608">
        <v>0</v>
      </c>
      <c r="F1608">
        <v>0.422069999999998</v>
      </c>
      <c r="G1608">
        <v>25.4029692470837</v>
      </c>
      <c r="H1608">
        <v>1</v>
      </c>
      <c r="I1608">
        <v>0.5325896</v>
      </c>
      <c r="J1608">
        <v>2010</v>
      </c>
      <c r="K1608">
        <v>5</v>
      </c>
      <c r="L1608">
        <v>10</v>
      </c>
      <c r="M1608" t="s">
        <v>92</v>
      </c>
      <c r="N1608">
        <v>0</v>
      </c>
      <c r="O1608">
        <v>0</v>
      </c>
    </row>
    <row r="1609" spans="1:15" x14ac:dyDescent="0.3">
      <c r="A1609">
        <v>1704</v>
      </c>
      <c r="B1609" s="34">
        <v>40309</v>
      </c>
      <c r="C1609">
        <v>1.27864</v>
      </c>
      <c r="D1609">
        <v>0</v>
      </c>
      <c r="F1609">
        <v>0.422069999999998</v>
      </c>
      <c r="G1609">
        <v>25.4029692470837</v>
      </c>
      <c r="H1609">
        <v>0</v>
      </c>
      <c r="I1609">
        <v>0.532277</v>
      </c>
      <c r="J1609">
        <v>2010</v>
      </c>
      <c r="K1609">
        <v>5</v>
      </c>
      <c r="L1609">
        <v>11</v>
      </c>
      <c r="M1609" t="s">
        <v>93</v>
      </c>
      <c r="N1609">
        <v>0</v>
      </c>
      <c r="O1609">
        <v>0</v>
      </c>
    </row>
    <row r="1610" spans="1:15" x14ac:dyDescent="0.3">
      <c r="A1610">
        <v>1705</v>
      </c>
      <c r="B1610" s="34">
        <v>40310</v>
      </c>
      <c r="C1610">
        <v>1.26328</v>
      </c>
      <c r="D1610">
        <v>0</v>
      </c>
      <c r="F1610">
        <v>0.422069999999998</v>
      </c>
      <c r="G1610">
        <v>25.4029692470837</v>
      </c>
      <c r="H1610">
        <v>1</v>
      </c>
      <c r="I1610">
        <v>0.53255129999999995</v>
      </c>
      <c r="J1610">
        <v>2010</v>
      </c>
      <c r="K1610">
        <v>5</v>
      </c>
      <c r="L1610">
        <v>12</v>
      </c>
      <c r="M1610" t="s">
        <v>89</v>
      </c>
      <c r="N1610">
        <v>0</v>
      </c>
      <c r="O1610">
        <v>0</v>
      </c>
    </row>
    <row r="1611" spans="1:15" x14ac:dyDescent="0.3">
      <c r="A1611">
        <v>1706</v>
      </c>
      <c r="B1611" s="34">
        <v>40311</v>
      </c>
      <c r="C1611">
        <v>1.2633399999999999</v>
      </c>
      <c r="D1611">
        <v>0</v>
      </c>
      <c r="F1611">
        <v>0.422069999999998</v>
      </c>
      <c r="G1611">
        <v>25.4029692470837</v>
      </c>
      <c r="H1611">
        <v>1</v>
      </c>
      <c r="I1611">
        <v>0.5328254</v>
      </c>
      <c r="J1611">
        <v>2010</v>
      </c>
      <c r="K1611">
        <v>5</v>
      </c>
      <c r="L1611">
        <v>13</v>
      </c>
      <c r="M1611" t="s">
        <v>90</v>
      </c>
      <c r="N1611">
        <v>0</v>
      </c>
      <c r="O1611">
        <v>0</v>
      </c>
    </row>
    <row r="1612" spans="1:15" x14ac:dyDescent="0.3">
      <c r="A1612">
        <v>1707</v>
      </c>
      <c r="B1612" s="34">
        <v>40312</v>
      </c>
      <c r="C1612">
        <v>1.25223</v>
      </c>
      <c r="D1612">
        <v>0</v>
      </c>
      <c r="F1612">
        <v>0.422069999999998</v>
      </c>
      <c r="G1612">
        <v>25.4029692470837</v>
      </c>
      <c r="H1612">
        <v>0</v>
      </c>
      <c r="I1612">
        <v>0.53251320000000002</v>
      </c>
      <c r="J1612">
        <v>2010</v>
      </c>
      <c r="K1612">
        <v>5</v>
      </c>
      <c r="L1612">
        <v>14</v>
      </c>
      <c r="M1612" t="s">
        <v>91</v>
      </c>
      <c r="N1612">
        <v>0</v>
      </c>
      <c r="O1612">
        <v>0</v>
      </c>
    </row>
    <row r="1613" spans="1:15" x14ac:dyDescent="0.3">
      <c r="A1613">
        <v>1708</v>
      </c>
      <c r="B1613" s="34">
        <v>40315</v>
      </c>
      <c r="C1613">
        <v>1.23566</v>
      </c>
      <c r="D1613">
        <v>0</v>
      </c>
      <c r="F1613">
        <v>0.422069999999998</v>
      </c>
      <c r="G1613">
        <v>25.4029692470837</v>
      </c>
      <c r="H1613">
        <v>0</v>
      </c>
      <c r="I1613">
        <v>0.53220140000000005</v>
      </c>
      <c r="J1613">
        <v>2010</v>
      </c>
      <c r="K1613">
        <v>5</v>
      </c>
      <c r="L1613">
        <v>17</v>
      </c>
      <c r="M1613" t="s">
        <v>92</v>
      </c>
      <c r="N1613">
        <v>0</v>
      </c>
      <c r="O1613">
        <v>0</v>
      </c>
    </row>
    <row r="1614" spans="1:15" x14ac:dyDescent="0.3">
      <c r="A1614">
        <v>1709</v>
      </c>
      <c r="B1614" s="34">
        <v>40316</v>
      </c>
      <c r="C1614">
        <v>1.2396799999999999</v>
      </c>
      <c r="D1614">
        <v>0</v>
      </c>
      <c r="F1614">
        <v>0.422069999999998</v>
      </c>
      <c r="G1614">
        <v>25.4029692470837</v>
      </c>
      <c r="H1614">
        <v>1</v>
      </c>
      <c r="I1614">
        <v>0.53247509999999998</v>
      </c>
      <c r="J1614">
        <v>2010</v>
      </c>
      <c r="K1614">
        <v>5</v>
      </c>
      <c r="L1614">
        <v>18</v>
      </c>
      <c r="M1614" t="s">
        <v>93</v>
      </c>
      <c r="N1614">
        <v>0</v>
      </c>
      <c r="O1614">
        <v>0</v>
      </c>
    </row>
    <row r="1615" spans="1:15" x14ac:dyDescent="0.3">
      <c r="A1615">
        <v>1710</v>
      </c>
      <c r="B1615" s="34">
        <v>40317</v>
      </c>
      <c r="C1615">
        <v>1.2171000000000001</v>
      </c>
      <c r="D1615">
        <v>0</v>
      </c>
      <c r="F1615">
        <v>0.422069999999998</v>
      </c>
      <c r="G1615">
        <v>25.4029692470837</v>
      </c>
      <c r="H1615">
        <v>1</v>
      </c>
      <c r="I1615">
        <v>0.53274849999999996</v>
      </c>
      <c r="J1615">
        <v>2010</v>
      </c>
      <c r="K1615">
        <v>5</v>
      </c>
      <c r="L1615">
        <v>19</v>
      </c>
      <c r="M1615" t="s">
        <v>89</v>
      </c>
      <c r="N1615">
        <v>0</v>
      </c>
      <c r="O1615">
        <v>0</v>
      </c>
    </row>
    <row r="1616" spans="1:15" x14ac:dyDescent="0.3">
      <c r="A1616">
        <v>1711</v>
      </c>
      <c r="B1616" s="34">
        <v>40318</v>
      </c>
      <c r="C1616">
        <v>1.2422</v>
      </c>
      <c r="D1616">
        <v>0</v>
      </c>
      <c r="F1616">
        <v>0.422069999999998</v>
      </c>
      <c r="G1616">
        <v>25.4029692470837</v>
      </c>
      <c r="H1616">
        <v>1</v>
      </c>
      <c r="I1616">
        <v>0.53302159999999998</v>
      </c>
      <c r="J1616">
        <v>2010</v>
      </c>
      <c r="K1616">
        <v>5</v>
      </c>
      <c r="L1616">
        <v>20</v>
      </c>
      <c r="M1616" t="s">
        <v>90</v>
      </c>
      <c r="N1616">
        <v>0</v>
      </c>
      <c r="O1616">
        <v>0</v>
      </c>
    </row>
    <row r="1617" spans="1:15" x14ac:dyDescent="0.3">
      <c r="A1617">
        <v>1712</v>
      </c>
      <c r="B1617" s="34">
        <v>40319</v>
      </c>
      <c r="C1617">
        <v>1.2468300000000001</v>
      </c>
      <c r="D1617">
        <v>-1</v>
      </c>
      <c r="F1617">
        <v>0.41177999999999798</v>
      </c>
      <c r="G1617">
        <v>27.221633085895999</v>
      </c>
      <c r="H1617">
        <v>0</v>
      </c>
      <c r="I1617">
        <v>0.53271029999999997</v>
      </c>
      <c r="J1617">
        <v>2010</v>
      </c>
      <c r="K1617">
        <v>5</v>
      </c>
      <c r="L1617">
        <v>21</v>
      </c>
      <c r="M1617" t="s">
        <v>91</v>
      </c>
      <c r="N1617">
        <v>0</v>
      </c>
      <c r="O1617">
        <v>0</v>
      </c>
    </row>
    <row r="1618" spans="1:15" x14ac:dyDescent="0.3">
      <c r="A1618">
        <v>1713</v>
      </c>
      <c r="B1618" s="34">
        <v>40322</v>
      </c>
      <c r="C1618">
        <v>1.25712</v>
      </c>
      <c r="D1618">
        <v>0</v>
      </c>
      <c r="F1618">
        <v>0.41177999999999798</v>
      </c>
      <c r="G1618">
        <v>27.221633085895999</v>
      </c>
      <c r="H1618">
        <v>0</v>
      </c>
      <c r="I1618">
        <v>0.53239930000000002</v>
      </c>
      <c r="J1618">
        <v>2010</v>
      </c>
      <c r="K1618">
        <v>5</v>
      </c>
      <c r="L1618">
        <v>24</v>
      </c>
      <c r="M1618" t="s">
        <v>92</v>
      </c>
      <c r="N1618">
        <v>0</v>
      </c>
      <c r="O1618">
        <v>0</v>
      </c>
    </row>
    <row r="1619" spans="1:15" x14ac:dyDescent="0.3">
      <c r="A1619">
        <v>1714</v>
      </c>
      <c r="B1619" s="34">
        <v>40323</v>
      </c>
      <c r="C1619">
        <v>1.2343999999999999</v>
      </c>
      <c r="D1619">
        <v>0</v>
      </c>
      <c r="F1619">
        <v>0.41177999999999798</v>
      </c>
      <c r="G1619">
        <v>27.221633085895999</v>
      </c>
      <c r="H1619">
        <v>1</v>
      </c>
      <c r="I1619">
        <v>0.53267209999999998</v>
      </c>
      <c r="J1619">
        <v>2010</v>
      </c>
      <c r="K1619">
        <v>5</v>
      </c>
      <c r="L1619">
        <v>25</v>
      </c>
      <c r="M1619" t="s">
        <v>93</v>
      </c>
      <c r="N1619">
        <v>0</v>
      </c>
      <c r="O1619">
        <v>0</v>
      </c>
    </row>
    <row r="1620" spans="1:15" x14ac:dyDescent="0.3">
      <c r="A1620">
        <v>1715</v>
      </c>
      <c r="B1620" s="34">
        <v>40324</v>
      </c>
      <c r="C1620">
        <v>1.2370399999999999</v>
      </c>
      <c r="D1620">
        <v>0</v>
      </c>
      <c r="F1620">
        <v>0.41177999999999798</v>
      </c>
      <c r="G1620">
        <v>27.221633085895999</v>
      </c>
      <c r="H1620">
        <v>1</v>
      </c>
      <c r="I1620">
        <v>0.53294459999999999</v>
      </c>
      <c r="J1620">
        <v>2010</v>
      </c>
      <c r="K1620">
        <v>5</v>
      </c>
      <c r="L1620">
        <v>26</v>
      </c>
      <c r="M1620" t="s">
        <v>89</v>
      </c>
      <c r="N1620">
        <v>0</v>
      </c>
      <c r="O1620">
        <v>0</v>
      </c>
    </row>
    <row r="1621" spans="1:15" x14ac:dyDescent="0.3">
      <c r="A1621">
        <v>1716</v>
      </c>
      <c r="B1621" s="34">
        <v>40325</v>
      </c>
      <c r="C1621">
        <v>1.2160899999999999</v>
      </c>
      <c r="D1621">
        <v>0</v>
      </c>
      <c r="F1621">
        <v>0.41177999999999798</v>
      </c>
      <c r="G1621">
        <v>27.221633085895999</v>
      </c>
      <c r="H1621">
        <v>0</v>
      </c>
      <c r="I1621">
        <v>0.53263400000000005</v>
      </c>
      <c r="J1621">
        <v>2010</v>
      </c>
      <c r="K1621">
        <v>5</v>
      </c>
      <c r="L1621">
        <v>27</v>
      </c>
      <c r="M1621" t="s">
        <v>90</v>
      </c>
      <c r="N1621">
        <v>0</v>
      </c>
      <c r="O1621">
        <v>0</v>
      </c>
    </row>
    <row r="1622" spans="1:15" x14ac:dyDescent="0.3">
      <c r="A1622">
        <v>1717</v>
      </c>
      <c r="B1622" s="34">
        <v>40326</v>
      </c>
      <c r="C1622">
        <v>1.23563</v>
      </c>
      <c r="D1622">
        <v>0</v>
      </c>
      <c r="F1622">
        <v>0.41177999999999798</v>
      </c>
      <c r="G1622">
        <v>27.221633085895999</v>
      </c>
      <c r="H1622">
        <v>1</v>
      </c>
      <c r="I1622">
        <v>0.5329062</v>
      </c>
      <c r="J1622">
        <v>2010</v>
      </c>
      <c r="K1622">
        <v>5</v>
      </c>
      <c r="L1622">
        <v>28</v>
      </c>
      <c r="M1622" t="s">
        <v>91</v>
      </c>
      <c r="N1622">
        <v>0</v>
      </c>
      <c r="O1622">
        <v>0</v>
      </c>
    </row>
    <row r="1623" spans="1:15" x14ac:dyDescent="0.3">
      <c r="A1623">
        <v>1718</v>
      </c>
      <c r="B1623" s="34">
        <v>40329</v>
      </c>
      <c r="C1623">
        <v>1.2272000000000001</v>
      </c>
      <c r="D1623">
        <v>0</v>
      </c>
      <c r="F1623">
        <v>0.41177999999999798</v>
      </c>
      <c r="G1623">
        <v>27.221633085895999</v>
      </c>
      <c r="H1623">
        <v>1</v>
      </c>
      <c r="I1623">
        <v>0.53317809999999999</v>
      </c>
      <c r="J1623">
        <v>2010</v>
      </c>
      <c r="K1623">
        <v>5</v>
      </c>
      <c r="L1623">
        <v>31</v>
      </c>
      <c r="M1623" t="s">
        <v>92</v>
      </c>
      <c r="N1623">
        <v>0</v>
      </c>
      <c r="O1623">
        <v>0</v>
      </c>
    </row>
    <row r="1624" spans="1:15" x14ac:dyDescent="0.3">
      <c r="A1624">
        <v>1719</v>
      </c>
      <c r="B1624" s="34">
        <v>40330</v>
      </c>
      <c r="C1624">
        <v>1.2307999999999999</v>
      </c>
      <c r="D1624">
        <v>-1</v>
      </c>
      <c r="F1624">
        <v>0.42142999999999797</v>
      </c>
      <c r="G1624">
        <v>25.516083421703701</v>
      </c>
      <c r="H1624">
        <v>1</v>
      </c>
      <c r="I1624">
        <v>0.53344970000000003</v>
      </c>
      <c r="J1624">
        <v>2010</v>
      </c>
      <c r="K1624">
        <v>6</v>
      </c>
      <c r="L1624">
        <v>1</v>
      </c>
      <c r="M1624" t="s">
        <v>93</v>
      </c>
      <c r="N1624">
        <v>0</v>
      </c>
      <c r="O1624">
        <v>0</v>
      </c>
    </row>
    <row r="1625" spans="1:15" x14ac:dyDescent="0.3">
      <c r="A1625">
        <v>1720</v>
      </c>
      <c r="B1625" s="34">
        <v>40331</v>
      </c>
      <c r="C1625">
        <v>1.22115</v>
      </c>
      <c r="D1625">
        <v>7</v>
      </c>
      <c r="E1625" t="s">
        <v>393</v>
      </c>
      <c r="F1625">
        <v>0.42519999999999802</v>
      </c>
      <c r="G1625">
        <v>24.8497702368327</v>
      </c>
      <c r="H1625">
        <v>1</v>
      </c>
      <c r="I1625">
        <v>0.53372090000000005</v>
      </c>
      <c r="J1625">
        <v>2010</v>
      </c>
      <c r="K1625">
        <v>6</v>
      </c>
      <c r="L1625">
        <v>2</v>
      </c>
      <c r="M1625" t="s">
        <v>89</v>
      </c>
      <c r="N1625">
        <v>0</v>
      </c>
      <c r="O1625">
        <v>0</v>
      </c>
    </row>
    <row r="1626" spans="1:15" x14ac:dyDescent="0.3">
      <c r="A1626">
        <v>1721</v>
      </c>
      <c r="B1626" s="34">
        <v>40332</v>
      </c>
      <c r="C1626">
        <v>1.22492</v>
      </c>
      <c r="D1626">
        <v>0</v>
      </c>
      <c r="F1626">
        <v>0.42519999999999802</v>
      </c>
      <c r="G1626">
        <v>24.8497702368327</v>
      </c>
      <c r="H1626">
        <v>1</v>
      </c>
      <c r="I1626">
        <v>0.53399189999999996</v>
      </c>
      <c r="J1626">
        <v>2010</v>
      </c>
      <c r="K1626">
        <v>6</v>
      </c>
      <c r="L1626">
        <v>3</v>
      </c>
      <c r="M1626" t="s">
        <v>90</v>
      </c>
      <c r="N1626">
        <v>0</v>
      </c>
      <c r="O1626">
        <v>0</v>
      </c>
    </row>
    <row r="1627" spans="1:15" x14ac:dyDescent="0.3">
      <c r="A1627">
        <v>1722</v>
      </c>
      <c r="B1627" s="34">
        <v>40333</v>
      </c>
      <c r="C1627">
        <v>1.21614</v>
      </c>
      <c r="D1627">
        <v>0</v>
      </c>
      <c r="F1627">
        <v>0.42519999999999802</v>
      </c>
      <c r="G1627">
        <v>24.8497702368327</v>
      </c>
      <c r="H1627">
        <v>0</v>
      </c>
      <c r="I1627">
        <v>0.53368179999999998</v>
      </c>
      <c r="J1627">
        <v>2010</v>
      </c>
      <c r="K1627">
        <v>6</v>
      </c>
      <c r="L1627">
        <v>4</v>
      </c>
      <c r="M1627" t="s">
        <v>91</v>
      </c>
      <c r="N1627">
        <v>0</v>
      </c>
      <c r="O1627">
        <v>0</v>
      </c>
    </row>
    <row r="1628" spans="1:15" x14ac:dyDescent="0.3">
      <c r="A1628">
        <v>1723</v>
      </c>
      <c r="B1628" s="34">
        <v>40336</v>
      </c>
      <c r="C1628">
        <v>1.1967099999999999</v>
      </c>
      <c r="D1628">
        <v>0</v>
      </c>
      <c r="F1628">
        <v>0.42519999999999802</v>
      </c>
      <c r="G1628">
        <v>24.8497702368327</v>
      </c>
      <c r="H1628">
        <v>0</v>
      </c>
      <c r="I1628">
        <v>0.53337199999999996</v>
      </c>
      <c r="J1628">
        <v>2010</v>
      </c>
      <c r="K1628">
        <v>6</v>
      </c>
      <c r="L1628">
        <v>7</v>
      </c>
      <c r="M1628" t="s">
        <v>92</v>
      </c>
      <c r="N1628">
        <v>0</v>
      </c>
      <c r="O1628">
        <v>0</v>
      </c>
    </row>
    <row r="1629" spans="1:15" x14ac:dyDescent="0.3">
      <c r="A1629">
        <v>1724</v>
      </c>
      <c r="B1629" s="34">
        <v>40337</v>
      </c>
      <c r="C1629">
        <v>1.1916599999999999</v>
      </c>
      <c r="D1629">
        <v>0</v>
      </c>
      <c r="F1629">
        <v>0.42519999999999802</v>
      </c>
      <c r="G1629">
        <v>24.8497702368327</v>
      </c>
      <c r="H1629">
        <v>0</v>
      </c>
      <c r="I1629">
        <v>0.53306260000000005</v>
      </c>
      <c r="J1629">
        <v>2010</v>
      </c>
      <c r="K1629">
        <v>6</v>
      </c>
      <c r="L1629">
        <v>8</v>
      </c>
      <c r="M1629" t="s">
        <v>93</v>
      </c>
      <c r="N1629">
        <v>0</v>
      </c>
      <c r="O1629">
        <v>0</v>
      </c>
    </row>
    <row r="1630" spans="1:15" x14ac:dyDescent="0.3">
      <c r="A1630">
        <v>1725</v>
      </c>
      <c r="B1630" s="34">
        <v>40338</v>
      </c>
      <c r="C1630">
        <v>1.1963999999999999</v>
      </c>
      <c r="D1630">
        <v>0</v>
      </c>
      <c r="F1630">
        <v>0.42519999999999802</v>
      </c>
      <c r="G1630">
        <v>24.8497702368327</v>
      </c>
      <c r="H1630">
        <v>1</v>
      </c>
      <c r="I1630">
        <v>0.53333339999999996</v>
      </c>
      <c r="J1630">
        <v>2010</v>
      </c>
      <c r="K1630">
        <v>6</v>
      </c>
      <c r="L1630">
        <v>9</v>
      </c>
      <c r="M1630" t="s">
        <v>89</v>
      </c>
      <c r="N1630">
        <v>0</v>
      </c>
      <c r="O1630">
        <v>0</v>
      </c>
    </row>
    <row r="1631" spans="1:15" x14ac:dyDescent="0.3">
      <c r="A1631">
        <v>1726</v>
      </c>
      <c r="B1631" s="34">
        <v>40339</v>
      </c>
      <c r="C1631">
        <v>1.1983999999999999</v>
      </c>
      <c r="D1631">
        <v>-2</v>
      </c>
      <c r="F1631">
        <v>0.41278999999999799</v>
      </c>
      <c r="G1631">
        <v>27.0431247790738</v>
      </c>
      <c r="H1631">
        <v>0</v>
      </c>
      <c r="I1631">
        <v>0.53302430000000001</v>
      </c>
      <c r="J1631">
        <v>2010</v>
      </c>
      <c r="K1631">
        <v>6</v>
      </c>
      <c r="L1631">
        <v>10</v>
      </c>
      <c r="M1631" t="s">
        <v>90</v>
      </c>
      <c r="N1631">
        <v>0</v>
      </c>
      <c r="O1631">
        <v>0</v>
      </c>
    </row>
    <row r="1632" spans="1:15" x14ac:dyDescent="0.3">
      <c r="A1632">
        <v>1727</v>
      </c>
      <c r="B1632" s="34">
        <v>40340</v>
      </c>
      <c r="C1632">
        <v>1.2108099999999999</v>
      </c>
      <c r="D1632">
        <v>-3</v>
      </c>
      <c r="F1632">
        <v>0.41247999999999801</v>
      </c>
      <c r="G1632">
        <v>27.097914457405398</v>
      </c>
      <c r="H1632">
        <v>0</v>
      </c>
      <c r="I1632">
        <v>0.53271570000000001</v>
      </c>
      <c r="J1632">
        <v>2010</v>
      </c>
      <c r="K1632">
        <v>6</v>
      </c>
      <c r="L1632">
        <v>11</v>
      </c>
      <c r="M1632" t="s">
        <v>91</v>
      </c>
      <c r="N1632">
        <v>0</v>
      </c>
      <c r="O1632">
        <v>0</v>
      </c>
    </row>
    <row r="1633" spans="1:15" x14ac:dyDescent="0.3">
      <c r="A1633">
        <v>1728</v>
      </c>
      <c r="B1633" s="34">
        <v>40343</v>
      </c>
      <c r="C1633">
        <v>1.21112</v>
      </c>
      <c r="D1633">
        <v>0</v>
      </c>
      <c r="F1633">
        <v>0.41247999999999801</v>
      </c>
      <c r="G1633">
        <v>27.097914457405398</v>
      </c>
      <c r="H1633">
        <v>0</v>
      </c>
      <c r="I1633">
        <v>0.53240739999999998</v>
      </c>
      <c r="J1633">
        <v>2010</v>
      </c>
      <c r="K1633">
        <v>6</v>
      </c>
      <c r="L1633">
        <v>14</v>
      </c>
      <c r="M1633" t="s">
        <v>92</v>
      </c>
      <c r="N1633">
        <v>0</v>
      </c>
      <c r="O1633">
        <v>0</v>
      </c>
    </row>
    <row r="1634" spans="1:15" x14ac:dyDescent="0.3">
      <c r="A1634">
        <v>1729</v>
      </c>
      <c r="B1634" s="34">
        <v>40344</v>
      </c>
      <c r="C1634">
        <v>1.2213000000000001</v>
      </c>
      <c r="D1634">
        <v>0</v>
      </c>
      <c r="F1634">
        <v>0.41247999999999801</v>
      </c>
      <c r="G1634">
        <v>27.097914457405398</v>
      </c>
      <c r="H1634">
        <v>0</v>
      </c>
      <c r="I1634">
        <v>0.53209949999999995</v>
      </c>
      <c r="J1634">
        <v>2010</v>
      </c>
      <c r="K1634">
        <v>6</v>
      </c>
      <c r="L1634">
        <v>15</v>
      </c>
      <c r="M1634" t="s">
        <v>93</v>
      </c>
      <c r="N1634">
        <v>0</v>
      </c>
      <c r="O1634">
        <v>0</v>
      </c>
    </row>
    <row r="1635" spans="1:15" x14ac:dyDescent="0.3">
      <c r="A1635">
        <v>1730</v>
      </c>
      <c r="B1635" s="34">
        <v>40345</v>
      </c>
      <c r="C1635">
        <v>1.23228</v>
      </c>
      <c r="D1635">
        <v>0</v>
      </c>
      <c r="F1635">
        <v>0.41247999999999801</v>
      </c>
      <c r="G1635">
        <v>27.097914457405398</v>
      </c>
      <c r="H1635">
        <v>0</v>
      </c>
      <c r="I1635">
        <v>0.53179189999999998</v>
      </c>
      <c r="J1635">
        <v>2010</v>
      </c>
      <c r="K1635">
        <v>6</v>
      </c>
      <c r="L1635">
        <v>16</v>
      </c>
      <c r="M1635" t="s">
        <v>89</v>
      </c>
      <c r="N1635">
        <v>0</v>
      </c>
      <c r="O1635">
        <v>0</v>
      </c>
    </row>
    <row r="1636" spans="1:15" x14ac:dyDescent="0.3">
      <c r="A1636">
        <v>1731</v>
      </c>
      <c r="B1636" s="34">
        <v>40346</v>
      </c>
      <c r="C1636">
        <v>1.2298899999999999</v>
      </c>
      <c r="D1636">
        <v>0</v>
      </c>
      <c r="F1636">
        <v>0.41247999999999801</v>
      </c>
      <c r="G1636">
        <v>27.097914457405398</v>
      </c>
      <c r="H1636">
        <v>1</v>
      </c>
      <c r="I1636">
        <v>0.53206240000000005</v>
      </c>
      <c r="J1636">
        <v>2010</v>
      </c>
      <c r="K1636">
        <v>6</v>
      </c>
      <c r="L1636">
        <v>17</v>
      </c>
      <c r="M1636" t="s">
        <v>90</v>
      </c>
      <c r="N1636">
        <v>0</v>
      </c>
      <c r="O1636">
        <v>0</v>
      </c>
    </row>
    <row r="1637" spans="1:15" x14ac:dyDescent="0.3">
      <c r="A1637">
        <v>1732</v>
      </c>
      <c r="B1637" s="34">
        <v>40347</v>
      </c>
      <c r="C1637">
        <v>1.23794</v>
      </c>
      <c r="D1637">
        <v>0</v>
      </c>
      <c r="F1637">
        <v>0.41247999999999801</v>
      </c>
      <c r="G1637">
        <v>27.097914457405398</v>
      </c>
      <c r="H1637">
        <v>0</v>
      </c>
      <c r="I1637">
        <v>0.53175519999999998</v>
      </c>
      <c r="J1637">
        <v>2010</v>
      </c>
      <c r="K1637">
        <v>6</v>
      </c>
      <c r="L1637">
        <v>18</v>
      </c>
      <c r="M1637" t="s">
        <v>91</v>
      </c>
      <c r="N1637">
        <v>0</v>
      </c>
      <c r="O1637">
        <v>0</v>
      </c>
    </row>
    <row r="1638" spans="1:15" x14ac:dyDescent="0.3">
      <c r="A1638">
        <v>1733</v>
      </c>
      <c r="B1638" s="34">
        <v>40350</v>
      </c>
      <c r="C1638">
        <v>1.23875</v>
      </c>
      <c r="D1638">
        <v>0</v>
      </c>
      <c r="F1638">
        <v>0.41247999999999801</v>
      </c>
      <c r="G1638">
        <v>27.097914457405398</v>
      </c>
      <c r="H1638">
        <v>0</v>
      </c>
      <c r="I1638">
        <v>0.53144840000000004</v>
      </c>
      <c r="J1638">
        <v>2010</v>
      </c>
      <c r="K1638">
        <v>6</v>
      </c>
      <c r="L1638">
        <v>21</v>
      </c>
      <c r="M1638" t="s">
        <v>92</v>
      </c>
      <c r="N1638">
        <v>0</v>
      </c>
      <c r="O1638">
        <v>0</v>
      </c>
    </row>
    <row r="1639" spans="1:15" x14ac:dyDescent="0.3">
      <c r="A1639">
        <v>1734</v>
      </c>
      <c r="B1639" s="34">
        <v>40351</v>
      </c>
      <c r="C1639">
        <v>1.2323200000000001</v>
      </c>
      <c r="D1639">
        <v>0</v>
      </c>
      <c r="F1639">
        <v>0.41247999999999801</v>
      </c>
      <c r="G1639">
        <v>27.097914457405398</v>
      </c>
      <c r="H1639">
        <v>1</v>
      </c>
      <c r="I1639">
        <v>0.53171860000000004</v>
      </c>
      <c r="J1639">
        <v>2010</v>
      </c>
      <c r="K1639">
        <v>6</v>
      </c>
      <c r="L1639">
        <v>22</v>
      </c>
      <c r="M1639" t="s">
        <v>93</v>
      </c>
      <c r="N1639">
        <v>0</v>
      </c>
      <c r="O1639">
        <v>0</v>
      </c>
    </row>
    <row r="1640" spans="1:15" x14ac:dyDescent="0.3">
      <c r="A1640">
        <v>1735</v>
      </c>
      <c r="B1640" s="34">
        <v>40352</v>
      </c>
      <c r="C1640">
        <v>1.2267399999999999</v>
      </c>
      <c r="D1640">
        <v>0</v>
      </c>
      <c r="F1640">
        <v>0.41247999999999801</v>
      </c>
      <c r="G1640">
        <v>27.097914457405398</v>
      </c>
      <c r="H1640">
        <v>1</v>
      </c>
      <c r="I1640">
        <v>0.53198849999999998</v>
      </c>
      <c r="J1640">
        <v>2010</v>
      </c>
      <c r="K1640">
        <v>6</v>
      </c>
      <c r="L1640">
        <v>23</v>
      </c>
      <c r="M1640" t="s">
        <v>89</v>
      </c>
      <c r="N1640">
        <v>0</v>
      </c>
      <c r="O1640">
        <v>0</v>
      </c>
    </row>
    <row r="1641" spans="1:15" x14ac:dyDescent="0.3">
      <c r="A1641">
        <v>1736</v>
      </c>
      <c r="B1641" s="34">
        <v>40353</v>
      </c>
      <c r="C1641">
        <v>1.23102</v>
      </c>
      <c r="D1641">
        <v>0</v>
      </c>
      <c r="F1641">
        <v>0.41247999999999801</v>
      </c>
      <c r="G1641">
        <v>27.097914457405398</v>
      </c>
      <c r="H1641">
        <v>0</v>
      </c>
      <c r="I1641">
        <v>0.53168199999999999</v>
      </c>
      <c r="J1641">
        <v>2010</v>
      </c>
      <c r="K1641">
        <v>6</v>
      </c>
      <c r="L1641">
        <v>24</v>
      </c>
      <c r="M1641" t="s">
        <v>90</v>
      </c>
      <c r="N1641">
        <v>0</v>
      </c>
      <c r="O1641">
        <v>0</v>
      </c>
    </row>
    <row r="1642" spans="1:15" x14ac:dyDescent="0.3">
      <c r="A1642">
        <v>1737</v>
      </c>
      <c r="B1642" s="34">
        <v>40354</v>
      </c>
      <c r="C1642">
        <v>1.2327600000000001</v>
      </c>
      <c r="D1642">
        <v>0</v>
      </c>
      <c r="F1642">
        <v>0.41247999999999801</v>
      </c>
      <c r="G1642">
        <v>27.097914457405398</v>
      </c>
      <c r="H1642">
        <v>0</v>
      </c>
      <c r="I1642">
        <v>0.53137590000000001</v>
      </c>
      <c r="J1642">
        <v>2010</v>
      </c>
      <c r="K1642">
        <v>6</v>
      </c>
      <c r="L1642">
        <v>25</v>
      </c>
      <c r="M1642" t="s">
        <v>91</v>
      </c>
      <c r="N1642">
        <v>0</v>
      </c>
      <c r="O1642">
        <v>0</v>
      </c>
    </row>
    <row r="1643" spans="1:15" x14ac:dyDescent="0.3">
      <c r="A1643">
        <v>1738</v>
      </c>
      <c r="B1643" s="34">
        <v>40357</v>
      </c>
      <c r="C1643">
        <v>1.23681</v>
      </c>
      <c r="D1643">
        <v>0</v>
      </c>
      <c r="F1643">
        <v>0.41247999999999801</v>
      </c>
      <c r="G1643">
        <v>27.097914457405398</v>
      </c>
      <c r="H1643">
        <v>0</v>
      </c>
      <c r="I1643">
        <v>0.53107020000000005</v>
      </c>
      <c r="J1643">
        <v>2010</v>
      </c>
      <c r="K1643">
        <v>6</v>
      </c>
      <c r="L1643">
        <v>28</v>
      </c>
      <c r="M1643" t="s">
        <v>92</v>
      </c>
      <c r="N1643">
        <v>0</v>
      </c>
      <c r="O1643">
        <v>0</v>
      </c>
    </row>
    <row r="1644" spans="1:15" x14ac:dyDescent="0.3">
      <c r="A1644">
        <v>1739</v>
      </c>
      <c r="B1644" s="34">
        <v>40358</v>
      </c>
      <c r="C1644">
        <v>1.22803</v>
      </c>
      <c r="D1644">
        <v>0</v>
      </c>
      <c r="F1644">
        <v>0.41247999999999801</v>
      </c>
      <c r="G1644">
        <v>27.097914457405398</v>
      </c>
      <c r="H1644">
        <v>0</v>
      </c>
      <c r="I1644">
        <v>0.53076480000000004</v>
      </c>
      <c r="J1644">
        <v>2010</v>
      </c>
      <c r="K1644">
        <v>6</v>
      </c>
      <c r="L1644">
        <v>29</v>
      </c>
      <c r="M1644" t="s">
        <v>93</v>
      </c>
      <c r="N1644">
        <v>0</v>
      </c>
      <c r="O1644">
        <v>0</v>
      </c>
    </row>
    <row r="1645" spans="1:15" x14ac:dyDescent="0.3">
      <c r="A1645">
        <v>1740</v>
      </c>
      <c r="B1645" s="34">
        <v>40359</v>
      </c>
      <c r="C1645">
        <v>1.2188600000000001</v>
      </c>
      <c r="D1645">
        <v>0</v>
      </c>
      <c r="F1645">
        <v>0.41247999999999801</v>
      </c>
      <c r="G1645">
        <v>27.097914457405398</v>
      </c>
      <c r="H1645">
        <v>0</v>
      </c>
      <c r="I1645">
        <v>0.53045980000000004</v>
      </c>
      <c r="J1645">
        <v>2010</v>
      </c>
      <c r="K1645">
        <v>6</v>
      </c>
      <c r="L1645">
        <v>30</v>
      </c>
      <c r="M1645" t="s">
        <v>89</v>
      </c>
      <c r="N1645">
        <v>0</v>
      </c>
      <c r="O1645">
        <v>0</v>
      </c>
    </row>
    <row r="1646" spans="1:15" x14ac:dyDescent="0.3">
      <c r="A1646">
        <v>1741</v>
      </c>
      <c r="B1646" s="34">
        <v>40360</v>
      </c>
      <c r="C1646">
        <v>1.22302</v>
      </c>
      <c r="D1646">
        <v>0</v>
      </c>
      <c r="F1646">
        <v>0.41247999999999801</v>
      </c>
      <c r="G1646">
        <v>27.097914457405398</v>
      </c>
      <c r="H1646">
        <v>1</v>
      </c>
      <c r="I1646">
        <v>0.53072949999999997</v>
      </c>
      <c r="J1646">
        <v>2010</v>
      </c>
      <c r="K1646">
        <v>7</v>
      </c>
      <c r="L1646">
        <v>1</v>
      </c>
      <c r="M1646" t="s">
        <v>90</v>
      </c>
      <c r="N1646">
        <v>0</v>
      </c>
      <c r="O1646">
        <v>0</v>
      </c>
    </row>
    <row r="1647" spans="1:15" x14ac:dyDescent="0.3">
      <c r="A1647">
        <v>1742</v>
      </c>
      <c r="B1647" s="34">
        <v>40361</v>
      </c>
      <c r="C1647">
        <v>1.25163</v>
      </c>
      <c r="D1647">
        <v>0</v>
      </c>
      <c r="F1647">
        <v>0.41247999999999801</v>
      </c>
      <c r="G1647">
        <v>27.097914457405398</v>
      </c>
      <c r="H1647">
        <v>1</v>
      </c>
      <c r="I1647">
        <v>0.53099879999999999</v>
      </c>
      <c r="J1647">
        <v>2010</v>
      </c>
      <c r="K1647">
        <v>7</v>
      </c>
      <c r="L1647">
        <v>2</v>
      </c>
      <c r="M1647" t="s">
        <v>91</v>
      </c>
      <c r="N1647">
        <v>0</v>
      </c>
      <c r="O1647">
        <v>0</v>
      </c>
    </row>
    <row r="1648" spans="1:15" x14ac:dyDescent="0.3">
      <c r="A1648">
        <v>1743</v>
      </c>
      <c r="B1648" s="34">
        <v>40364</v>
      </c>
      <c r="C1648">
        <v>1.2565500000000001</v>
      </c>
      <c r="D1648">
        <v>0</v>
      </c>
      <c r="F1648">
        <v>0.41247999999999801</v>
      </c>
      <c r="G1648">
        <v>27.097914457405398</v>
      </c>
      <c r="H1648">
        <v>0</v>
      </c>
      <c r="I1648">
        <v>0.5306942</v>
      </c>
      <c r="J1648">
        <v>2010</v>
      </c>
      <c r="K1648">
        <v>7</v>
      </c>
      <c r="L1648">
        <v>5</v>
      </c>
      <c r="M1648" t="s">
        <v>92</v>
      </c>
      <c r="N1648">
        <v>0</v>
      </c>
      <c r="O1648">
        <v>0</v>
      </c>
    </row>
    <row r="1649" spans="1:15" x14ac:dyDescent="0.3">
      <c r="A1649">
        <v>1744</v>
      </c>
      <c r="B1649" s="34">
        <v>40365</v>
      </c>
      <c r="C1649">
        <v>1.2538</v>
      </c>
      <c r="D1649">
        <v>0</v>
      </c>
      <c r="F1649">
        <v>0.41247999999999801</v>
      </c>
      <c r="G1649">
        <v>27.097914457405398</v>
      </c>
      <c r="H1649">
        <v>1</v>
      </c>
      <c r="I1649">
        <v>0.53096330000000003</v>
      </c>
      <c r="J1649">
        <v>2010</v>
      </c>
      <c r="K1649">
        <v>7</v>
      </c>
      <c r="L1649">
        <v>6</v>
      </c>
      <c r="M1649" t="s">
        <v>93</v>
      </c>
      <c r="N1649">
        <v>0</v>
      </c>
      <c r="O1649">
        <v>0</v>
      </c>
    </row>
    <row r="1650" spans="1:15" x14ac:dyDescent="0.3">
      <c r="A1650">
        <v>1745</v>
      </c>
      <c r="B1650" s="34">
        <v>40366</v>
      </c>
      <c r="C1650">
        <v>1.26261</v>
      </c>
      <c r="D1650">
        <v>-3</v>
      </c>
      <c r="F1650">
        <v>0.41192999999999802</v>
      </c>
      <c r="G1650">
        <v>27.195121951219502</v>
      </c>
      <c r="H1650">
        <v>0</v>
      </c>
      <c r="I1650">
        <v>0.53065899999999999</v>
      </c>
      <c r="J1650">
        <v>2010</v>
      </c>
      <c r="K1650">
        <v>7</v>
      </c>
      <c r="L1650">
        <v>7</v>
      </c>
      <c r="M1650" t="s">
        <v>89</v>
      </c>
      <c r="N1650">
        <v>0</v>
      </c>
      <c r="O1650">
        <v>0</v>
      </c>
    </row>
    <row r="1651" spans="1:15" x14ac:dyDescent="0.3">
      <c r="A1651">
        <v>1746</v>
      </c>
      <c r="B1651" s="34">
        <v>40367</v>
      </c>
      <c r="C1651">
        <v>1.2631600000000001</v>
      </c>
      <c r="D1651">
        <v>0</v>
      </c>
      <c r="F1651">
        <v>0.41192999999999802</v>
      </c>
      <c r="G1651">
        <v>27.195121951219502</v>
      </c>
      <c r="H1651">
        <v>0</v>
      </c>
      <c r="I1651">
        <v>0.53035509999999997</v>
      </c>
      <c r="J1651">
        <v>2010</v>
      </c>
      <c r="K1651">
        <v>7</v>
      </c>
      <c r="L1651">
        <v>8</v>
      </c>
      <c r="M1651" t="s">
        <v>90</v>
      </c>
      <c r="N1651">
        <v>0</v>
      </c>
      <c r="O1651">
        <v>0</v>
      </c>
    </row>
    <row r="1652" spans="1:15" x14ac:dyDescent="0.3">
      <c r="A1652">
        <v>1747</v>
      </c>
      <c r="B1652" s="34">
        <v>40368</v>
      </c>
      <c r="C1652">
        <v>1.2693099999999999</v>
      </c>
      <c r="D1652">
        <v>0</v>
      </c>
      <c r="F1652">
        <v>0.41192999999999802</v>
      </c>
      <c r="G1652">
        <v>27.195121951219502</v>
      </c>
      <c r="H1652">
        <v>0</v>
      </c>
      <c r="I1652">
        <v>0.53005150000000001</v>
      </c>
      <c r="J1652">
        <v>2010</v>
      </c>
      <c r="K1652">
        <v>7</v>
      </c>
      <c r="L1652">
        <v>9</v>
      </c>
      <c r="M1652" t="s">
        <v>91</v>
      </c>
      <c r="N1652">
        <v>0</v>
      </c>
      <c r="O1652">
        <v>0</v>
      </c>
    </row>
    <row r="1653" spans="1:15" x14ac:dyDescent="0.3">
      <c r="A1653">
        <v>1748</v>
      </c>
      <c r="B1653" s="34">
        <v>40371</v>
      </c>
      <c r="C1653">
        <v>1.2640400000000001</v>
      </c>
      <c r="D1653">
        <v>0</v>
      </c>
      <c r="F1653">
        <v>0.41192999999999802</v>
      </c>
      <c r="G1653">
        <v>27.195121951219502</v>
      </c>
      <c r="H1653">
        <v>1</v>
      </c>
      <c r="I1653">
        <v>0.53032029999999997</v>
      </c>
      <c r="J1653">
        <v>2010</v>
      </c>
      <c r="K1653">
        <v>7</v>
      </c>
      <c r="L1653">
        <v>12</v>
      </c>
      <c r="M1653" t="s">
        <v>92</v>
      </c>
      <c r="N1653">
        <v>0</v>
      </c>
      <c r="O1653">
        <v>0</v>
      </c>
    </row>
    <row r="1654" spans="1:15" x14ac:dyDescent="0.3">
      <c r="A1654">
        <v>1749</v>
      </c>
      <c r="B1654" s="34">
        <v>40372</v>
      </c>
      <c r="C1654">
        <v>1.2588699999999999</v>
      </c>
      <c r="D1654">
        <v>0</v>
      </c>
      <c r="F1654">
        <v>0.41192999999999802</v>
      </c>
      <c r="G1654">
        <v>27.195121951219502</v>
      </c>
      <c r="H1654">
        <v>1</v>
      </c>
      <c r="I1654">
        <v>0.53058890000000003</v>
      </c>
      <c r="J1654">
        <v>2010</v>
      </c>
      <c r="K1654">
        <v>7</v>
      </c>
      <c r="L1654">
        <v>13</v>
      </c>
      <c r="M1654" t="s">
        <v>93</v>
      </c>
      <c r="N1654">
        <v>0</v>
      </c>
      <c r="O1654">
        <v>0</v>
      </c>
    </row>
    <row r="1655" spans="1:15" x14ac:dyDescent="0.3">
      <c r="A1655">
        <v>1750</v>
      </c>
      <c r="B1655" s="34">
        <v>40373</v>
      </c>
      <c r="C1655">
        <v>1.2726500000000001</v>
      </c>
      <c r="D1655">
        <v>0</v>
      </c>
      <c r="F1655">
        <v>0.41192999999999802</v>
      </c>
      <c r="G1655">
        <v>27.195121951219502</v>
      </c>
      <c r="H1655">
        <v>0</v>
      </c>
      <c r="I1655">
        <v>0.53028569999999997</v>
      </c>
      <c r="J1655">
        <v>2010</v>
      </c>
      <c r="K1655">
        <v>7</v>
      </c>
      <c r="L1655">
        <v>14</v>
      </c>
      <c r="M1655" t="s">
        <v>89</v>
      </c>
      <c r="N1655">
        <v>0</v>
      </c>
      <c r="O1655">
        <v>0</v>
      </c>
    </row>
    <row r="1656" spans="1:15" x14ac:dyDescent="0.3">
      <c r="A1656">
        <v>1751</v>
      </c>
      <c r="B1656" s="34">
        <v>40374</v>
      </c>
      <c r="C1656">
        <v>1.2741400000000001</v>
      </c>
      <c r="D1656">
        <v>0</v>
      </c>
      <c r="F1656">
        <v>0.41192999999999802</v>
      </c>
      <c r="G1656">
        <v>27.195121951219502</v>
      </c>
      <c r="H1656">
        <v>0</v>
      </c>
      <c r="I1656">
        <v>0.52998290000000003</v>
      </c>
      <c r="J1656">
        <v>2010</v>
      </c>
      <c r="K1656">
        <v>7</v>
      </c>
      <c r="L1656">
        <v>15</v>
      </c>
      <c r="M1656" t="s">
        <v>90</v>
      </c>
      <c r="N1656">
        <v>0</v>
      </c>
      <c r="O1656">
        <v>0</v>
      </c>
    </row>
    <row r="1657" spans="1:15" x14ac:dyDescent="0.3">
      <c r="A1657">
        <v>1752</v>
      </c>
      <c r="B1657" s="34">
        <v>40375</v>
      </c>
      <c r="C1657">
        <v>1.2930999999999999</v>
      </c>
      <c r="D1657">
        <v>0</v>
      </c>
      <c r="F1657">
        <v>0.41192999999999802</v>
      </c>
      <c r="G1657">
        <v>27.195121951219502</v>
      </c>
      <c r="H1657">
        <v>0</v>
      </c>
      <c r="I1657">
        <v>0.52968040000000005</v>
      </c>
      <c r="J1657">
        <v>2010</v>
      </c>
      <c r="K1657">
        <v>7</v>
      </c>
      <c r="L1657">
        <v>16</v>
      </c>
      <c r="M1657" t="s">
        <v>91</v>
      </c>
      <c r="N1657">
        <v>0</v>
      </c>
      <c r="O1657">
        <v>0</v>
      </c>
    </row>
    <row r="1658" spans="1:15" x14ac:dyDescent="0.3">
      <c r="A1658">
        <v>1753</v>
      </c>
      <c r="B1658" s="34">
        <v>40378</v>
      </c>
      <c r="C1658">
        <v>1.2929600000000001</v>
      </c>
      <c r="D1658">
        <v>0</v>
      </c>
      <c r="F1658">
        <v>0.41192999999999802</v>
      </c>
      <c r="G1658">
        <v>27.195121951219502</v>
      </c>
      <c r="H1658">
        <v>1</v>
      </c>
      <c r="I1658">
        <v>0.52994870000000005</v>
      </c>
      <c r="J1658">
        <v>2010</v>
      </c>
      <c r="K1658">
        <v>7</v>
      </c>
      <c r="L1658">
        <v>19</v>
      </c>
      <c r="M1658" t="s">
        <v>92</v>
      </c>
      <c r="N1658">
        <v>0</v>
      </c>
      <c r="O1658">
        <v>0</v>
      </c>
    </row>
    <row r="1659" spans="1:15" x14ac:dyDescent="0.3">
      <c r="A1659">
        <v>1754</v>
      </c>
      <c r="B1659" s="34">
        <v>40379</v>
      </c>
      <c r="C1659">
        <v>1.2947200000000001</v>
      </c>
      <c r="D1659">
        <v>0</v>
      </c>
      <c r="F1659">
        <v>0.41192999999999802</v>
      </c>
      <c r="G1659">
        <v>27.195121951219502</v>
      </c>
      <c r="H1659">
        <v>0</v>
      </c>
      <c r="I1659">
        <v>0.52964650000000002</v>
      </c>
      <c r="J1659">
        <v>2010</v>
      </c>
      <c r="K1659">
        <v>7</v>
      </c>
      <c r="L1659">
        <v>20</v>
      </c>
      <c r="M1659" t="s">
        <v>93</v>
      </c>
      <c r="N1659">
        <v>0</v>
      </c>
      <c r="O1659">
        <v>0</v>
      </c>
    </row>
    <row r="1660" spans="1:15" x14ac:dyDescent="0.3">
      <c r="A1660">
        <v>1755</v>
      </c>
      <c r="B1660" s="34">
        <v>40380</v>
      </c>
      <c r="C1660">
        <v>1.28911</v>
      </c>
      <c r="D1660">
        <v>0</v>
      </c>
      <c r="F1660">
        <v>0.41192999999999802</v>
      </c>
      <c r="G1660">
        <v>27.195121951219502</v>
      </c>
      <c r="H1660">
        <v>1</v>
      </c>
      <c r="I1660">
        <v>0.52991460000000001</v>
      </c>
      <c r="J1660">
        <v>2010</v>
      </c>
      <c r="K1660">
        <v>7</v>
      </c>
      <c r="L1660">
        <v>21</v>
      </c>
      <c r="M1660" t="s">
        <v>89</v>
      </c>
      <c r="N1660">
        <v>0</v>
      </c>
      <c r="O1660">
        <v>0</v>
      </c>
    </row>
    <row r="1661" spans="1:15" x14ac:dyDescent="0.3">
      <c r="A1661">
        <v>1756</v>
      </c>
      <c r="B1661" s="34">
        <v>40381</v>
      </c>
      <c r="C1661">
        <v>1.27528</v>
      </c>
      <c r="D1661">
        <v>0</v>
      </c>
      <c r="F1661">
        <v>0.41192999999999802</v>
      </c>
      <c r="G1661">
        <v>27.195121951219502</v>
      </c>
      <c r="H1661">
        <v>1</v>
      </c>
      <c r="I1661">
        <v>0.53018220000000005</v>
      </c>
      <c r="J1661">
        <v>2010</v>
      </c>
      <c r="K1661">
        <v>7</v>
      </c>
      <c r="L1661">
        <v>22</v>
      </c>
      <c r="M1661" t="s">
        <v>90</v>
      </c>
      <c r="N1661">
        <v>0</v>
      </c>
      <c r="O1661">
        <v>0</v>
      </c>
    </row>
    <row r="1662" spans="1:15" x14ac:dyDescent="0.3">
      <c r="A1662">
        <v>1757</v>
      </c>
      <c r="B1662" s="34">
        <v>40382</v>
      </c>
      <c r="C1662">
        <v>1.2886500000000001</v>
      </c>
      <c r="D1662">
        <v>0</v>
      </c>
      <c r="F1662">
        <v>0.41192999999999802</v>
      </c>
      <c r="G1662">
        <v>27.195121951219502</v>
      </c>
      <c r="H1662">
        <v>1</v>
      </c>
      <c r="I1662">
        <v>0.53044959999999997</v>
      </c>
      <c r="J1662">
        <v>2010</v>
      </c>
      <c r="K1662">
        <v>7</v>
      </c>
      <c r="L1662">
        <v>23</v>
      </c>
      <c r="M1662" t="s">
        <v>91</v>
      </c>
      <c r="N1662">
        <v>0</v>
      </c>
      <c r="O1662">
        <v>0</v>
      </c>
    </row>
    <row r="1663" spans="1:15" x14ac:dyDescent="0.3">
      <c r="A1663">
        <v>1758</v>
      </c>
      <c r="B1663" s="34">
        <v>40385</v>
      </c>
      <c r="C1663">
        <v>1.2908599999999999</v>
      </c>
      <c r="D1663">
        <v>0</v>
      </c>
      <c r="F1663">
        <v>0.41192999999999802</v>
      </c>
      <c r="G1663">
        <v>27.195121951219502</v>
      </c>
      <c r="H1663">
        <v>0</v>
      </c>
      <c r="I1663">
        <v>0.53014790000000001</v>
      </c>
      <c r="J1663">
        <v>2010</v>
      </c>
      <c r="K1663">
        <v>7</v>
      </c>
      <c r="L1663">
        <v>26</v>
      </c>
      <c r="M1663" t="s">
        <v>92</v>
      </c>
      <c r="N1663">
        <v>0</v>
      </c>
      <c r="O1663">
        <v>0</v>
      </c>
    </row>
    <row r="1664" spans="1:15" x14ac:dyDescent="0.3">
      <c r="A1664">
        <v>1759</v>
      </c>
      <c r="B1664" s="34">
        <v>40386</v>
      </c>
      <c r="C1664">
        <v>1.2986500000000001</v>
      </c>
      <c r="D1664">
        <v>0</v>
      </c>
      <c r="F1664">
        <v>0.41192999999999802</v>
      </c>
      <c r="G1664">
        <v>27.195121951219502</v>
      </c>
      <c r="H1664">
        <v>0</v>
      </c>
      <c r="I1664">
        <v>0.5298465</v>
      </c>
      <c r="J1664">
        <v>2010</v>
      </c>
      <c r="K1664">
        <v>7</v>
      </c>
      <c r="L1664">
        <v>27</v>
      </c>
      <c r="M1664" t="s">
        <v>93</v>
      </c>
      <c r="N1664">
        <v>0</v>
      </c>
      <c r="O1664">
        <v>0</v>
      </c>
    </row>
    <row r="1665" spans="1:15" x14ac:dyDescent="0.3">
      <c r="A1665">
        <v>1760</v>
      </c>
      <c r="B1665" s="34">
        <v>40387</v>
      </c>
      <c r="C1665">
        <v>1.3000100000000001</v>
      </c>
      <c r="D1665">
        <v>0</v>
      </c>
      <c r="F1665">
        <v>0.41192999999999802</v>
      </c>
      <c r="G1665">
        <v>27.195121951219502</v>
      </c>
      <c r="H1665">
        <v>0</v>
      </c>
      <c r="I1665">
        <v>0.52954540000000005</v>
      </c>
      <c r="J1665">
        <v>2010</v>
      </c>
      <c r="K1665">
        <v>7</v>
      </c>
      <c r="L1665">
        <v>28</v>
      </c>
      <c r="M1665" t="s">
        <v>89</v>
      </c>
      <c r="N1665">
        <v>0</v>
      </c>
      <c r="O1665">
        <v>0</v>
      </c>
    </row>
    <row r="1666" spans="1:15" x14ac:dyDescent="0.3">
      <c r="A1666">
        <v>1761</v>
      </c>
      <c r="B1666" s="34">
        <v>40388</v>
      </c>
      <c r="C1666">
        <v>1.2986800000000001</v>
      </c>
      <c r="D1666">
        <v>0</v>
      </c>
      <c r="F1666">
        <v>0.41192999999999802</v>
      </c>
      <c r="G1666">
        <v>27.195121951219502</v>
      </c>
      <c r="H1666">
        <v>1</v>
      </c>
      <c r="I1666">
        <v>0.52981259999999997</v>
      </c>
      <c r="J1666">
        <v>2010</v>
      </c>
      <c r="K1666">
        <v>7</v>
      </c>
      <c r="L1666">
        <v>29</v>
      </c>
      <c r="M1666" t="s">
        <v>90</v>
      </c>
      <c r="N1666">
        <v>0</v>
      </c>
      <c r="O1666">
        <v>0</v>
      </c>
    </row>
    <row r="1667" spans="1:15" x14ac:dyDescent="0.3">
      <c r="A1667">
        <v>1762</v>
      </c>
      <c r="B1667" s="34">
        <v>40389</v>
      </c>
      <c r="C1667">
        <v>1.3079499999999999</v>
      </c>
      <c r="D1667">
        <v>0</v>
      </c>
      <c r="F1667">
        <v>0.41192999999999802</v>
      </c>
      <c r="G1667">
        <v>27.195121951219502</v>
      </c>
      <c r="H1667">
        <v>0</v>
      </c>
      <c r="I1667">
        <v>0.52951190000000004</v>
      </c>
      <c r="J1667">
        <v>2010</v>
      </c>
      <c r="K1667">
        <v>7</v>
      </c>
      <c r="L1667">
        <v>30</v>
      </c>
      <c r="M1667" t="s">
        <v>91</v>
      </c>
      <c r="N1667">
        <v>0</v>
      </c>
      <c r="O1667">
        <v>0</v>
      </c>
    </row>
    <row r="1668" spans="1:15" x14ac:dyDescent="0.3">
      <c r="A1668">
        <v>1763</v>
      </c>
      <c r="B1668" s="34">
        <v>40392</v>
      </c>
      <c r="C1668">
        <v>1.30504</v>
      </c>
      <c r="D1668">
        <v>0</v>
      </c>
      <c r="F1668">
        <v>0.41192999999999802</v>
      </c>
      <c r="G1668">
        <v>27.195121951219502</v>
      </c>
      <c r="H1668">
        <v>1</v>
      </c>
      <c r="I1668">
        <v>0.52977879999999999</v>
      </c>
      <c r="J1668">
        <v>2010</v>
      </c>
      <c r="K1668">
        <v>8</v>
      </c>
      <c r="L1668">
        <v>2</v>
      </c>
      <c r="M1668" t="s">
        <v>92</v>
      </c>
      <c r="N1668">
        <v>0</v>
      </c>
      <c r="O1668">
        <v>0</v>
      </c>
    </row>
    <row r="1669" spans="1:15" x14ac:dyDescent="0.3">
      <c r="A1669">
        <v>1764</v>
      </c>
      <c r="B1669" s="34">
        <v>40393</v>
      </c>
      <c r="C1669">
        <v>1.3175300000000001</v>
      </c>
      <c r="D1669">
        <v>0</v>
      </c>
      <c r="F1669">
        <v>0.41192999999999802</v>
      </c>
      <c r="G1669">
        <v>27.195121951219502</v>
      </c>
      <c r="H1669">
        <v>0</v>
      </c>
      <c r="I1669">
        <v>0.52947840000000002</v>
      </c>
      <c r="J1669">
        <v>2010</v>
      </c>
      <c r="K1669">
        <v>8</v>
      </c>
      <c r="L1669">
        <v>3</v>
      </c>
      <c r="M1669" t="s">
        <v>93</v>
      </c>
      <c r="N1669">
        <v>0</v>
      </c>
      <c r="O1669">
        <v>0</v>
      </c>
    </row>
    <row r="1670" spans="1:15" x14ac:dyDescent="0.3">
      <c r="A1670">
        <v>1765</v>
      </c>
      <c r="B1670" s="34">
        <v>40394</v>
      </c>
      <c r="C1670">
        <v>1.3226</v>
      </c>
      <c r="D1670">
        <v>0</v>
      </c>
      <c r="F1670">
        <v>0.41192999999999802</v>
      </c>
      <c r="G1670">
        <v>27.195121951219502</v>
      </c>
      <c r="H1670">
        <v>0</v>
      </c>
      <c r="I1670">
        <v>0.52917840000000005</v>
      </c>
      <c r="J1670">
        <v>2010</v>
      </c>
      <c r="K1670">
        <v>8</v>
      </c>
      <c r="L1670">
        <v>4</v>
      </c>
      <c r="M1670" t="s">
        <v>89</v>
      </c>
      <c r="N1670">
        <v>0</v>
      </c>
      <c r="O1670">
        <v>0</v>
      </c>
    </row>
    <row r="1671" spans="1:15" x14ac:dyDescent="0.3">
      <c r="A1671">
        <v>1766</v>
      </c>
      <c r="B1671" s="34">
        <v>40395</v>
      </c>
      <c r="C1671">
        <v>1.31538</v>
      </c>
      <c r="D1671">
        <v>0</v>
      </c>
      <c r="F1671">
        <v>0.41192999999999802</v>
      </c>
      <c r="G1671">
        <v>27.195121951219502</v>
      </c>
      <c r="H1671">
        <v>1</v>
      </c>
      <c r="I1671">
        <v>0.5294451</v>
      </c>
      <c r="J1671">
        <v>2010</v>
      </c>
      <c r="K1671">
        <v>8</v>
      </c>
      <c r="L1671">
        <v>5</v>
      </c>
      <c r="M1671" t="s">
        <v>90</v>
      </c>
      <c r="N1671">
        <v>0</v>
      </c>
      <c r="O1671">
        <v>0</v>
      </c>
    </row>
    <row r="1672" spans="1:15" x14ac:dyDescent="0.3">
      <c r="A1672">
        <v>1767</v>
      </c>
      <c r="B1672" s="34">
        <v>40396</v>
      </c>
      <c r="C1672">
        <v>1.3184100000000001</v>
      </c>
      <c r="D1672">
        <v>0</v>
      </c>
      <c r="F1672">
        <v>0.41192999999999802</v>
      </c>
      <c r="G1672">
        <v>27.195121951219502</v>
      </c>
      <c r="H1672">
        <v>0</v>
      </c>
      <c r="I1672">
        <v>0.52914539999999999</v>
      </c>
      <c r="J1672">
        <v>2010</v>
      </c>
      <c r="K1672">
        <v>8</v>
      </c>
      <c r="L1672">
        <v>6</v>
      </c>
      <c r="M1672" t="s">
        <v>91</v>
      </c>
      <c r="N1672">
        <v>0</v>
      </c>
      <c r="O1672">
        <v>0</v>
      </c>
    </row>
    <row r="1673" spans="1:15" x14ac:dyDescent="0.3">
      <c r="A1673">
        <v>1768</v>
      </c>
      <c r="B1673" s="34">
        <v>40399</v>
      </c>
      <c r="C1673">
        <v>1.3278099999999999</v>
      </c>
      <c r="D1673">
        <v>0</v>
      </c>
      <c r="F1673">
        <v>0.41192999999999802</v>
      </c>
      <c r="G1673">
        <v>27.195121951219502</v>
      </c>
      <c r="H1673">
        <v>0</v>
      </c>
      <c r="I1673">
        <v>0.52884609999999999</v>
      </c>
      <c r="J1673">
        <v>2010</v>
      </c>
      <c r="K1673">
        <v>8</v>
      </c>
      <c r="L1673">
        <v>9</v>
      </c>
      <c r="M1673" t="s">
        <v>92</v>
      </c>
      <c r="N1673">
        <v>0</v>
      </c>
      <c r="O1673">
        <v>0</v>
      </c>
    </row>
    <row r="1674" spans="1:15" x14ac:dyDescent="0.3">
      <c r="A1674">
        <v>1769</v>
      </c>
      <c r="B1674" s="34">
        <v>40400</v>
      </c>
      <c r="C1674">
        <v>1.3224199999999999</v>
      </c>
      <c r="D1674">
        <v>0</v>
      </c>
      <c r="F1674">
        <v>0.41192999999999802</v>
      </c>
      <c r="G1674">
        <v>27.195121951219502</v>
      </c>
      <c r="H1674">
        <v>1</v>
      </c>
      <c r="I1674">
        <v>0.52911249999999999</v>
      </c>
      <c r="J1674">
        <v>2010</v>
      </c>
      <c r="K1674">
        <v>8</v>
      </c>
      <c r="L1674">
        <v>10</v>
      </c>
      <c r="M1674" t="s">
        <v>93</v>
      </c>
      <c r="N1674">
        <v>0</v>
      </c>
      <c r="O1674">
        <v>0</v>
      </c>
    </row>
    <row r="1675" spans="1:15" x14ac:dyDescent="0.3">
      <c r="A1675">
        <v>1770</v>
      </c>
      <c r="B1675" s="34">
        <v>40401</v>
      </c>
      <c r="C1675">
        <v>1.31745</v>
      </c>
      <c r="D1675">
        <v>0</v>
      </c>
      <c r="F1675">
        <v>0.41192999999999802</v>
      </c>
      <c r="G1675">
        <v>27.195121951219502</v>
      </c>
      <c r="H1675">
        <v>1</v>
      </c>
      <c r="I1675">
        <v>0.52937849999999997</v>
      </c>
      <c r="J1675">
        <v>2010</v>
      </c>
      <c r="K1675">
        <v>8</v>
      </c>
      <c r="L1675">
        <v>11</v>
      </c>
      <c r="M1675" t="s">
        <v>89</v>
      </c>
      <c r="N1675">
        <v>0</v>
      </c>
      <c r="O1675">
        <v>0</v>
      </c>
    </row>
    <row r="1676" spans="1:15" x14ac:dyDescent="0.3">
      <c r="A1676">
        <v>1771</v>
      </c>
      <c r="B1676" s="34">
        <v>40402</v>
      </c>
      <c r="C1676">
        <v>1.28447</v>
      </c>
      <c r="D1676">
        <v>0</v>
      </c>
      <c r="F1676">
        <v>0.41192999999999802</v>
      </c>
      <c r="G1676">
        <v>27.195121951219502</v>
      </c>
      <c r="H1676">
        <v>0</v>
      </c>
      <c r="I1676">
        <v>0.52907959999999998</v>
      </c>
      <c r="J1676">
        <v>2010</v>
      </c>
      <c r="K1676">
        <v>8</v>
      </c>
      <c r="L1676">
        <v>12</v>
      </c>
      <c r="M1676" t="s">
        <v>90</v>
      </c>
      <c r="N1676">
        <v>0</v>
      </c>
      <c r="O1676">
        <v>0</v>
      </c>
    </row>
    <row r="1677" spans="1:15" x14ac:dyDescent="0.3">
      <c r="A1677">
        <v>1772</v>
      </c>
      <c r="B1677" s="34">
        <v>40403</v>
      </c>
      <c r="C1677">
        <v>1.2826900000000001</v>
      </c>
      <c r="D1677">
        <v>0</v>
      </c>
      <c r="F1677">
        <v>0.41192999999999802</v>
      </c>
      <c r="G1677">
        <v>27.195121951219502</v>
      </c>
      <c r="H1677">
        <v>0</v>
      </c>
      <c r="I1677">
        <v>0.5287811</v>
      </c>
      <c r="J1677">
        <v>2010</v>
      </c>
      <c r="K1677">
        <v>8</v>
      </c>
      <c r="L1677">
        <v>13</v>
      </c>
      <c r="M1677" t="s">
        <v>91</v>
      </c>
      <c r="N1677">
        <v>0</v>
      </c>
      <c r="O1677">
        <v>0</v>
      </c>
    </row>
    <row r="1678" spans="1:15" x14ac:dyDescent="0.3">
      <c r="A1678">
        <v>1773</v>
      </c>
      <c r="B1678" s="34">
        <v>40406</v>
      </c>
      <c r="C1678">
        <v>1.2753099999999999</v>
      </c>
      <c r="D1678">
        <v>0</v>
      </c>
      <c r="F1678">
        <v>0.41192999999999802</v>
      </c>
      <c r="G1678">
        <v>27.195121951219502</v>
      </c>
      <c r="H1678">
        <v>0</v>
      </c>
      <c r="I1678">
        <v>0.52848280000000003</v>
      </c>
      <c r="J1678">
        <v>2010</v>
      </c>
      <c r="K1678">
        <v>8</v>
      </c>
      <c r="L1678">
        <v>16</v>
      </c>
      <c r="M1678" t="s">
        <v>92</v>
      </c>
      <c r="N1678">
        <v>0</v>
      </c>
      <c r="O1678">
        <v>0</v>
      </c>
    </row>
    <row r="1679" spans="1:15" x14ac:dyDescent="0.3">
      <c r="A1679">
        <v>1774</v>
      </c>
      <c r="B1679" s="34">
        <v>40407</v>
      </c>
      <c r="C1679">
        <v>1.2821899999999999</v>
      </c>
      <c r="D1679">
        <v>0</v>
      </c>
      <c r="F1679">
        <v>0.41192999999999802</v>
      </c>
      <c r="G1679">
        <v>27.195121951219502</v>
      </c>
      <c r="H1679">
        <v>0</v>
      </c>
      <c r="I1679">
        <v>0.52818489999999996</v>
      </c>
      <c r="J1679">
        <v>2010</v>
      </c>
      <c r="K1679">
        <v>8</v>
      </c>
      <c r="L1679">
        <v>17</v>
      </c>
      <c r="M1679" t="s">
        <v>93</v>
      </c>
      <c r="N1679">
        <v>0</v>
      </c>
      <c r="O1679">
        <v>0</v>
      </c>
    </row>
    <row r="1680" spans="1:15" x14ac:dyDescent="0.3">
      <c r="A1680">
        <v>1775</v>
      </c>
      <c r="B1680" s="34">
        <v>40408</v>
      </c>
      <c r="C1680">
        <v>1.2878700000000001</v>
      </c>
      <c r="D1680">
        <v>0</v>
      </c>
      <c r="F1680">
        <v>0.41192999999999802</v>
      </c>
      <c r="G1680">
        <v>27.195121951219502</v>
      </c>
      <c r="H1680">
        <v>0</v>
      </c>
      <c r="I1680">
        <v>0.52788729999999995</v>
      </c>
      <c r="J1680">
        <v>2010</v>
      </c>
      <c r="K1680">
        <v>8</v>
      </c>
      <c r="L1680">
        <v>18</v>
      </c>
      <c r="M1680" t="s">
        <v>89</v>
      </c>
      <c r="N1680">
        <v>0</v>
      </c>
      <c r="O1680">
        <v>0</v>
      </c>
    </row>
    <row r="1681" spans="1:15" x14ac:dyDescent="0.3">
      <c r="A1681">
        <v>1776</v>
      </c>
      <c r="B1681" s="34">
        <v>40409</v>
      </c>
      <c r="C1681">
        <v>1.28518</v>
      </c>
      <c r="D1681">
        <v>0</v>
      </c>
      <c r="F1681">
        <v>0.41192999999999802</v>
      </c>
      <c r="G1681">
        <v>27.195121951219502</v>
      </c>
      <c r="H1681">
        <v>1</v>
      </c>
      <c r="I1681">
        <v>0.52815319999999999</v>
      </c>
      <c r="J1681">
        <v>2010</v>
      </c>
      <c r="K1681">
        <v>8</v>
      </c>
      <c r="L1681">
        <v>19</v>
      </c>
      <c r="M1681" t="s">
        <v>90</v>
      </c>
      <c r="N1681">
        <v>0</v>
      </c>
      <c r="O1681">
        <v>0</v>
      </c>
    </row>
    <row r="1682" spans="1:15" x14ac:dyDescent="0.3">
      <c r="A1682">
        <v>1777</v>
      </c>
      <c r="B1682" s="34">
        <v>40410</v>
      </c>
      <c r="C1682">
        <v>1.28152</v>
      </c>
      <c r="D1682">
        <v>0</v>
      </c>
      <c r="F1682">
        <v>0.41192999999999802</v>
      </c>
      <c r="G1682">
        <v>27.195121951219502</v>
      </c>
      <c r="H1682">
        <v>1</v>
      </c>
      <c r="I1682">
        <v>0.52841870000000002</v>
      </c>
      <c r="J1682">
        <v>2010</v>
      </c>
      <c r="K1682">
        <v>8</v>
      </c>
      <c r="L1682">
        <v>20</v>
      </c>
      <c r="M1682" t="s">
        <v>91</v>
      </c>
      <c r="N1682">
        <v>0</v>
      </c>
      <c r="O1682">
        <v>0</v>
      </c>
    </row>
    <row r="1683" spans="1:15" x14ac:dyDescent="0.3">
      <c r="A1683">
        <v>1778</v>
      </c>
      <c r="B1683" s="34">
        <v>40413</v>
      </c>
      <c r="C1683">
        <v>1.27105</v>
      </c>
      <c r="D1683">
        <v>0</v>
      </c>
      <c r="F1683">
        <v>0.41192999999999802</v>
      </c>
      <c r="G1683">
        <v>27.195121951219502</v>
      </c>
      <c r="H1683">
        <v>0</v>
      </c>
      <c r="I1683">
        <v>0.52812150000000002</v>
      </c>
      <c r="J1683">
        <v>2010</v>
      </c>
      <c r="K1683">
        <v>8</v>
      </c>
      <c r="L1683">
        <v>23</v>
      </c>
      <c r="M1683" t="s">
        <v>92</v>
      </c>
      <c r="N1683">
        <v>0</v>
      </c>
      <c r="O1683">
        <v>0</v>
      </c>
    </row>
    <row r="1684" spans="1:15" x14ac:dyDescent="0.3">
      <c r="A1684">
        <v>1779</v>
      </c>
      <c r="B1684" s="34">
        <v>40414</v>
      </c>
      <c r="C1684">
        <v>1.26461</v>
      </c>
      <c r="D1684">
        <v>0</v>
      </c>
      <c r="F1684">
        <v>0.41192999999999802</v>
      </c>
      <c r="G1684">
        <v>27.195121951219502</v>
      </c>
      <c r="H1684">
        <v>0</v>
      </c>
      <c r="I1684">
        <v>0.52782459999999998</v>
      </c>
      <c r="J1684">
        <v>2010</v>
      </c>
      <c r="K1684">
        <v>8</v>
      </c>
      <c r="L1684">
        <v>24</v>
      </c>
      <c r="M1684" t="s">
        <v>93</v>
      </c>
      <c r="N1684">
        <v>0</v>
      </c>
      <c r="O1684">
        <v>0</v>
      </c>
    </row>
    <row r="1685" spans="1:15" x14ac:dyDescent="0.3">
      <c r="A1685">
        <v>1780</v>
      </c>
      <c r="B1685" s="34">
        <v>40415</v>
      </c>
      <c r="C1685">
        <v>1.2630699999999999</v>
      </c>
      <c r="D1685">
        <v>0</v>
      </c>
      <c r="F1685">
        <v>0.41192999999999802</v>
      </c>
      <c r="G1685">
        <v>27.195121951219502</v>
      </c>
      <c r="H1685">
        <v>0</v>
      </c>
      <c r="I1685">
        <v>0.52752810000000006</v>
      </c>
      <c r="J1685">
        <v>2010</v>
      </c>
      <c r="K1685">
        <v>8</v>
      </c>
      <c r="L1685">
        <v>25</v>
      </c>
      <c r="M1685" t="s">
        <v>89</v>
      </c>
      <c r="N1685">
        <v>0</v>
      </c>
      <c r="O1685">
        <v>0</v>
      </c>
    </row>
    <row r="1686" spans="1:15" x14ac:dyDescent="0.3">
      <c r="A1686">
        <v>1781</v>
      </c>
      <c r="B1686" s="34">
        <v>40416</v>
      </c>
      <c r="C1686">
        <v>1.2663</v>
      </c>
      <c r="D1686">
        <v>0</v>
      </c>
      <c r="F1686">
        <v>0.41192999999999802</v>
      </c>
      <c r="G1686">
        <v>27.195121951219502</v>
      </c>
      <c r="H1686">
        <v>0</v>
      </c>
      <c r="I1686">
        <v>0.52723189999999998</v>
      </c>
      <c r="J1686">
        <v>2010</v>
      </c>
      <c r="K1686">
        <v>8</v>
      </c>
      <c r="L1686">
        <v>26</v>
      </c>
      <c r="M1686" t="s">
        <v>90</v>
      </c>
      <c r="N1686">
        <v>0</v>
      </c>
      <c r="O1686">
        <v>0</v>
      </c>
    </row>
    <row r="1687" spans="1:15" x14ac:dyDescent="0.3">
      <c r="A1687">
        <v>1782</v>
      </c>
      <c r="B1687" s="34">
        <v>40417</v>
      </c>
      <c r="C1687">
        <v>1.2716099999999999</v>
      </c>
      <c r="D1687">
        <v>-3</v>
      </c>
      <c r="F1687">
        <v>0.40736999999999801</v>
      </c>
      <c r="G1687">
        <v>28.001060445387001</v>
      </c>
      <c r="H1687">
        <v>0</v>
      </c>
      <c r="I1687">
        <v>0.52693610000000002</v>
      </c>
      <c r="J1687">
        <v>2010</v>
      </c>
      <c r="K1687">
        <v>8</v>
      </c>
      <c r="L1687">
        <v>27</v>
      </c>
      <c r="M1687" t="s">
        <v>91</v>
      </c>
      <c r="N1687">
        <v>0</v>
      </c>
      <c r="O1687">
        <v>0</v>
      </c>
    </row>
    <row r="1688" spans="1:15" x14ac:dyDescent="0.3">
      <c r="A1688">
        <v>1783</v>
      </c>
      <c r="B1688" s="34">
        <v>40420</v>
      </c>
      <c r="C1688">
        <v>1.27617</v>
      </c>
      <c r="D1688">
        <v>0</v>
      </c>
      <c r="F1688">
        <v>0.40736999999999801</v>
      </c>
      <c r="G1688">
        <v>28.001060445387001</v>
      </c>
      <c r="H1688">
        <v>0</v>
      </c>
      <c r="I1688">
        <v>0.52664049999999996</v>
      </c>
      <c r="J1688">
        <v>2010</v>
      </c>
      <c r="K1688">
        <v>8</v>
      </c>
      <c r="L1688">
        <v>30</v>
      </c>
      <c r="M1688" t="s">
        <v>92</v>
      </c>
      <c r="N1688">
        <v>0</v>
      </c>
      <c r="O1688">
        <v>0</v>
      </c>
    </row>
    <row r="1689" spans="1:15" x14ac:dyDescent="0.3">
      <c r="A1689">
        <v>1784</v>
      </c>
      <c r="B1689" s="34">
        <v>40421</v>
      </c>
      <c r="C1689">
        <v>1.26631</v>
      </c>
      <c r="D1689">
        <v>0</v>
      </c>
      <c r="F1689">
        <v>0.40736999999999801</v>
      </c>
      <c r="G1689">
        <v>28.001060445387001</v>
      </c>
      <c r="H1689">
        <v>1</v>
      </c>
      <c r="I1689">
        <v>0.52690579999999998</v>
      </c>
      <c r="J1689">
        <v>2010</v>
      </c>
      <c r="K1689">
        <v>8</v>
      </c>
      <c r="L1689">
        <v>31</v>
      </c>
      <c r="M1689" t="s">
        <v>93</v>
      </c>
      <c r="N1689">
        <v>0</v>
      </c>
      <c r="O1689">
        <v>0</v>
      </c>
    </row>
    <row r="1690" spans="1:15" x14ac:dyDescent="0.3">
      <c r="A1690">
        <v>1785</v>
      </c>
      <c r="B1690" s="34">
        <v>40422</v>
      </c>
      <c r="C1690">
        <v>1.2688900000000001</v>
      </c>
      <c r="D1690">
        <v>0</v>
      </c>
      <c r="F1690">
        <v>0.40736999999999801</v>
      </c>
      <c r="G1690">
        <v>28.001060445387001</v>
      </c>
      <c r="H1690">
        <v>1</v>
      </c>
      <c r="I1690">
        <v>0.5271709</v>
      </c>
      <c r="J1690">
        <v>2010</v>
      </c>
      <c r="K1690">
        <v>9</v>
      </c>
      <c r="L1690">
        <v>1</v>
      </c>
      <c r="M1690" t="s">
        <v>89</v>
      </c>
      <c r="N1690">
        <v>0</v>
      </c>
      <c r="O1690">
        <v>0</v>
      </c>
    </row>
    <row r="1691" spans="1:15" x14ac:dyDescent="0.3">
      <c r="A1691">
        <v>1786</v>
      </c>
      <c r="B1691" s="34">
        <v>40423</v>
      </c>
      <c r="C1691">
        <v>1.28026</v>
      </c>
      <c r="D1691">
        <v>0</v>
      </c>
      <c r="F1691">
        <v>0.40736999999999801</v>
      </c>
      <c r="G1691">
        <v>28.001060445387001</v>
      </c>
      <c r="H1691">
        <v>1</v>
      </c>
      <c r="I1691">
        <v>0.5274356</v>
      </c>
      <c r="J1691">
        <v>2010</v>
      </c>
      <c r="K1691">
        <v>9</v>
      </c>
      <c r="L1691">
        <v>2</v>
      </c>
      <c r="M1691" t="s">
        <v>90</v>
      </c>
      <c r="N1691">
        <v>0</v>
      </c>
      <c r="O1691">
        <v>0</v>
      </c>
    </row>
    <row r="1692" spans="1:15" x14ac:dyDescent="0.3">
      <c r="A1692">
        <v>1787</v>
      </c>
      <c r="B1692" s="34">
        <v>40424</v>
      </c>
      <c r="C1692">
        <v>1.28251</v>
      </c>
      <c r="D1692">
        <v>0</v>
      </c>
      <c r="F1692">
        <v>0.40736999999999801</v>
      </c>
      <c r="G1692">
        <v>28.001060445387001</v>
      </c>
      <c r="H1692">
        <v>0</v>
      </c>
      <c r="I1692">
        <v>0.52714039999999995</v>
      </c>
      <c r="J1692">
        <v>2010</v>
      </c>
      <c r="K1692">
        <v>9</v>
      </c>
      <c r="L1692">
        <v>3</v>
      </c>
      <c r="M1692" t="s">
        <v>91</v>
      </c>
      <c r="N1692">
        <v>0</v>
      </c>
      <c r="O1692">
        <v>0</v>
      </c>
    </row>
    <row r="1693" spans="1:15" x14ac:dyDescent="0.3">
      <c r="A1693">
        <v>1788</v>
      </c>
      <c r="B1693" s="34">
        <v>40427</v>
      </c>
      <c r="C1693">
        <v>1.2895099999999999</v>
      </c>
      <c r="D1693">
        <v>0</v>
      </c>
      <c r="F1693">
        <v>0.40736999999999801</v>
      </c>
      <c r="G1693">
        <v>28.001060445387001</v>
      </c>
      <c r="H1693">
        <v>0</v>
      </c>
      <c r="I1693">
        <v>0.52684560000000002</v>
      </c>
      <c r="J1693">
        <v>2010</v>
      </c>
      <c r="K1693">
        <v>9</v>
      </c>
      <c r="L1693">
        <v>6</v>
      </c>
      <c r="M1693" t="s">
        <v>92</v>
      </c>
      <c r="N1693">
        <v>0</v>
      </c>
      <c r="O1693">
        <v>0</v>
      </c>
    </row>
    <row r="1694" spans="1:15" x14ac:dyDescent="0.3">
      <c r="A1694">
        <v>1789</v>
      </c>
      <c r="B1694" s="34">
        <v>40428</v>
      </c>
      <c r="C1694">
        <v>1.2875000000000001</v>
      </c>
      <c r="D1694">
        <v>0</v>
      </c>
      <c r="F1694">
        <v>0.40736999999999801</v>
      </c>
      <c r="G1694">
        <v>28.001060445387001</v>
      </c>
      <c r="H1694">
        <v>1</v>
      </c>
      <c r="I1694">
        <v>0.52711010000000003</v>
      </c>
      <c r="J1694">
        <v>2010</v>
      </c>
      <c r="K1694">
        <v>9</v>
      </c>
      <c r="L1694">
        <v>7</v>
      </c>
      <c r="M1694" t="s">
        <v>93</v>
      </c>
      <c r="N1694">
        <v>0</v>
      </c>
      <c r="O1694">
        <v>0</v>
      </c>
    </row>
    <row r="1695" spans="1:15" x14ac:dyDescent="0.3">
      <c r="A1695">
        <v>1790</v>
      </c>
      <c r="B1695" s="34">
        <v>40429</v>
      </c>
      <c r="C1695">
        <v>1.2682100000000001</v>
      </c>
      <c r="D1695">
        <v>3</v>
      </c>
      <c r="E1695" t="s">
        <v>394</v>
      </c>
      <c r="F1695">
        <v>0.41149999999999798</v>
      </c>
      <c r="G1695">
        <v>27.271120537292301</v>
      </c>
      <c r="H1695">
        <v>1</v>
      </c>
      <c r="I1695">
        <v>0.52737429999999996</v>
      </c>
      <c r="J1695">
        <v>2010</v>
      </c>
      <c r="K1695">
        <v>9</v>
      </c>
      <c r="L1695">
        <v>8</v>
      </c>
      <c r="M1695" t="s">
        <v>89</v>
      </c>
      <c r="N1695">
        <v>0</v>
      </c>
      <c r="O1695">
        <v>0</v>
      </c>
    </row>
    <row r="1696" spans="1:15" x14ac:dyDescent="0.3">
      <c r="A1696">
        <v>1791</v>
      </c>
      <c r="B1696" s="34">
        <v>40430</v>
      </c>
      <c r="C1696">
        <v>1.27234</v>
      </c>
      <c r="D1696">
        <v>0</v>
      </c>
      <c r="F1696">
        <v>0.41149999999999798</v>
      </c>
      <c r="G1696">
        <v>27.271120537292301</v>
      </c>
      <c r="H1696">
        <v>1</v>
      </c>
      <c r="I1696">
        <v>0.52763819999999995</v>
      </c>
      <c r="J1696">
        <v>2010</v>
      </c>
      <c r="K1696">
        <v>9</v>
      </c>
      <c r="L1696">
        <v>9</v>
      </c>
      <c r="M1696" t="s">
        <v>90</v>
      </c>
      <c r="N1696">
        <v>0</v>
      </c>
      <c r="O1696">
        <v>0</v>
      </c>
    </row>
    <row r="1697" spans="1:15" x14ac:dyDescent="0.3">
      <c r="A1697">
        <v>1792</v>
      </c>
      <c r="B1697" s="34">
        <v>40431</v>
      </c>
      <c r="C1697">
        <v>1.2697000000000001</v>
      </c>
      <c r="D1697">
        <v>0</v>
      </c>
      <c r="F1697">
        <v>0.41149999999999798</v>
      </c>
      <c r="G1697">
        <v>27.271120537292301</v>
      </c>
      <c r="H1697">
        <v>0</v>
      </c>
      <c r="I1697">
        <v>0.52734380000000003</v>
      </c>
      <c r="J1697">
        <v>2010</v>
      </c>
      <c r="K1697">
        <v>9</v>
      </c>
      <c r="L1697">
        <v>10</v>
      </c>
      <c r="M1697" t="s">
        <v>91</v>
      </c>
      <c r="N1697">
        <v>0</v>
      </c>
      <c r="O1697">
        <v>0</v>
      </c>
    </row>
    <row r="1698" spans="1:15" x14ac:dyDescent="0.3">
      <c r="A1698">
        <v>1793</v>
      </c>
      <c r="B1698" s="34">
        <v>40434</v>
      </c>
      <c r="C1698">
        <v>1.2678400000000001</v>
      </c>
      <c r="D1698">
        <v>0</v>
      </c>
      <c r="F1698">
        <v>0.41149999999999798</v>
      </c>
      <c r="G1698">
        <v>27.271120537292301</v>
      </c>
      <c r="H1698">
        <v>0</v>
      </c>
      <c r="I1698">
        <v>0.52704969999999995</v>
      </c>
      <c r="J1698">
        <v>2010</v>
      </c>
      <c r="K1698">
        <v>9</v>
      </c>
      <c r="L1698">
        <v>13</v>
      </c>
      <c r="M1698" t="s">
        <v>92</v>
      </c>
      <c r="N1698">
        <v>0</v>
      </c>
      <c r="O1698">
        <v>0</v>
      </c>
    </row>
    <row r="1699" spans="1:15" x14ac:dyDescent="0.3">
      <c r="A1699">
        <v>1794</v>
      </c>
      <c r="B1699" s="34">
        <v>40435</v>
      </c>
      <c r="C1699">
        <v>1.2877099999999999</v>
      </c>
      <c r="D1699">
        <v>0</v>
      </c>
      <c r="F1699">
        <v>0.41149999999999798</v>
      </c>
      <c r="G1699">
        <v>27.271120537292301</v>
      </c>
      <c r="H1699">
        <v>1</v>
      </c>
      <c r="I1699">
        <v>0.52731329999999998</v>
      </c>
      <c r="J1699">
        <v>2010</v>
      </c>
      <c r="K1699">
        <v>9</v>
      </c>
      <c r="L1699">
        <v>14</v>
      </c>
      <c r="M1699" t="s">
        <v>93</v>
      </c>
      <c r="N1699">
        <v>0</v>
      </c>
      <c r="O1699">
        <v>0</v>
      </c>
    </row>
    <row r="1700" spans="1:15" x14ac:dyDescent="0.3">
      <c r="A1700">
        <v>1795</v>
      </c>
      <c r="B1700" s="34">
        <v>40436</v>
      </c>
      <c r="C1700">
        <v>1.2986599999999999</v>
      </c>
      <c r="D1700">
        <v>0</v>
      </c>
      <c r="F1700">
        <v>0.41149999999999798</v>
      </c>
      <c r="G1700">
        <v>27.271120537292301</v>
      </c>
      <c r="H1700">
        <v>0</v>
      </c>
      <c r="I1700">
        <v>0.52701949999999997</v>
      </c>
      <c r="J1700">
        <v>2010</v>
      </c>
      <c r="K1700">
        <v>9</v>
      </c>
      <c r="L1700">
        <v>15</v>
      </c>
      <c r="M1700" t="s">
        <v>89</v>
      </c>
      <c r="N1700">
        <v>0</v>
      </c>
      <c r="O1700">
        <v>0</v>
      </c>
    </row>
    <row r="1701" spans="1:15" x14ac:dyDescent="0.3">
      <c r="A1701">
        <v>1796</v>
      </c>
      <c r="B1701" s="34">
        <v>40437</v>
      </c>
      <c r="C1701">
        <v>1.30118</v>
      </c>
      <c r="D1701">
        <v>0</v>
      </c>
      <c r="F1701">
        <v>0.41149999999999798</v>
      </c>
      <c r="G1701">
        <v>27.271120537292301</v>
      </c>
      <c r="H1701">
        <v>0</v>
      </c>
      <c r="I1701">
        <v>0.52672609999999997</v>
      </c>
      <c r="J1701">
        <v>2010</v>
      </c>
      <c r="K1701">
        <v>9</v>
      </c>
      <c r="L1701">
        <v>16</v>
      </c>
      <c r="M1701" t="s">
        <v>90</v>
      </c>
      <c r="N1701">
        <v>0</v>
      </c>
      <c r="O1701">
        <v>0</v>
      </c>
    </row>
    <row r="1702" spans="1:15" x14ac:dyDescent="0.3">
      <c r="A1702">
        <v>1797</v>
      </c>
      <c r="B1702" s="34">
        <v>40438</v>
      </c>
      <c r="C1702">
        <v>1.30731</v>
      </c>
      <c r="D1702">
        <v>0</v>
      </c>
      <c r="F1702">
        <v>0.41149999999999798</v>
      </c>
      <c r="G1702">
        <v>27.271120537292301</v>
      </c>
      <c r="H1702">
        <v>0</v>
      </c>
      <c r="I1702">
        <v>0.52643289999999998</v>
      </c>
      <c r="J1702">
        <v>2010</v>
      </c>
      <c r="K1702">
        <v>9</v>
      </c>
      <c r="L1702">
        <v>17</v>
      </c>
      <c r="M1702" t="s">
        <v>91</v>
      </c>
      <c r="N1702">
        <v>0</v>
      </c>
      <c r="O1702">
        <v>0</v>
      </c>
    </row>
    <row r="1703" spans="1:15" x14ac:dyDescent="0.3">
      <c r="A1703">
        <v>1798</v>
      </c>
      <c r="B1703" s="34">
        <v>40441</v>
      </c>
      <c r="C1703">
        <v>1.30487</v>
      </c>
      <c r="D1703">
        <v>0</v>
      </c>
      <c r="F1703">
        <v>0.41149999999999798</v>
      </c>
      <c r="G1703">
        <v>27.271120537292301</v>
      </c>
      <c r="H1703">
        <v>1</v>
      </c>
      <c r="I1703">
        <v>0.52669630000000001</v>
      </c>
      <c r="J1703">
        <v>2010</v>
      </c>
      <c r="K1703">
        <v>9</v>
      </c>
      <c r="L1703">
        <v>20</v>
      </c>
      <c r="M1703" t="s">
        <v>92</v>
      </c>
      <c r="N1703">
        <v>0</v>
      </c>
      <c r="O1703">
        <v>0</v>
      </c>
    </row>
    <row r="1704" spans="1:15" x14ac:dyDescent="0.3">
      <c r="A1704">
        <v>1799</v>
      </c>
      <c r="B1704" s="34">
        <v>40442</v>
      </c>
      <c r="C1704">
        <v>1.3062100000000001</v>
      </c>
      <c r="D1704">
        <v>0</v>
      </c>
      <c r="F1704">
        <v>0.41149999999999798</v>
      </c>
      <c r="G1704">
        <v>27.271120537292301</v>
      </c>
      <c r="H1704">
        <v>0</v>
      </c>
      <c r="I1704">
        <v>0.52640350000000002</v>
      </c>
      <c r="J1704">
        <v>2010</v>
      </c>
      <c r="K1704">
        <v>9</v>
      </c>
      <c r="L1704">
        <v>21</v>
      </c>
      <c r="M1704" t="s">
        <v>93</v>
      </c>
      <c r="N1704">
        <v>0</v>
      </c>
      <c r="O1704">
        <v>0</v>
      </c>
    </row>
    <row r="1705" spans="1:15" x14ac:dyDescent="0.3">
      <c r="A1705">
        <v>1800</v>
      </c>
      <c r="B1705" s="34">
        <v>40443</v>
      </c>
      <c r="C1705">
        <v>1.32498</v>
      </c>
      <c r="D1705">
        <v>0</v>
      </c>
      <c r="F1705">
        <v>0.41149999999999798</v>
      </c>
      <c r="G1705">
        <v>27.271120537292301</v>
      </c>
      <c r="H1705">
        <v>0</v>
      </c>
      <c r="I1705">
        <v>0.52611110000000005</v>
      </c>
      <c r="J1705">
        <v>2010</v>
      </c>
      <c r="K1705">
        <v>9</v>
      </c>
      <c r="L1705">
        <v>22</v>
      </c>
      <c r="M1705" t="s">
        <v>89</v>
      </c>
      <c r="N1705">
        <v>0</v>
      </c>
      <c r="O1705">
        <v>0</v>
      </c>
    </row>
    <row r="1706" spans="1:15" x14ac:dyDescent="0.3">
      <c r="A1706">
        <v>1801</v>
      </c>
      <c r="B1706" s="34">
        <v>40444</v>
      </c>
      <c r="C1706">
        <v>1.3399099999999999</v>
      </c>
      <c r="D1706">
        <v>0</v>
      </c>
      <c r="F1706">
        <v>0.41149999999999798</v>
      </c>
      <c r="G1706">
        <v>27.271120537292301</v>
      </c>
      <c r="H1706">
        <v>0</v>
      </c>
      <c r="I1706">
        <v>0.52581900000000004</v>
      </c>
      <c r="J1706">
        <v>2010</v>
      </c>
      <c r="K1706">
        <v>9</v>
      </c>
      <c r="L1706">
        <v>23</v>
      </c>
      <c r="M1706" t="s">
        <v>90</v>
      </c>
      <c r="N1706">
        <v>0</v>
      </c>
      <c r="O1706">
        <v>0</v>
      </c>
    </row>
    <row r="1707" spans="1:15" x14ac:dyDescent="0.3">
      <c r="A1707">
        <v>1802</v>
      </c>
      <c r="B1707" s="34">
        <v>40445</v>
      </c>
      <c r="C1707">
        <v>1.3313299999999999</v>
      </c>
      <c r="D1707">
        <v>0</v>
      </c>
      <c r="F1707">
        <v>0.41149999999999798</v>
      </c>
      <c r="G1707">
        <v>27.271120537292301</v>
      </c>
      <c r="H1707">
        <v>1</v>
      </c>
      <c r="I1707">
        <v>0.52608220000000006</v>
      </c>
      <c r="J1707">
        <v>2010</v>
      </c>
      <c r="K1707">
        <v>9</v>
      </c>
      <c r="L1707">
        <v>24</v>
      </c>
      <c r="M1707" t="s">
        <v>91</v>
      </c>
      <c r="N1707">
        <v>0</v>
      </c>
      <c r="O1707">
        <v>0</v>
      </c>
    </row>
    <row r="1708" spans="1:15" x14ac:dyDescent="0.3">
      <c r="A1708">
        <v>1803</v>
      </c>
      <c r="B1708" s="34">
        <v>40448</v>
      </c>
      <c r="C1708">
        <v>1.3491899999999999</v>
      </c>
      <c r="D1708">
        <v>0</v>
      </c>
      <c r="F1708">
        <v>0.41149999999999798</v>
      </c>
      <c r="G1708">
        <v>27.271120537292301</v>
      </c>
      <c r="H1708">
        <v>0</v>
      </c>
      <c r="I1708">
        <v>0.52579030000000004</v>
      </c>
      <c r="J1708">
        <v>2010</v>
      </c>
      <c r="K1708">
        <v>9</v>
      </c>
      <c r="L1708">
        <v>27</v>
      </c>
      <c r="M1708" t="s">
        <v>92</v>
      </c>
      <c r="N1708">
        <v>0</v>
      </c>
      <c r="O1708">
        <v>0</v>
      </c>
    </row>
    <row r="1709" spans="1:15" x14ac:dyDescent="0.3">
      <c r="A1709">
        <v>1804</v>
      </c>
      <c r="B1709" s="34">
        <v>40449</v>
      </c>
      <c r="C1709">
        <v>1.3440799999999999</v>
      </c>
      <c r="D1709">
        <v>0</v>
      </c>
      <c r="F1709">
        <v>0.41149999999999798</v>
      </c>
      <c r="G1709">
        <v>27.271120537292301</v>
      </c>
      <c r="H1709">
        <v>1</v>
      </c>
      <c r="I1709">
        <v>0.5260532</v>
      </c>
      <c r="J1709">
        <v>2010</v>
      </c>
      <c r="K1709">
        <v>9</v>
      </c>
      <c r="L1709">
        <v>28</v>
      </c>
      <c r="M1709" t="s">
        <v>93</v>
      </c>
      <c r="N1709">
        <v>0</v>
      </c>
      <c r="O1709">
        <v>0</v>
      </c>
    </row>
    <row r="1710" spans="1:15" x14ac:dyDescent="0.3">
      <c r="A1710">
        <v>1805</v>
      </c>
      <c r="B1710" s="34">
        <v>40450</v>
      </c>
      <c r="C1710">
        <v>1.35843</v>
      </c>
      <c r="D1710">
        <v>0</v>
      </c>
      <c r="F1710">
        <v>0.41149999999999798</v>
      </c>
      <c r="G1710">
        <v>27.271120537292301</v>
      </c>
      <c r="H1710">
        <v>0</v>
      </c>
      <c r="I1710">
        <v>0.52576179999999995</v>
      </c>
      <c r="J1710">
        <v>2010</v>
      </c>
      <c r="K1710">
        <v>9</v>
      </c>
      <c r="L1710">
        <v>29</v>
      </c>
      <c r="M1710" t="s">
        <v>89</v>
      </c>
      <c r="N1710">
        <v>0</v>
      </c>
      <c r="O1710">
        <v>0</v>
      </c>
    </row>
    <row r="1711" spans="1:15" x14ac:dyDescent="0.3">
      <c r="A1711">
        <v>1806</v>
      </c>
      <c r="B1711" s="34">
        <v>40451</v>
      </c>
      <c r="C1711">
        <v>1.36212</v>
      </c>
      <c r="D1711">
        <v>0</v>
      </c>
      <c r="F1711">
        <v>0.41149999999999798</v>
      </c>
      <c r="G1711">
        <v>27.271120537292301</v>
      </c>
      <c r="H1711">
        <v>0</v>
      </c>
      <c r="I1711">
        <v>0.52547069999999996</v>
      </c>
      <c r="J1711">
        <v>2010</v>
      </c>
      <c r="K1711">
        <v>9</v>
      </c>
      <c r="L1711">
        <v>30</v>
      </c>
      <c r="M1711" t="s">
        <v>90</v>
      </c>
      <c r="N1711">
        <v>0</v>
      </c>
      <c r="O1711">
        <v>0</v>
      </c>
    </row>
    <row r="1712" spans="1:15" x14ac:dyDescent="0.3">
      <c r="A1712">
        <v>1807</v>
      </c>
      <c r="B1712" s="34">
        <v>40452</v>
      </c>
      <c r="C1712">
        <v>1.36283</v>
      </c>
      <c r="D1712">
        <v>0</v>
      </c>
      <c r="F1712">
        <v>0.41149999999999798</v>
      </c>
      <c r="G1712">
        <v>27.271120537292301</v>
      </c>
      <c r="H1712">
        <v>0</v>
      </c>
      <c r="I1712">
        <v>0.52517990000000003</v>
      </c>
      <c r="J1712">
        <v>2010</v>
      </c>
      <c r="K1712">
        <v>10</v>
      </c>
      <c r="L1712">
        <v>1</v>
      </c>
      <c r="M1712" t="s">
        <v>91</v>
      </c>
      <c r="N1712">
        <v>0</v>
      </c>
      <c r="O1712">
        <v>0</v>
      </c>
    </row>
    <row r="1713" spans="1:15" x14ac:dyDescent="0.3">
      <c r="A1713">
        <v>1808</v>
      </c>
      <c r="B1713" s="34">
        <v>40455</v>
      </c>
      <c r="C1713">
        <v>1.379</v>
      </c>
      <c r="D1713">
        <v>0</v>
      </c>
      <c r="F1713">
        <v>0.41149999999999798</v>
      </c>
      <c r="G1713">
        <v>27.271120537292301</v>
      </c>
      <c r="H1713">
        <v>0</v>
      </c>
      <c r="I1713">
        <v>0.52488939999999995</v>
      </c>
      <c r="J1713">
        <v>2010</v>
      </c>
      <c r="K1713">
        <v>10</v>
      </c>
      <c r="L1713">
        <v>4</v>
      </c>
      <c r="M1713" t="s">
        <v>92</v>
      </c>
      <c r="N1713">
        <v>0</v>
      </c>
      <c r="O1713">
        <v>0</v>
      </c>
    </row>
    <row r="1714" spans="1:15" x14ac:dyDescent="0.3">
      <c r="A1714">
        <v>1809</v>
      </c>
      <c r="B1714" s="34">
        <v>40456</v>
      </c>
      <c r="C1714">
        <v>1.36741</v>
      </c>
      <c r="D1714">
        <v>0</v>
      </c>
      <c r="F1714">
        <v>0.41149999999999798</v>
      </c>
      <c r="G1714">
        <v>27.271120537292301</v>
      </c>
      <c r="H1714">
        <v>1</v>
      </c>
      <c r="I1714">
        <v>0.52515199999999995</v>
      </c>
      <c r="J1714">
        <v>2010</v>
      </c>
      <c r="K1714">
        <v>10</v>
      </c>
      <c r="L1714">
        <v>5</v>
      </c>
      <c r="M1714" t="s">
        <v>93</v>
      </c>
      <c r="N1714">
        <v>0</v>
      </c>
      <c r="O1714">
        <v>0</v>
      </c>
    </row>
    <row r="1715" spans="1:15" x14ac:dyDescent="0.3">
      <c r="A1715">
        <v>1810</v>
      </c>
      <c r="B1715" s="34">
        <v>40457</v>
      </c>
      <c r="C1715">
        <v>1.3833800000000001</v>
      </c>
      <c r="D1715">
        <v>0</v>
      </c>
      <c r="F1715">
        <v>0.41149999999999798</v>
      </c>
      <c r="G1715">
        <v>27.271120537292301</v>
      </c>
      <c r="H1715">
        <v>0</v>
      </c>
      <c r="I1715">
        <v>0.52486189999999999</v>
      </c>
      <c r="J1715">
        <v>2010</v>
      </c>
      <c r="K1715">
        <v>10</v>
      </c>
      <c r="L1715">
        <v>6</v>
      </c>
      <c r="M1715" t="s">
        <v>89</v>
      </c>
      <c r="N1715">
        <v>0</v>
      </c>
      <c r="O1715">
        <v>0</v>
      </c>
    </row>
    <row r="1716" spans="1:15" x14ac:dyDescent="0.3">
      <c r="A1716">
        <v>1811</v>
      </c>
      <c r="B1716" s="34">
        <v>40458</v>
      </c>
      <c r="C1716">
        <v>1.3925099999999999</v>
      </c>
      <c r="D1716">
        <v>0</v>
      </c>
      <c r="F1716">
        <v>0.41149999999999798</v>
      </c>
      <c r="G1716">
        <v>27.271120537292301</v>
      </c>
      <c r="H1716">
        <v>0</v>
      </c>
      <c r="I1716">
        <v>0.52457209999999999</v>
      </c>
      <c r="J1716">
        <v>2010</v>
      </c>
      <c r="K1716">
        <v>10</v>
      </c>
      <c r="L1716">
        <v>7</v>
      </c>
      <c r="M1716" t="s">
        <v>90</v>
      </c>
      <c r="N1716">
        <v>0</v>
      </c>
      <c r="O1716">
        <v>0</v>
      </c>
    </row>
    <row r="1717" spans="1:15" x14ac:dyDescent="0.3">
      <c r="A1717">
        <v>1812</v>
      </c>
      <c r="B1717" s="34">
        <v>40459</v>
      </c>
      <c r="C1717">
        <v>1.3913599999999999</v>
      </c>
      <c r="D1717">
        <v>0</v>
      </c>
      <c r="F1717">
        <v>0.41149999999999798</v>
      </c>
      <c r="G1717">
        <v>27.271120537292301</v>
      </c>
      <c r="H1717">
        <v>1</v>
      </c>
      <c r="I1717">
        <v>0.52483449999999998</v>
      </c>
      <c r="J1717">
        <v>2010</v>
      </c>
      <c r="K1717">
        <v>10</v>
      </c>
      <c r="L1717">
        <v>8</v>
      </c>
      <c r="M1717" t="s">
        <v>91</v>
      </c>
      <c r="N1717">
        <v>0</v>
      </c>
      <c r="O1717">
        <v>0</v>
      </c>
    </row>
    <row r="1718" spans="1:15" x14ac:dyDescent="0.3">
      <c r="A1718">
        <v>1813</v>
      </c>
      <c r="B1718" s="34">
        <v>40462</v>
      </c>
      <c r="C1718">
        <v>1.3928</v>
      </c>
      <c r="D1718">
        <v>0</v>
      </c>
      <c r="F1718">
        <v>0.41149999999999798</v>
      </c>
      <c r="G1718">
        <v>27.271120537292301</v>
      </c>
      <c r="H1718">
        <v>0</v>
      </c>
      <c r="I1718">
        <v>0.52454500000000004</v>
      </c>
      <c r="J1718">
        <v>2010</v>
      </c>
      <c r="K1718">
        <v>10</v>
      </c>
      <c r="L1718">
        <v>11</v>
      </c>
      <c r="M1718" t="s">
        <v>92</v>
      </c>
      <c r="N1718">
        <v>0</v>
      </c>
      <c r="O1718">
        <v>0</v>
      </c>
    </row>
    <row r="1719" spans="1:15" x14ac:dyDescent="0.3">
      <c r="A1719">
        <v>1814</v>
      </c>
      <c r="B1719" s="34">
        <v>40463</v>
      </c>
      <c r="C1719">
        <v>1.38812</v>
      </c>
      <c r="D1719">
        <v>6</v>
      </c>
      <c r="E1719" t="s">
        <v>395</v>
      </c>
      <c r="F1719">
        <v>0.41487999999999797</v>
      </c>
      <c r="G1719">
        <v>26.673736302580402</v>
      </c>
      <c r="H1719">
        <v>1</v>
      </c>
      <c r="I1719">
        <v>0.52480700000000002</v>
      </c>
      <c r="J1719">
        <v>2010</v>
      </c>
      <c r="K1719">
        <v>10</v>
      </c>
      <c r="L1719">
        <v>12</v>
      </c>
      <c r="M1719" t="s">
        <v>93</v>
      </c>
      <c r="N1719">
        <v>0</v>
      </c>
      <c r="O1719">
        <v>0</v>
      </c>
    </row>
    <row r="1720" spans="1:15" x14ac:dyDescent="0.3">
      <c r="A1720">
        <v>1815</v>
      </c>
      <c r="B1720" s="34">
        <v>40464</v>
      </c>
      <c r="C1720">
        <v>1.3915</v>
      </c>
      <c r="D1720">
        <v>0</v>
      </c>
      <c r="F1720">
        <v>0.41487999999999797</v>
      </c>
      <c r="G1720">
        <v>26.673736302580402</v>
      </c>
      <c r="H1720">
        <v>0</v>
      </c>
      <c r="I1720">
        <v>0.52451789999999998</v>
      </c>
      <c r="J1720">
        <v>2010</v>
      </c>
      <c r="K1720">
        <v>10</v>
      </c>
      <c r="L1720">
        <v>13</v>
      </c>
      <c r="M1720" t="s">
        <v>89</v>
      </c>
      <c r="N1720">
        <v>0</v>
      </c>
      <c r="O1720">
        <v>0</v>
      </c>
    </row>
    <row r="1721" spans="1:15" x14ac:dyDescent="0.3">
      <c r="A1721">
        <v>1816</v>
      </c>
      <c r="B1721" s="34">
        <v>40465</v>
      </c>
      <c r="C1721">
        <v>1.3959299999999999</v>
      </c>
      <c r="D1721">
        <v>-9</v>
      </c>
      <c r="F1721">
        <v>0.40281999999999801</v>
      </c>
      <c r="G1721">
        <v>28.805231530576201</v>
      </c>
      <c r="H1721">
        <v>0</v>
      </c>
      <c r="I1721">
        <v>0.52422899999999995</v>
      </c>
      <c r="J1721">
        <v>2010</v>
      </c>
      <c r="K1721">
        <v>10</v>
      </c>
      <c r="L1721">
        <v>14</v>
      </c>
      <c r="M1721" t="s">
        <v>90</v>
      </c>
      <c r="N1721">
        <v>0</v>
      </c>
      <c r="O1721">
        <v>0</v>
      </c>
    </row>
    <row r="1722" spans="1:15" x14ac:dyDescent="0.3">
      <c r="A1722">
        <v>1817</v>
      </c>
      <c r="B1722" s="34">
        <v>40466</v>
      </c>
      <c r="C1722">
        <v>1.4079900000000001</v>
      </c>
      <c r="D1722">
        <v>0</v>
      </c>
      <c r="F1722">
        <v>0.40281999999999801</v>
      </c>
      <c r="G1722">
        <v>28.805231530576201</v>
      </c>
      <c r="H1722">
        <v>0</v>
      </c>
      <c r="I1722">
        <v>0.52394059999999998</v>
      </c>
      <c r="J1722">
        <v>2010</v>
      </c>
      <c r="K1722">
        <v>10</v>
      </c>
      <c r="L1722">
        <v>15</v>
      </c>
      <c r="M1722" t="s">
        <v>91</v>
      </c>
      <c r="N1722">
        <v>0</v>
      </c>
      <c r="O1722">
        <v>0</v>
      </c>
    </row>
    <row r="1723" spans="1:15" x14ac:dyDescent="0.3">
      <c r="A1723">
        <v>1818</v>
      </c>
      <c r="B1723" s="34">
        <v>40469</v>
      </c>
      <c r="C1723">
        <v>1.3976200000000001</v>
      </c>
      <c r="D1723">
        <v>0</v>
      </c>
      <c r="F1723">
        <v>0.40281999999999801</v>
      </c>
      <c r="G1723">
        <v>28.805231530576201</v>
      </c>
      <c r="H1723">
        <v>1</v>
      </c>
      <c r="I1723">
        <v>0.52420239999999996</v>
      </c>
      <c r="J1723">
        <v>2010</v>
      </c>
      <c r="K1723">
        <v>10</v>
      </c>
      <c r="L1723">
        <v>18</v>
      </c>
      <c r="M1723" t="s">
        <v>92</v>
      </c>
      <c r="N1723">
        <v>0</v>
      </c>
      <c r="O1723">
        <v>0</v>
      </c>
    </row>
    <row r="1724" spans="1:15" x14ac:dyDescent="0.3">
      <c r="A1724">
        <v>1819</v>
      </c>
      <c r="B1724" s="34">
        <v>40470</v>
      </c>
      <c r="C1724">
        <v>1.39483</v>
      </c>
      <c r="D1724">
        <v>0</v>
      </c>
      <c r="F1724">
        <v>0.40281999999999801</v>
      </c>
      <c r="G1724">
        <v>28.805231530576201</v>
      </c>
      <c r="H1724">
        <v>1</v>
      </c>
      <c r="I1724">
        <v>0.52446400000000004</v>
      </c>
      <c r="J1724">
        <v>2010</v>
      </c>
      <c r="K1724">
        <v>10</v>
      </c>
      <c r="L1724">
        <v>19</v>
      </c>
      <c r="M1724" t="s">
        <v>93</v>
      </c>
      <c r="N1724">
        <v>0</v>
      </c>
      <c r="O1724">
        <v>0</v>
      </c>
    </row>
    <row r="1725" spans="1:15" x14ac:dyDescent="0.3">
      <c r="A1725">
        <v>1820</v>
      </c>
      <c r="B1725" s="34">
        <v>40471</v>
      </c>
      <c r="C1725">
        <v>1.3741099999999999</v>
      </c>
      <c r="D1725">
        <v>0</v>
      </c>
      <c r="F1725">
        <v>0.40281999999999801</v>
      </c>
      <c r="G1725">
        <v>28.805231530576201</v>
      </c>
      <c r="H1725">
        <v>0</v>
      </c>
      <c r="I1725">
        <v>0.52417579999999997</v>
      </c>
      <c r="J1725">
        <v>2010</v>
      </c>
      <c r="K1725">
        <v>10</v>
      </c>
      <c r="L1725">
        <v>20</v>
      </c>
      <c r="M1725" t="s">
        <v>89</v>
      </c>
      <c r="N1725">
        <v>0</v>
      </c>
      <c r="O1725">
        <v>0</v>
      </c>
    </row>
    <row r="1726" spans="1:15" x14ac:dyDescent="0.3">
      <c r="A1726">
        <v>1821</v>
      </c>
      <c r="B1726" s="34">
        <v>40472</v>
      </c>
      <c r="C1726">
        <v>1.3957900000000001</v>
      </c>
      <c r="D1726">
        <v>0</v>
      </c>
      <c r="F1726">
        <v>0.40281999999999801</v>
      </c>
      <c r="G1726">
        <v>28.805231530576201</v>
      </c>
      <c r="H1726">
        <v>1</v>
      </c>
      <c r="I1726">
        <v>0.52443709999999999</v>
      </c>
      <c r="J1726">
        <v>2010</v>
      </c>
      <c r="K1726">
        <v>10</v>
      </c>
      <c r="L1726">
        <v>21</v>
      </c>
      <c r="M1726" t="s">
        <v>90</v>
      </c>
      <c r="N1726">
        <v>0</v>
      </c>
      <c r="O1726">
        <v>0</v>
      </c>
    </row>
    <row r="1727" spans="1:15" x14ac:dyDescent="0.3">
      <c r="A1727">
        <v>1822</v>
      </c>
      <c r="B1727" s="34">
        <v>40473</v>
      </c>
      <c r="C1727">
        <v>1.3924799999999999</v>
      </c>
      <c r="D1727">
        <v>0</v>
      </c>
      <c r="F1727">
        <v>0.40281999999999801</v>
      </c>
      <c r="G1727">
        <v>28.805231530576201</v>
      </c>
      <c r="H1727">
        <v>0</v>
      </c>
      <c r="I1727">
        <v>0.52414930000000004</v>
      </c>
      <c r="J1727">
        <v>2010</v>
      </c>
      <c r="K1727">
        <v>10</v>
      </c>
      <c r="L1727">
        <v>22</v>
      </c>
      <c r="M1727" t="s">
        <v>91</v>
      </c>
      <c r="N1727">
        <v>0</v>
      </c>
      <c r="O1727">
        <v>0</v>
      </c>
    </row>
    <row r="1728" spans="1:15" x14ac:dyDescent="0.3">
      <c r="A1728">
        <v>1823</v>
      </c>
      <c r="B1728" s="34">
        <v>40476</v>
      </c>
      <c r="C1728">
        <v>1.3952800000000001</v>
      </c>
      <c r="D1728">
        <v>0</v>
      </c>
      <c r="F1728">
        <v>0.40281999999999801</v>
      </c>
      <c r="G1728">
        <v>28.805231530576201</v>
      </c>
      <c r="H1728">
        <v>1</v>
      </c>
      <c r="I1728">
        <v>0.5244103</v>
      </c>
      <c r="J1728">
        <v>2010</v>
      </c>
      <c r="K1728">
        <v>10</v>
      </c>
      <c r="L1728">
        <v>25</v>
      </c>
      <c r="M1728" t="s">
        <v>92</v>
      </c>
      <c r="N1728">
        <v>0</v>
      </c>
      <c r="O1728">
        <v>0</v>
      </c>
    </row>
    <row r="1729" spans="1:15" x14ac:dyDescent="0.3">
      <c r="A1729">
        <v>1824</v>
      </c>
      <c r="B1729" s="34">
        <v>40477</v>
      </c>
      <c r="C1729">
        <v>1.3953500000000001</v>
      </c>
      <c r="D1729">
        <v>0</v>
      </c>
      <c r="F1729">
        <v>0.40281999999999801</v>
      </c>
      <c r="G1729">
        <v>28.805231530576201</v>
      </c>
      <c r="H1729">
        <v>0</v>
      </c>
      <c r="I1729">
        <v>0.5241228</v>
      </c>
      <c r="J1729">
        <v>2010</v>
      </c>
      <c r="K1729">
        <v>10</v>
      </c>
      <c r="L1729">
        <v>26</v>
      </c>
      <c r="M1729" t="s">
        <v>93</v>
      </c>
      <c r="N1729">
        <v>0</v>
      </c>
      <c r="O1729">
        <v>0</v>
      </c>
    </row>
    <row r="1730" spans="1:15" x14ac:dyDescent="0.3">
      <c r="A1730">
        <v>1825</v>
      </c>
      <c r="B1730" s="34">
        <v>40478</v>
      </c>
      <c r="C1730">
        <v>1.3862099999999999</v>
      </c>
      <c r="D1730">
        <v>0</v>
      </c>
      <c r="F1730">
        <v>0.40281999999999801</v>
      </c>
      <c r="G1730">
        <v>28.805231530576201</v>
      </c>
      <c r="H1730">
        <v>0</v>
      </c>
      <c r="I1730">
        <v>0.52383559999999996</v>
      </c>
      <c r="J1730">
        <v>2010</v>
      </c>
      <c r="K1730">
        <v>10</v>
      </c>
      <c r="L1730">
        <v>27</v>
      </c>
      <c r="M1730" t="s">
        <v>89</v>
      </c>
      <c r="N1730">
        <v>0</v>
      </c>
      <c r="O1730">
        <v>0</v>
      </c>
    </row>
    <row r="1731" spans="1:15" x14ac:dyDescent="0.3">
      <c r="A1731">
        <v>1826</v>
      </c>
      <c r="B1731" s="34">
        <v>40479</v>
      </c>
      <c r="C1731">
        <v>1.3773899999999999</v>
      </c>
      <c r="D1731">
        <v>0</v>
      </c>
      <c r="F1731">
        <v>0.40281999999999801</v>
      </c>
      <c r="G1731">
        <v>28.805231530576201</v>
      </c>
      <c r="H1731">
        <v>0</v>
      </c>
      <c r="I1731">
        <v>0.52354869999999998</v>
      </c>
      <c r="J1731">
        <v>2010</v>
      </c>
      <c r="K1731">
        <v>10</v>
      </c>
      <c r="L1731">
        <v>28</v>
      </c>
      <c r="M1731" t="s">
        <v>90</v>
      </c>
      <c r="N1731">
        <v>0</v>
      </c>
      <c r="O1731">
        <v>0</v>
      </c>
    </row>
    <row r="1732" spans="1:15" x14ac:dyDescent="0.3">
      <c r="A1732">
        <v>1827</v>
      </c>
      <c r="B1732" s="34">
        <v>40480</v>
      </c>
      <c r="C1732">
        <v>1.3928199999999999</v>
      </c>
      <c r="D1732">
        <v>0</v>
      </c>
      <c r="F1732">
        <v>0.40281999999999801</v>
      </c>
      <c r="G1732">
        <v>28.805231530576201</v>
      </c>
      <c r="H1732">
        <v>1</v>
      </c>
      <c r="I1732">
        <v>0.52380959999999999</v>
      </c>
      <c r="J1732">
        <v>2010</v>
      </c>
      <c r="K1732">
        <v>10</v>
      </c>
      <c r="L1732">
        <v>29</v>
      </c>
      <c r="M1732" t="s">
        <v>91</v>
      </c>
      <c r="N1732">
        <v>0</v>
      </c>
      <c r="O1732">
        <v>0</v>
      </c>
    </row>
    <row r="1733" spans="1:15" x14ac:dyDescent="0.3">
      <c r="A1733">
        <v>1828</v>
      </c>
      <c r="B1733" s="34">
        <v>40483</v>
      </c>
      <c r="C1733">
        <v>1.39459</v>
      </c>
      <c r="D1733">
        <v>0</v>
      </c>
      <c r="F1733">
        <v>0.40281999999999801</v>
      </c>
      <c r="G1733">
        <v>28.805231530576201</v>
      </c>
      <c r="H1733">
        <v>0</v>
      </c>
      <c r="I1733">
        <v>0.52352299999999996</v>
      </c>
      <c r="J1733">
        <v>2010</v>
      </c>
      <c r="K1733">
        <v>11</v>
      </c>
      <c r="L1733">
        <v>1</v>
      </c>
      <c r="M1733" t="s">
        <v>92</v>
      </c>
      <c r="N1733">
        <v>0</v>
      </c>
      <c r="O1733">
        <v>0</v>
      </c>
    </row>
    <row r="1734" spans="1:15" x14ac:dyDescent="0.3">
      <c r="A1734">
        <v>1829</v>
      </c>
      <c r="B1734" s="34">
        <v>40484</v>
      </c>
      <c r="C1734">
        <v>1.3897699999999999</v>
      </c>
      <c r="D1734">
        <v>0</v>
      </c>
      <c r="F1734">
        <v>0.40281999999999801</v>
      </c>
      <c r="G1734">
        <v>28.805231530576201</v>
      </c>
      <c r="H1734">
        <v>1</v>
      </c>
      <c r="I1734">
        <v>0.52378349999999996</v>
      </c>
      <c r="J1734">
        <v>2010</v>
      </c>
      <c r="K1734">
        <v>11</v>
      </c>
      <c r="L1734">
        <v>2</v>
      </c>
      <c r="M1734" t="s">
        <v>93</v>
      </c>
      <c r="N1734">
        <v>0</v>
      </c>
      <c r="O1734">
        <v>0</v>
      </c>
    </row>
    <row r="1735" spans="1:15" x14ac:dyDescent="0.3">
      <c r="A1735">
        <v>1830</v>
      </c>
      <c r="B1735" s="34">
        <v>40485</v>
      </c>
      <c r="C1735">
        <v>1.4031199999999999</v>
      </c>
      <c r="D1735">
        <v>0</v>
      </c>
      <c r="F1735">
        <v>0.40281999999999801</v>
      </c>
      <c r="G1735">
        <v>28.805231530576201</v>
      </c>
      <c r="H1735">
        <v>0</v>
      </c>
      <c r="I1735">
        <v>0.52349730000000005</v>
      </c>
      <c r="J1735">
        <v>2010</v>
      </c>
      <c r="K1735">
        <v>11</v>
      </c>
      <c r="L1735">
        <v>3</v>
      </c>
      <c r="M1735" t="s">
        <v>89</v>
      </c>
      <c r="N1735">
        <v>0</v>
      </c>
      <c r="O1735">
        <v>0</v>
      </c>
    </row>
    <row r="1736" spans="1:15" x14ac:dyDescent="0.3">
      <c r="A1736">
        <v>1831</v>
      </c>
      <c r="B1736" s="34">
        <v>40486</v>
      </c>
      <c r="C1736">
        <v>1.41248</v>
      </c>
      <c r="D1736">
        <v>0</v>
      </c>
      <c r="F1736">
        <v>0.40281999999999801</v>
      </c>
      <c r="G1736">
        <v>28.805231530576201</v>
      </c>
      <c r="H1736">
        <v>0</v>
      </c>
      <c r="I1736">
        <v>0.52321139999999999</v>
      </c>
      <c r="J1736">
        <v>2010</v>
      </c>
      <c r="K1736">
        <v>11</v>
      </c>
      <c r="L1736">
        <v>4</v>
      </c>
      <c r="M1736" t="s">
        <v>90</v>
      </c>
      <c r="N1736">
        <v>0</v>
      </c>
      <c r="O1736">
        <v>0</v>
      </c>
    </row>
    <row r="1737" spans="1:15" x14ac:dyDescent="0.3">
      <c r="A1737">
        <v>1832</v>
      </c>
      <c r="B1737" s="34">
        <v>40487</v>
      </c>
      <c r="C1737">
        <v>1.4212499999999999</v>
      </c>
      <c r="D1737">
        <v>0</v>
      </c>
      <c r="F1737">
        <v>0.40281999999999801</v>
      </c>
      <c r="G1737">
        <v>28.805231530576201</v>
      </c>
      <c r="H1737">
        <v>0</v>
      </c>
      <c r="I1737">
        <v>0.52292570000000005</v>
      </c>
      <c r="J1737">
        <v>2010</v>
      </c>
      <c r="K1737">
        <v>11</v>
      </c>
      <c r="L1737">
        <v>5</v>
      </c>
      <c r="M1737" t="s">
        <v>91</v>
      </c>
      <c r="N1737">
        <v>0</v>
      </c>
      <c r="O1737">
        <v>0</v>
      </c>
    </row>
    <row r="1738" spans="1:15" x14ac:dyDescent="0.3">
      <c r="A1738">
        <v>1833</v>
      </c>
      <c r="B1738" s="34">
        <v>40490</v>
      </c>
      <c r="C1738">
        <v>1.4031400000000001</v>
      </c>
      <c r="D1738">
        <v>0</v>
      </c>
      <c r="F1738">
        <v>0.40281999999999801</v>
      </c>
      <c r="G1738">
        <v>28.805231530576201</v>
      </c>
      <c r="H1738">
        <v>1</v>
      </c>
      <c r="I1738">
        <v>0.52318600000000004</v>
      </c>
      <c r="J1738">
        <v>2010</v>
      </c>
      <c r="K1738">
        <v>11</v>
      </c>
      <c r="L1738">
        <v>8</v>
      </c>
      <c r="M1738" t="s">
        <v>92</v>
      </c>
      <c r="N1738">
        <v>0</v>
      </c>
      <c r="O1738">
        <v>0</v>
      </c>
    </row>
    <row r="1739" spans="1:15" x14ac:dyDescent="0.3">
      <c r="A1739">
        <v>1834</v>
      </c>
      <c r="B1739" s="34">
        <v>40491</v>
      </c>
      <c r="C1739">
        <v>1.39123</v>
      </c>
      <c r="D1739">
        <v>0</v>
      </c>
      <c r="F1739">
        <v>0.40281999999999801</v>
      </c>
      <c r="G1739">
        <v>28.805231530576201</v>
      </c>
      <c r="H1739">
        <v>1</v>
      </c>
      <c r="I1739">
        <v>0.52344599999999997</v>
      </c>
      <c r="J1739">
        <v>2010</v>
      </c>
      <c r="K1739">
        <v>11</v>
      </c>
      <c r="L1739">
        <v>9</v>
      </c>
      <c r="M1739" t="s">
        <v>93</v>
      </c>
      <c r="N1739">
        <v>0</v>
      </c>
      <c r="O1739">
        <v>0</v>
      </c>
    </row>
    <row r="1740" spans="1:15" x14ac:dyDescent="0.3">
      <c r="A1740">
        <v>1835</v>
      </c>
      <c r="B1740" s="34">
        <v>40492</v>
      </c>
      <c r="C1740">
        <v>1.3763300000000001</v>
      </c>
      <c r="D1740">
        <v>0</v>
      </c>
      <c r="F1740">
        <v>0.40281999999999801</v>
      </c>
      <c r="G1740">
        <v>28.805231530576201</v>
      </c>
      <c r="H1740">
        <v>0</v>
      </c>
      <c r="I1740">
        <v>0.52316079999999998</v>
      </c>
      <c r="J1740">
        <v>2010</v>
      </c>
      <c r="K1740">
        <v>11</v>
      </c>
      <c r="L1740">
        <v>10</v>
      </c>
      <c r="M1740" t="s">
        <v>89</v>
      </c>
      <c r="N1740">
        <v>0</v>
      </c>
      <c r="O1740">
        <v>0</v>
      </c>
    </row>
    <row r="1741" spans="1:15" x14ac:dyDescent="0.3">
      <c r="A1741">
        <v>1836</v>
      </c>
      <c r="B1741" s="34">
        <v>40493</v>
      </c>
      <c r="C1741">
        <v>1.37791</v>
      </c>
      <c r="D1741">
        <v>0</v>
      </c>
      <c r="F1741">
        <v>0.40281999999999801</v>
      </c>
      <c r="G1741">
        <v>28.805231530576201</v>
      </c>
      <c r="H1741">
        <v>1</v>
      </c>
      <c r="I1741">
        <v>0.52342049999999996</v>
      </c>
      <c r="J1741">
        <v>2010</v>
      </c>
      <c r="K1741">
        <v>11</v>
      </c>
      <c r="L1741">
        <v>11</v>
      </c>
      <c r="M1741" t="s">
        <v>90</v>
      </c>
      <c r="N1741">
        <v>0</v>
      </c>
      <c r="O1741">
        <v>0</v>
      </c>
    </row>
    <row r="1742" spans="1:15" x14ac:dyDescent="0.3">
      <c r="A1742">
        <v>1837</v>
      </c>
      <c r="B1742" s="34">
        <v>40494</v>
      </c>
      <c r="C1742">
        <v>1.3661099999999999</v>
      </c>
      <c r="D1742">
        <v>0</v>
      </c>
      <c r="F1742">
        <v>0.40281999999999801</v>
      </c>
      <c r="G1742">
        <v>28.805231530576201</v>
      </c>
      <c r="H1742">
        <v>0</v>
      </c>
      <c r="I1742">
        <v>0.52313549999999998</v>
      </c>
      <c r="J1742">
        <v>2010</v>
      </c>
      <c r="K1742">
        <v>11</v>
      </c>
      <c r="L1742">
        <v>12</v>
      </c>
      <c r="M1742" t="s">
        <v>91</v>
      </c>
      <c r="N1742">
        <v>0</v>
      </c>
      <c r="O1742">
        <v>0</v>
      </c>
    </row>
    <row r="1743" spans="1:15" x14ac:dyDescent="0.3">
      <c r="A1743">
        <v>1838</v>
      </c>
      <c r="B1743" s="34">
        <v>40497</v>
      </c>
      <c r="C1743">
        <v>1.369</v>
      </c>
      <c r="D1743">
        <v>0</v>
      </c>
      <c r="F1743">
        <v>0.40281999999999801</v>
      </c>
      <c r="G1743">
        <v>28.805231530576201</v>
      </c>
      <c r="H1743">
        <v>1</v>
      </c>
      <c r="I1743">
        <v>0.52339500000000005</v>
      </c>
      <c r="J1743">
        <v>2010</v>
      </c>
      <c r="K1743">
        <v>11</v>
      </c>
      <c r="L1743">
        <v>15</v>
      </c>
      <c r="M1743" t="s">
        <v>92</v>
      </c>
      <c r="N1743">
        <v>0</v>
      </c>
      <c r="O1743">
        <v>0</v>
      </c>
    </row>
    <row r="1744" spans="1:15" x14ac:dyDescent="0.3">
      <c r="A1744">
        <v>1839</v>
      </c>
      <c r="B1744" s="34">
        <v>40498</v>
      </c>
      <c r="C1744">
        <v>1.35789</v>
      </c>
      <c r="D1744">
        <v>8</v>
      </c>
      <c r="E1744" t="s">
        <v>396</v>
      </c>
      <c r="F1744">
        <v>0.39313999999999799</v>
      </c>
      <c r="G1744">
        <v>30.516083421703801</v>
      </c>
      <c r="H1744">
        <v>0</v>
      </c>
      <c r="I1744">
        <v>0.52311039999999998</v>
      </c>
      <c r="J1744">
        <v>2010</v>
      </c>
      <c r="K1744">
        <v>11</v>
      </c>
      <c r="L1744">
        <v>16</v>
      </c>
      <c r="M1744" t="s">
        <v>93</v>
      </c>
      <c r="N1744">
        <v>0</v>
      </c>
      <c r="O1744">
        <v>0</v>
      </c>
    </row>
    <row r="1745" spans="1:15" x14ac:dyDescent="0.3">
      <c r="A1745">
        <v>1840</v>
      </c>
      <c r="B1745" s="34">
        <v>40499</v>
      </c>
      <c r="C1745">
        <v>1.3482099999999999</v>
      </c>
      <c r="D1745">
        <v>0</v>
      </c>
      <c r="F1745">
        <v>0.39313999999999799</v>
      </c>
      <c r="G1745">
        <v>30.516083421703801</v>
      </c>
      <c r="H1745">
        <v>0</v>
      </c>
      <c r="I1745">
        <v>0.52282609999999996</v>
      </c>
      <c r="J1745">
        <v>2010</v>
      </c>
      <c r="K1745">
        <v>11</v>
      </c>
      <c r="L1745">
        <v>17</v>
      </c>
      <c r="M1745" t="s">
        <v>89</v>
      </c>
      <c r="N1745">
        <v>0</v>
      </c>
      <c r="O1745">
        <v>0</v>
      </c>
    </row>
    <row r="1746" spans="1:15" x14ac:dyDescent="0.3">
      <c r="A1746">
        <v>1841</v>
      </c>
      <c r="B1746" s="34">
        <v>40500</v>
      </c>
      <c r="C1746">
        <v>1.35294</v>
      </c>
      <c r="D1746">
        <v>0</v>
      </c>
      <c r="F1746">
        <v>0.39313999999999799</v>
      </c>
      <c r="G1746">
        <v>30.516083421703801</v>
      </c>
      <c r="H1746">
        <v>1</v>
      </c>
      <c r="I1746">
        <v>0.52308529999999998</v>
      </c>
      <c r="J1746">
        <v>2010</v>
      </c>
      <c r="K1746">
        <v>11</v>
      </c>
      <c r="L1746">
        <v>18</v>
      </c>
      <c r="M1746" t="s">
        <v>90</v>
      </c>
      <c r="N1746">
        <v>0</v>
      </c>
      <c r="O1746">
        <v>0</v>
      </c>
    </row>
    <row r="1747" spans="1:15" x14ac:dyDescent="0.3">
      <c r="A1747">
        <v>1842</v>
      </c>
      <c r="B1747" s="34">
        <v>40501</v>
      </c>
      <c r="C1747">
        <v>1.3642700000000001</v>
      </c>
      <c r="D1747">
        <v>0</v>
      </c>
      <c r="F1747">
        <v>0.39313999999999799</v>
      </c>
      <c r="G1747">
        <v>30.516083421703801</v>
      </c>
      <c r="H1747">
        <v>0</v>
      </c>
      <c r="I1747">
        <v>0.52280130000000002</v>
      </c>
      <c r="J1747">
        <v>2010</v>
      </c>
      <c r="K1747">
        <v>11</v>
      </c>
      <c r="L1747">
        <v>19</v>
      </c>
      <c r="M1747" t="s">
        <v>91</v>
      </c>
      <c r="N1747">
        <v>0</v>
      </c>
      <c r="O1747">
        <v>0</v>
      </c>
    </row>
    <row r="1748" spans="1:15" x14ac:dyDescent="0.3">
      <c r="A1748">
        <v>1843</v>
      </c>
      <c r="B1748" s="34">
        <v>40504</v>
      </c>
      <c r="C1748">
        <v>1.3671800000000001</v>
      </c>
      <c r="D1748">
        <v>0</v>
      </c>
      <c r="F1748">
        <v>0.39313999999999799</v>
      </c>
      <c r="G1748">
        <v>30.516083421703801</v>
      </c>
      <c r="H1748">
        <v>0</v>
      </c>
      <c r="I1748">
        <v>0.52251760000000003</v>
      </c>
      <c r="J1748">
        <v>2010</v>
      </c>
      <c r="K1748">
        <v>11</v>
      </c>
      <c r="L1748">
        <v>22</v>
      </c>
      <c r="M1748" t="s">
        <v>92</v>
      </c>
      <c r="N1748">
        <v>0</v>
      </c>
      <c r="O1748">
        <v>0</v>
      </c>
    </row>
    <row r="1749" spans="1:15" x14ac:dyDescent="0.3">
      <c r="A1749">
        <v>1844</v>
      </c>
      <c r="B1749" s="34">
        <v>40505</v>
      </c>
      <c r="C1749">
        <v>1.36236</v>
      </c>
      <c r="D1749">
        <v>0</v>
      </c>
      <c r="F1749">
        <v>0.39313999999999799</v>
      </c>
      <c r="G1749">
        <v>30.516083421703801</v>
      </c>
      <c r="H1749">
        <v>1</v>
      </c>
      <c r="I1749">
        <v>0.52277649999999998</v>
      </c>
      <c r="J1749">
        <v>2010</v>
      </c>
      <c r="K1749">
        <v>11</v>
      </c>
      <c r="L1749">
        <v>23</v>
      </c>
      <c r="M1749" t="s">
        <v>93</v>
      </c>
      <c r="N1749">
        <v>0</v>
      </c>
      <c r="O1749">
        <v>0</v>
      </c>
    </row>
    <row r="1750" spans="1:15" x14ac:dyDescent="0.3">
      <c r="A1750">
        <v>1845</v>
      </c>
      <c r="B1750" s="34">
        <v>40506</v>
      </c>
      <c r="C1750">
        <v>1.33802</v>
      </c>
      <c r="D1750">
        <v>0</v>
      </c>
      <c r="F1750">
        <v>0.39313999999999799</v>
      </c>
      <c r="G1750">
        <v>30.516083421703801</v>
      </c>
      <c r="H1750">
        <v>1</v>
      </c>
      <c r="I1750">
        <v>0.52303520000000003</v>
      </c>
      <c r="J1750">
        <v>2010</v>
      </c>
      <c r="K1750">
        <v>11</v>
      </c>
      <c r="L1750">
        <v>24</v>
      </c>
      <c r="M1750" t="s">
        <v>89</v>
      </c>
      <c r="N1750">
        <v>0</v>
      </c>
      <c r="O1750">
        <v>0</v>
      </c>
    </row>
    <row r="1751" spans="1:15" x14ac:dyDescent="0.3">
      <c r="A1751">
        <v>1846</v>
      </c>
      <c r="B1751" s="34">
        <v>40507</v>
      </c>
      <c r="C1751">
        <v>1.3336399999999999</v>
      </c>
      <c r="D1751">
        <v>0</v>
      </c>
      <c r="F1751">
        <v>0.39313999999999799</v>
      </c>
      <c r="G1751">
        <v>30.516083421703801</v>
      </c>
      <c r="H1751">
        <v>0</v>
      </c>
      <c r="I1751">
        <v>0.52275190000000005</v>
      </c>
      <c r="J1751">
        <v>2010</v>
      </c>
      <c r="K1751">
        <v>11</v>
      </c>
      <c r="L1751">
        <v>25</v>
      </c>
      <c r="M1751" t="s">
        <v>90</v>
      </c>
      <c r="N1751">
        <v>0</v>
      </c>
      <c r="O1751">
        <v>0</v>
      </c>
    </row>
    <row r="1752" spans="1:15" x14ac:dyDescent="0.3">
      <c r="A1752">
        <v>1847</v>
      </c>
      <c r="B1752" s="34">
        <v>40508</v>
      </c>
      <c r="C1752">
        <v>1.33443</v>
      </c>
      <c r="D1752">
        <v>0</v>
      </c>
      <c r="F1752">
        <v>0.39313999999999799</v>
      </c>
      <c r="G1752">
        <v>30.516083421703801</v>
      </c>
      <c r="H1752">
        <v>1</v>
      </c>
      <c r="I1752">
        <v>0.52301030000000004</v>
      </c>
      <c r="J1752">
        <v>2010</v>
      </c>
      <c r="K1752">
        <v>11</v>
      </c>
      <c r="L1752">
        <v>26</v>
      </c>
      <c r="M1752" t="s">
        <v>91</v>
      </c>
      <c r="N1752">
        <v>0</v>
      </c>
      <c r="O1752">
        <v>0</v>
      </c>
    </row>
    <row r="1753" spans="1:15" x14ac:dyDescent="0.3">
      <c r="A1753">
        <v>1848</v>
      </c>
      <c r="B1753" s="34">
        <v>40511</v>
      </c>
      <c r="C1753">
        <v>1.32402</v>
      </c>
      <c r="D1753">
        <v>0</v>
      </c>
      <c r="F1753">
        <v>0.39313999999999799</v>
      </c>
      <c r="G1753">
        <v>30.516083421703801</v>
      </c>
      <c r="H1753">
        <v>0</v>
      </c>
      <c r="I1753">
        <v>0.52272730000000001</v>
      </c>
      <c r="J1753">
        <v>2010</v>
      </c>
      <c r="K1753">
        <v>11</v>
      </c>
      <c r="L1753">
        <v>29</v>
      </c>
      <c r="M1753" t="s">
        <v>92</v>
      </c>
      <c r="N1753">
        <v>0</v>
      </c>
      <c r="O1753">
        <v>0</v>
      </c>
    </row>
    <row r="1754" spans="1:15" x14ac:dyDescent="0.3">
      <c r="A1754">
        <v>1849</v>
      </c>
      <c r="B1754" s="34">
        <v>40512</v>
      </c>
      <c r="C1754">
        <v>1.3106100000000001</v>
      </c>
      <c r="D1754">
        <v>0</v>
      </c>
      <c r="F1754">
        <v>0.39313999999999799</v>
      </c>
      <c r="G1754">
        <v>30.516083421703801</v>
      </c>
      <c r="H1754">
        <v>0</v>
      </c>
      <c r="I1754">
        <v>0.52244449999999998</v>
      </c>
      <c r="J1754">
        <v>2010</v>
      </c>
      <c r="K1754">
        <v>11</v>
      </c>
      <c r="L1754">
        <v>30</v>
      </c>
      <c r="M1754" t="s">
        <v>93</v>
      </c>
      <c r="N1754">
        <v>0</v>
      </c>
      <c r="O1754">
        <v>0</v>
      </c>
    </row>
    <row r="1755" spans="1:15" x14ac:dyDescent="0.3">
      <c r="A1755">
        <v>1850</v>
      </c>
      <c r="B1755" s="34">
        <v>40513</v>
      </c>
      <c r="C1755">
        <v>1.2981100000000001</v>
      </c>
      <c r="D1755">
        <v>0</v>
      </c>
      <c r="F1755">
        <v>0.39313999999999799</v>
      </c>
      <c r="G1755">
        <v>30.516083421703801</v>
      </c>
      <c r="H1755">
        <v>0</v>
      </c>
      <c r="I1755">
        <v>0.52216209999999996</v>
      </c>
      <c r="J1755">
        <v>2010</v>
      </c>
      <c r="K1755">
        <v>12</v>
      </c>
      <c r="L1755">
        <v>1</v>
      </c>
      <c r="M1755" t="s">
        <v>89</v>
      </c>
      <c r="N1755">
        <v>0</v>
      </c>
      <c r="O1755">
        <v>0</v>
      </c>
    </row>
    <row r="1756" spans="1:15" x14ac:dyDescent="0.3">
      <c r="A1756">
        <v>1851</v>
      </c>
      <c r="B1756" s="34">
        <v>40514</v>
      </c>
      <c r="C1756">
        <v>1.31254</v>
      </c>
      <c r="D1756">
        <v>0</v>
      </c>
      <c r="F1756">
        <v>0.39313999999999799</v>
      </c>
      <c r="G1756">
        <v>30.516083421703801</v>
      </c>
      <c r="H1756">
        <v>1</v>
      </c>
      <c r="I1756">
        <v>0.52242029999999995</v>
      </c>
      <c r="J1756">
        <v>2010</v>
      </c>
      <c r="K1756">
        <v>12</v>
      </c>
      <c r="L1756">
        <v>2</v>
      </c>
      <c r="M1756" t="s">
        <v>90</v>
      </c>
      <c r="N1756">
        <v>0</v>
      </c>
      <c r="O1756">
        <v>0</v>
      </c>
    </row>
    <row r="1757" spans="1:15" x14ac:dyDescent="0.3">
      <c r="A1757">
        <v>1852</v>
      </c>
      <c r="B1757" s="34">
        <v>40515</v>
      </c>
      <c r="C1757">
        <v>1.3214900000000001</v>
      </c>
      <c r="D1757">
        <v>0</v>
      </c>
      <c r="F1757">
        <v>0.39313999999999799</v>
      </c>
      <c r="G1757">
        <v>30.516083421703801</v>
      </c>
      <c r="H1757">
        <v>0</v>
      </c>
      <c r="I1757">
        <v>0.5221382</v>
      </c>
      <c r="J1757">
        <v>2010</v>
      </c>
      <c r="K1757">
        <v>12</v>
      </c>
      <c r="L1757">
        <v>3</v>
      </c>
      <c r="M1757" t="s">
        <v>91</v>
      </c>
      <c r="N1757">
        <v>0</v>
      </c>
      <c r="O1757">
        <v>0</v>
      </c>
    </row>
    <row r="1758" spans="1:15" x14ac:dyDescent="0.3">
      <c r="A1758">
        <v>1853</v>
      </c>
      <c r="B1758" s="34">
        <v>40518</v>
      </c>
      <c r="C1758">
        <v>1.3413600000000001</v>
      </c>
      <c r="D1758">
        <v>0</v>
      </c>
      <c r="F1758">
        <v>0.39313999999999799</v>
      </c>
      <c r="G1758">
        <v>30.516083421703801</v>
      </c>
      <c r="H1758">
        <v>0</v>
      </c>
      <c r="I1758">
        <v>0.5218564</v>
      </c>
      <c r="J1758">
        <v>2010</v>
      </c>
      <c r="K1758">
        <v>12</v>
      </c>
      <c r="L1758">
        <v>6</v>
      </c>
      <c r="M1758" t="s">
        <v>92</v>
      </c>
      <c r="N1758">
        <v>0</v>
      </c>
      <c r="O1758">
        <v>0</v>
      </c>
    </row>
    <row r="1759" spans="1:15" x14ac:dyDescent="0.3">
      <c r="A1759">
        <v>1854</v>
      </c>
      <c r="B1759" s="34">
        <v>40519</v>
      </c>
      <c r="C1759">
        <v>1.3308800000000001</v>
      </c>
      <c r="D1759">
        <v>0</v>
      </c>
      <c r="F1759">
        <v>0.39313999999999799</v>
      </c>
      <c r="G1759">
        <v>30.516083421703801</v>
      </c>
      <c r="H1759">
        <v>1</v>
      </c>
      <c r="I1759">
        <v>0.52211430000000003</v>
      </c>
      <c r="J1759">
        <v>2010</v>
      </c>
      <c r="K1759">
        <v>12</v>
      </c>
      <c r="L1759">
        <v>7</v>
      </c>
      <c r="M1759" t="s">
        <v>93</v>
      </c>
      <c r="N1759">
        <v>0</v>
      </c>
      <c r="O1759">
        <v>0</v>
      </c>
    </row>
    <row r="1760" spans="1:15" x14ac:dyDescent="0.3">
      <c r="A1760">
        <v>1855</v>
      </c>
      <c r="B1760" s="34">
        <v>40520</v>
      </c>
      <c r="C1760">
        <v>1.3265199999999999</v>
      </c>
      <c r="D1760">
        <v>0</v>
      </c>
      <c r="F1760">
        <v>0.39313999999999799</v>
      </c>
      <c r="G1760">
        <v>30.516083421703801</v>
      </c>
      <c r="H1760">
        <v>1</v>
      </c>
      <c r="I1760">
        <v>0.5223719</v>
      </c>
      <c r="J1760">
        <v>2010</v>
      </c>
      <c r="K1760">
        <v>12</v>
      </c>
      <c r="L1760">
        <v>8</v>
      </c>
      <c r="M1760" t="s">
        <v>89</v>
      </c>
      <c r="N1760">
        <v>0</v>
      </c>
      <c r="O1760">
        <v>0</v>
      </c>
    </row>
    <row r="1761" spans="1:15" x14ac:dyDescent="0.3">
      <c r="A1761">
        <v>1856</v>
      </c>
      <c r="B1761" s="34">
        <v>40521</v>
      </c>
      <c r="C1761">
        <v>1.3262700000000001</v>
      </c>
      <c r="D1761">
        <v>0</v>
      </c>
      <c r="F1761">
        <v>0.39313999999999799</v>
      </c>
      <c r="G1761">
        <v>30.516083421703801</v>
      </c>
      <c r="H1761">
        <v>1</v>
      </c>
      <c r="I1761">
        <v>0.52262929999999996</v>
      </c>
      <c r="J1761">
        <v>2010</v>
      </c>
      <c r="K1761">
        <v>12</v>
      </c>
      <c r="L1761">
        <v>9</v>
      </c>
      <c r="M1761" t="s">
        <v>90</v>
      </c>
      <c r="N1761">
        <v>0</v>
      </c>
      <c r="O1761">
        <v>0</v>
      </c>
    </row>
    <row r="1762" spans="1:15" x14ac:dyDescent="0.3">
      <c r="A1762">
        <v>1857</v>
      </c>
      <c r="B1762" s="34">
        <v>40522</v>
      </c>
      <c r="C1762">
        <v>1.32365</v>
      </c>
      <c r="D1762">
        <v>0</v>
      </c>
      <c r="F1762">
        <v>0.39313999999999799</v>
      </c>
      <c r="G1762">
        <v>30.516083421703801</v>
      </c>
      <c r="H1762">
        <v>1</v>
      </c>
      <c r="I1762">
        <v>0.52288639999999997</v>
      </c>
      <c r="J1762">
        <v>2010</v>
      </c>
      <c r="K1762">
        <v>12</v>
      </c>
      <c r="L1762">
        <v>10</v>
      </c>
      <c r="M1762" t="s">
        <v>91</v>
      </c>
      <c r="N1762">
        <v>0</v>
      </c>
      <c r="O1762">
        <v>0</v>
      </c>
    </row>
    <row r="1763" spans="1:15" x14ac:dyDescent="0.3">
      <c r="A1763">
        <v>1858</v>
      </c>
      <c r="B1763" s="34">
        <v>40525</v>
      </c>
      <c r="C1763">
        <v>1.3226199999999999</v>
      </c>
      <c r="D1763">
        <v>0</v>
      </c>
      <c r="F1763">
        <v>0.39313999999999799</v>
      </c>
      <c r="G1763">
        <v>30.516083421703801</v>
      </c>
      <c r="H1763">
        <v>0</v>
      </c>
      <c r="I1763">
        <v>0.52260490000000004</v>
      </c>
      <c r="J1763">
        <v>2010</v>
      </c>
      <c r="K1763">
        <v>12</v>
      </c>
      <c r="L1763">
        <v>13</v>
      </c>
      <c r="M1763" t="s">
        <v>92</v>
      </c>
      <c r="N1763">
        <v>0</v>
      </c>
      <c r="O1763">
        <v>0</v>
      </c>
    </row>
    <row r="1764" spans="1:15" x14ac:dyDescent="0.3">
      <c r="A1764">
        <v>1859</v>
      </c>
      <c r="B1764" s="34">
        <v>40526</v>
      </c>
      <c r="C1764">
        <v>1.3386400000000001</v>
      </c>
      <c r="D1764">
        <v>0</v>
      </c>
      <c r="F1764">
        <v>0.39313999999999799</v>
      </c>
      <c r="G1764">
        <v>30.516083421703801</v>
      </c>
      <c r="H1764">
        <v>1</v>
      </c>
      <c r="I1764">
        <v>0.52286180000000004</v>
      </c>
      <c r="J1764">
        <v>2010</v>
      </c>
      <c r="K1764">
        <v>12</v>
      </c>
      <c r="L1764">
        <v>14</v>
      </c>
      <c r="M1764" t="s">
        <v>93</v>
      </c>
      <c r="N1764">
        <v>0</v>
      </c>
      <c r="O1764">
        <v>0</v>
      </c>
    </row>
    <row r="1765" spans="1:15" x14ac:dyDescent="0.3">
      <c r="A1765">
        <v>1860</v>
      </c>
      <c r="B1765" s="34">
        <v>40527</v>
      </c>
      <c r="C1765">
        <v>1.33789</v>
      </c>
      <c r="D1765">
        <v>0</v>
      </c>
      <c r="F1765">
        <v>0.39313999999999799</v>
      </c>
      <c r="G1765">
        <v>30.516083421703801</v>
      </c>
      <c r="H1765">
        <v>1</v>
      </c>
      <c r="I1765">
        <v>0.52311830000000004</v>
      </c>
      <c r="J1765">
        <v>2010</v>
      </c>
      <c r="K1765">
        <v>12</v>
      </c>
      <c r="L1765">
        <v>15</v>
      </c>
      <c r="M1765" t="s">
        <v>89</v>
      </c>
      <c r="N1765">
        <v>0</v>
      </c>
      <c r="O1765">
        <v>0</v>
      </c>
    </row>
    <row r="1766" spans="1:15" x14ac:dyDescent="0.3">
      <c r="A1766">
        <v>1861</v>
      </c>
      <c r="B1766" s="34">
        <v>40528</v>
      </c>
      <c r="C1766">
        <v>1.32203</v>
      </c>
      <c r="D1766">
        <v>0</v>
      </c>
      <c r="F1766">
        <v>0.39313999999999799</v>
      </c>
      <c r="G1766">
        <v>30.516083421703801</v>
      </c>
      <c r="H1766">
        <v>1</v>
      </c>
      <c r="I1766">
        <v>0.52337460000000002</v>
      </c>
      <c r="J1766">
        <v>2010</v>
      </c>
      <c r="K1766">
        <v>12</v>
      </c>
      <c r="L1766">
        <v>16</v>
      </c>
      <c r="M1766" t="s">
        <v>90</v>
      </c>
      <c r="N1766">
        <v>0</v>
      </c>
      <c r="O1766">
        <v>0</v>
      </c>
    </row>
    <row r="1767" spans="1:15" x14ac:dyDescent="0.3">
      <c r="A1767">
        <v>1862</v>
      </c>
      <c r="B1767" s="34">
        <v>40529</v>
      </c>
      <c r="C1767">
        <v>1.32396</v>
      </c>
      <c r="D1767">
        <v>0</v>
      </c>
      <c r="F1767">
        <v>0.39313999999999799</v>
      </c>
      <c r="G1767">
        <v>30.516083421703801</v>
      </c>
      <c r="H1767">
        <v>1</v>
      </c>
      <c r="I1767">
        <v>0.5236305</v>
      </c>
      <c r="J1767">
        <v>2010</v>
      </c>
      <c r="K1767">
        <v>12</v>
      </c>
      <c r="L1767">
        <v>17</v>
      </c>
      <c r="M1767" t="s">
        <v>91</v>
      </c>
      <c r="N1767">
        <v>0</v>
      </c>
      <c r="O1767">
        <v>0</v>
      </c>
    </row>
    <row r="1768" spans="1:15" x14ac:dyDescent="0.3">
      <c r="A1768">
        <v>1863</v>
      </c>
      <c r="B1768" s="34">
        <v>40532</v>
      </c>
      <c r="C1768">
        <v>1.31873</v>
      </c>
      <c r="D1768">
        <v>0</v>
      </c>
      <c r="F1768">
        <v>0.39313999999999799</v>
      </c>
      <c r="G1768">
        <v>30.516083421703801</v>
      </c>
      <c r="H1768">
        <v>1</v>
      </c>
      <c r="I1768">
        <v>0.52388619999999997</v>
      </c>
      <c r="J1768">
        <v>2010</v>
      </c>
      <c r="K1768">
        <v>12</v>
      </c>
      <c r="L1768">
        <v>20</v>
      </c>
      <c r="M1768" t="s">
        <v>92</v>
      </c>
      <c r="N1768">
        <v>0</v>
      </c>
      <c r="O1768">
        <v>0</v>
      </c>
    </row>
    <row r="1769" spans="1:15" x14ac:dyDescent="0.3">
      <c r="A1769">
        <v>1864</v>
      </c>
      <c r="B1769" s="34">
        <v>40533</v>
      </c>
      <c r="C1769">
        <v>1.3119700000000001</v>
      </c>
      <c r="D1769">
        <v>0</v>
      </c>
      <c r="F1769">
        <v>0.39313999999999799</v>
      </c>
      <c r="G1769">
        <v>30.516083421703801</v>
      </c>
      <c r="H1769">
        <v>0</v>
      </c>
      <c r="I1769">
        <v>0.52360519999999999</v>
      </c>
      <c r="J1769">
        <v>2010</v>
      </c>
      <c r="K1769">
        <v>12</v>
      </c>
      <c r="L1769">
        <v>21</v>
      </c>
      <c r="M1769" t="s">
        <v>93</v>
      </c>
      <c r="N1769">
        <v>0</v>
      </c>
      <c r="O1769">
        <v>0</v>
      </c>
    </row>
    <row r="1770" spans="1:15" x14ac:dyDescent="0.3">
      <c r="A1770">
        <v>1865</v>
      </c>
      <c r="B1770" s="34">
        <v>40534</v>
      </c>
      <c r="C1770">
        <v>1.30993</v>
      </c>
      <c r="D1770">
        <v>0</v>
      </c>
      <c r="F1770">
        <v>0.39313999999999799</v>
      </c>
      <c r="G1770">
        <v>30.516083421703801</v>
      </c>
      <c r="H1770">
        <v>0</v>
      </c>
      <c r="I1770">
        <v>0.52332440000000002</v>
      </c>
      <c r="J1770">
        <v>2010</v>
      </c>
      <c r="K1770">
        <v>12</v>
      </c>
      <c r="L1770">
        <v>22</v>
      </c>
      <c r="M1770" t="s">
        <v>89</v>
      </c>
      <c r="N1770">
        <v>0</v>
      </c>
      <c r="O1770">
        <v>0</v>
      </c>
    </row>
    <row r="1771" spans="1:15" x14ac:dyDescent="0.3">
      <c r="A1771">
        <v>1866</v>
      </c>
      <c r="B1771" s="34">
        <v>40535</v>
      </c>
      <c r="C1771">
        <v>1.3103100000000001</v>
      </c>
      <c r="D1771">
        <v>0</v>
      </c>
      <c r="F1771">
        <v>0.39313999999999799</v>
      </c>
      <c r="G1771">
        <v>30.516083421703801</v>
      </c>
      <c r="H1771">
        <v>1</v>
      </c>
      <c r="I1771">
        <v>0.52357980000000004</v>
      </c>
      <c r="J1771">
        <v>2010</v>
      </c>
      <c r="K1771">
        <v>12</v>
      </c>
      <c r="L1771">
        <v>23</v>
      </c>
      <c r="M1771" t="s">
        <v>90</v>
      </c>
      <c r="N1771">
        <v>0</v>
      </c>
      <c r="O1771">
        <v>0</v>
      </c>
    </row>
    <row r="1772" spans="1:15" x14ac:dyDescent="0.3">
      <c r="A1772">
        <v>1867</v>
      </c>
      <c r="B1772" s="34">
        <v>40536</v>
      </c>
      <c r="C1772">
        <v>1.3109900000000001</v>
      </c>
      <c r="D1772">
        <v>0</v>
      </c>
      <c r="F1772">
        <v>0.39313999999999799</v>
      </c>
      <c r="G1772">
        <v>30.516083421703801</v>
      </c>
      <c r="H1772">
        <v>1</v>
      </c>
      <c r="I1772">
        <v>0.52383500000000005</v>
      </c>
      <c r="J1772">
        <v>2010</v>
      </c>
      <c r="K1772">
        <v>12</v>
      </c>
      <c r="L1772">
        <v>24</v>
      </c>
      <c r="M1772" t="s">
        <v>91</v>
      </c>
      <c r="N1772">
        <v>0</v>
      </c>
      <c r="O1772">
        <v>0</v>
      </c>
    </row>
    <row r="1773" spans="1:15" x14ac:dyDescent="0.3">
      <c r="A1773">
        <v>1868</v>
      </c>
      <c r="B1773" s="34">
        <v>40539</v>
      </c>
      <c r="C1773">
        <v>1.31209</v>
      </c>
      <c r="D1773">
        <v>0</v>
      </c>
      <c r="F1773">
        <v>0.39313999999999799</v>
      </c>
      <c r="G1773">
        <v>30.516083421703801</v>
      </c>
      <c r="H1773">
        <v>1</v>
      </c>
      <c r="I1773">
        <v>0.5240899</v>
      </c>
      <c r="J1773">
        <v>2010</v>
      </c>
      <c r="K1773">
        <v>12</v>
      </c>
      <c r="L1773">
        <v>27</v>
      </c>
      <c r="M1773" t="s">
        <v>92</v>
      </c>
      <c r="N1773">
        <v>0</v>
      </c>
      <c r="O1773">
        <v>0</v>
      </c>
    </row>
    <row r="1774" spans="1:15" x14ac:dyDescent="0.3">
      <c r="A1774">
        <v>1869</v>
      </c>
      <c r="B1774" s="34">
        <v>40540</v>
      </c>
      <c r="C1774">
        <v>1.3162100000000001</v>
      </c>
      <c r="D1774">
        <v>0</v>
      </c>
      <c r="F1774">
        <v>0.39313999999999799</v>
      </c>
      <c r="G1774">
        <v>30.516083421703801</v>
      </c>
      <c r="H1774">
        <v>0</v>
      </c>
      <c r="I1774">
        <v>0.52380959999999999</v>
      </c>
      <c r="J1774">
        <v>2010</v>
      </c>
      <c r="K1774">
        <v>12</v>
      </c>
      <c r="L1774">
        <v>28</v>
      </c>
      <c r="M1774" t="s">
        <v>93</v>
      </c>
      <c r="N1774">
        <v>0</v>
      </c>
      <c r="O1774">
        <v>0</v>
      </c>
    </row>
    <row r="1775" spans="1:15" x14ac:dyDescent="0.3">
      <c r="A1775">
        <v>1870</v>
      </c>
      <c r="B1775" s="34">
        <v>40541</v>
      </c>
      <c r="C1775">
        <v>1.31091</v>
      </c>
      <c r="D1775">
        <v>0</v>
      </c>
      <c r="F1775">
        <v>0.39313999999999799</v>
      </c>
      <c r="G1775">
        <v>30.516083421703801</v>
      </c>
      <c r="H1775">
        <v>1</v>
      </c>
      <c r="I1775">
        <v>0.52406419999999998</v>
      </c>
      <c r="J1775">
        <v>2010</v>
      </c>
      <c r="K1775">
        <v>12</v>
      </c>
      <c r="L1775">
        <v>29</v>
      </c>
      <c r="M1775" t="s">
        <v>89</v>
      </c>
      <c r="N1775">
        <v>0</v>
      </c>
      <c r="O1775">
        <v>0</v>
      </c>
    </row>
    <row r="1776" spans="1:15" x14ac:dyDescent="0.3">
      <c r="A1776">
        <v>1871</v>
      </c>
      <c r="B1776" s="34">
        <v>40542</v>
      </c>
      <c r="C1776">
        <v>1.3217300000000001</v>
      </c>
      <c r="D1776">
        <v>0</v>
      </c>
      <c r="F1776">
        <v>0.39313999999999799</v>
      </c>
      <c r="G1776">
        <v>30.516083421703801</v>
      </c>
      <c r="H1776">
        <v>1</v>
      </c>
      <c r="I1776">
        <v>0.52431859999999997</v>
      </c>
      <c r="J1776">
        <v>2010</v>
      </c>
      <c r="K1776">
        <v>12</v>
      </c>
      <c r="L1776">
        <v>30</v>
      </c>
      <c r="M1776" t="s">
        <v>90</v>
      </c>
      <c r="N1776">
        <v>0</v>
      </c>
      <c r="O1776">
        <v>0</v>
      </c>
    </row>
    <row r="1777" spans="1:15" x14ac:dyDescent="0.3">
      <c r="A1777">
        <v>1872</v>
      </c>
      <c r="B1777" s="34">
        <v>40543</v>
      </c>
      <c r="C1777">
        <v>1.32901</v>
      </c>
      <c r="D1777">
        <v>0</v>
      </c>
      <c r="F1777">
        <v>0.39313999999999799</v>
      </c>
      <c r="G1777">
        <v>30.516083421703801</v>
      </c>
      <c r="H1777">
        <v>0</v>
      </c>
      <c r="I1777">
        <v>0.52403840000000002</v>
      </c>
      <c r="J1777">
        <v>2010</v>
      </c>
      <c r="K1777">
        <v>12</v>
      </c>
      <c r="L1777">
        <v>31</v>
      </c>
      <c r="M1777" t="s">
        <v>91</v>
      </c>
      <c r="N1777">
        <v>0</v>
      </c>
      <c r="O1777">
        <v>0</v>
      </c>
    </row>
    <row r="1778" spans="1:15" x14ac:dyDescent="0.3">
      <c r="A1778">
        <v>1873</v>
      </c>
      <c r="B1778" s="34">
        <v>40546</v>
      </c>
      <c r="C1778">
        <v>1.33836</v>
      </c>
      <c r="D1778">
        <v>0</v>
      </c>
      <c r="F1778">
        <v>0.39313999999999799</v>
      </c>
      <c r="G1778">
        <v>30.516083421703801</v>
      </c>
      <c r="H1778">
        <v>0</v>
      </c>
      <c r="I1778">
        <v>0.52375859999999996</v>
      </c>
      <c r="J1778">
        <v>2011</v>
      </c>
      <c r="K1778">
        <v>1</v>
      </c>
      <c r="L1778">
        <v>3</v>
      </c>
      <c r="M1778" t="s">
        <v>92</v>
      </c>
      <c r="N1778">
        <v>0</v>
      </c>
      <c r="O1778">
        <v>0</v>
      </c>
    </row>
    <row r="1779" spans="1:15" x14ac:dyDescent="0.3">
      <c r="A1779">
        <v>1874</v>
      </c>
      <c r="B1779" s="34">
        <v>40547</v>
      </c>
      <c r="C1779">
        <v>1.3349899999999999</v>
      </c>
      <c r="D1779">
        <v>0</v>
      </c>
      <c r="F1779">
        <v>0.39313999999999799</v>
      </c>
      <c r="G1779">
        <v>30.516083421703801</v>
      </c>
      <c r="H1779">
        <v>1</v>
      </c>
      <c r="I1779">
        <v>0.52401279999999995</v>
      </c>
      <c r="J1779">
        <v>2011</v>
      </c>
      <c r="K1779">
        <v>1</v>
      </c>
      <c r="L1779">
        <v>4</v>
      </c>
      <c r="M1779" t="s">
        <v>93</v>
      </c>
      <c r="N1779">
        <v>0</v>
      </c>
      <c r="O1779">
        <v>0</v>
      </c>
    </row>
    <row r="1780" spans="1:15" x14ac:dyDescent="0.3">
      <c r="A1780">
        <v>1875</v>
      </c>
      <c r="B1780" s="34">
        <v>40548</v>
      </c>
      <c r="C1780">
        <v>1.33104</v>
      </c>
      <c r="D1780">
        <v>0</v>
      </c>
      <c r="F1780">
        <v>0.39313999999999799</v>
      </c>
      <c r="G1780">
        <v>30.516083421703801</v>
      </c>
      <c r="H1780">
        <v>1</v>
      </c>
      <c r="I1780">
        <v>0.52426669999999997</v>
      </c>
      <c r="J1780">
        <v>2011</v>
      </c>
      <c r="K1780">
        <v>1</v>
      </c>
      <c r="L1780">
        <v>5</v>
      </c>
      <c r="M1780" t="s">
        <v>89</v>
      </c>
      <c r="N1780">
        <v>0</v>
      </c>
      <c r="O1780">
        <v>0</v>
      </c>
    </row>
    <row r="1781" spans="1:15" x14ac:dyDescent="0.3">
      <c r="A1781">
        <v>1876</v>
      </c>
      <c r="B1781" s="34">
        <v>40549</v>
      </c>
      <c r="C1781">
        <v>1.3148500000000001</v>
      </c>
      <c r="D1781">
        <v>0</v>
      </c>
      <c r="F1781">
        <v>0.39313999999999799</v>
      </c>
      <c r="G1781">
        <v>30.516083421703801</v>
      </c>
      <c r="H1781">
        <v>1</v>
      </c>
      <c r="I1781">
        <v>0.52452030000000005</v>
      </c>
      <c r="J1781">
        <v>2011</v>
      </c>
      <c r="K1781">
        <v>1</v>
      </c>
      <c r="L1781">
        <v>6</v>
      </c>
      <c r="M1781" t="s">
        <v>90</v>
      </c>
      <c r="N1781">
        <v>0</v>
      </c>
      <c r="O1781">
        <v>0</v>
      </c>
    </row>
    <row r="1782" spans="1:15" x14ac:dyDescent="0.3">
      <c r="A1782">
        <v>1877</v>
      </c>
      <c r="B1782" s="34">
        <v>40550</v>
      </c>
      <c r="C1782">
        <v>1.3002199999999999</v>
      </c>
      <c r="D1782">
        <v>0</v>
      </c>
      <c r="F1782">
        <v>0.39313999999999799</v>
      </c>
      <c r="G1782">
        <v>30.516083421703801</v>
      </c>
      <c r="H1782">
        <v>0</v>
      </c>
      <c r="I1782">
        <v>0.52424079999999995</v>
      </c>
      <c r="J1782">
        <v>2011</v>
      </c>
      <c r="K1782">
        <v>1</v>
      </c>
      <c r="L1782">
        <v>7</v>
      </c>
      <c r="M1782" t="s">
        <v>91</v>
      </c>
      <c r="N1782">
        <v>0</v>
      </c>
      <c r="O1782">
        <v>0</v>
      </c>
    </row>
    <row r="1783" spans="1:15" x14ac:dyDescent="0.3">
      <c r="A1783">
        <v>1878</v>
      </c>
      <c r="B1783" s="34">
        <v>40553</v>
      </c>
      <c r="C1783">
        <v>1.2905500000000001</v>
      </c>
      <c r="D1783">
        <v>0</v>
      </c>
      <c r="F1783">
        <v>0.39313999999999799</v>
      </c>
      <c r="G1783">
        <v>30.516083421703801</v>
      </c>
      <c r="H1783">
        <v>0</v>
      </c>
      <c r="I1783">
        <v>0.52396169999999997</v>
      </c>
      <c r="J1783">
        <v>2011</v>
      </c>
      <c r="K1783">
        <v>1</v>
      </c>
      <c r="L1783">
        <v>10</v>
      </c>
      <c r="M1783" t="s">
        <v>92</v>
      </c>
      <c r="N1783">
        <v>0</v>
      </c>
      <c r="O1783">
        <v>0</v>
      </c>
    </row>
    <row r="1784" spans="1:15" x14ac:dyDescent="0.3">
      <c r="A1784">
        <v>1879</v>
      </c>
      <c r="B1784" s="34">
        <v>40554</v>
      </c>
      <c r="C1784">
        <v>1.29451</v>
      </c>
      <c r="D1784">
        <v>0</v>
      </c>
      <c r="F1784">
        <v>0.39313999999999799</v>
      </c>
      <c r="G1784">
        <v>30.516083421703801</v>
      </c>
      <c r="H1784">
        <v>1</v>
      </c>
      <c r="I1784">
        <v>0.52421499999999999</v>
      </c>
      <c r="J1784">
        <v>2011</v>
      </c>
      <c r="K1784">
        <v>1</v>
      </c>
      <c r="L1784">
        <v>11</v>
      </c>
      <c r="M1784" t="s">
        <v>93</v>
      </c>
      <c r="N1784">
        <v>0</v>
      </c>
      <c r="O1784">
        <v>0</v>
      </c>
    </row>
    <row r="1785" spans="1:15" x14ac:dyDescent="0.3">
      <c r="A1785">
        <v>1880</v>
      </c>
      <c r="B1785" s="34">
        <v>40555</v>
      </c>
      <c r="C1785">
        <v>1.29731</v>
      </c>
      <c r="D1785">
        <v>0</v>
      </c>
      <c r="F1785">
        <v>0.39313999999999799</v>
      </c>
      <c r="G1785">
        <v>30.516083421703801</v>
      </c>
      <c r="H1785">
        <v>1</v>
      </c>
      <c r="I1785">
        <v>0.52446809999999999</v>
      </c>
      <c r="J1785">
        <v>2011</v>
      </c>
      <c r="K1785">
        <v>1</v>
      </c>
      <c r="L1785">
        <v>12</v>
      </c>
      <c r="M1785" t="s">
        <v>89</v>
      </c>
      <c r="N1785">
        <v>0</v>
      </c>
      <c r="O1785">
        <v>0</v>
      </c>
    </row>
    <row r="1786" spans="1:15" x14ac:dyDescent="0.3">
      <c r="A1786">
        <v>1881</v>
      </c>
      <c r="B1786" s="34">
        <v>40556</v>
      </c>
      <c r="C1786">
        <v>1.3128</v>
      </c>
      <c r="D1786">
        <v>0</v>
      </c>
      <c r="F1786">
        <v>0.39313999999999799</v>
      </c>
      <c r="G1786">
        <v>30.516083421703801</v>
      </c>
      <c r="H1786">
        <v>0</v>
      </c>
      <c r="I1786">
        <v>0.52418920000000002</v>
      </c>
      <c r="J1786">
        <v>2011</v>
      </c>
      <c r="K1786">
        <v>1</v>
      </c>
      <c r="L1786">
        <v>13</v>
      </c>
      <c r="M1786" t="s">
        <v>90</v>
      </c>
      <c r="N1786">
        <v>0</v>
      </c>
      <c r="O1786">
        <v>0</v>
      </c>
    </row>
    <row r="1787" spans="1:15" x14ac:dyDescent="0.3">
      <c r="A1787">
        <v>1882</v>
      </c>
      <c r="B1787" s="34">
        <v>40557</v>
      </c>
      <c r="C1787">
        <v>1.33477</v>
      </c>
      <c r="D1787">
        <v>-1</v>
      </c>
      <c r="F1787">
        <v>0.38915999999999701</v>
      </c>
      <c r="G1787">
        <v>31.219512195122</v>
      </c>
      <c r="H1787">
        <v>0</v>
      </c>
      <c r="I1787">
        <v>0.52391080000000001</v>
      </c>
      <c r="J1787">
        <v>2011</v>
      </c>
      <c r="K1787">
        <v>1</v>
      </c>
      <c r="L1787">
        <v>14</v>
      </c>
      <c r="M1787" t="s">
        <v>91</v>
      </c>
      <c r="N1787">
        <v>0</v>
      </c>
      <c r="O1787">
        <v>0</v>
      </c>
    </row>
    <row r="1788" spans="1:15" x14ac:dyDescent="0.3">
      <c r="A1788">
        <v>1883</v>
      </c>
      <c r="B1788" s="34">
        <v>40560</v>
      </c>
      <c r="C1788">
        <v>1.3387500000000001</v>
      </c>
      <c r="D1788">
        <v>0</v>
      </c>
      <c r="F1788">
        <v>0.38915999999999701</v>
      </c>
      <c r="G1788">
        <v>31.219512195122</v>
      </c>
      <c r="H1788">
        <v>0</v>
      </c>
      <c r="I1788">
        <v>0.52363249999999995</v>
      </c>
      <c r="J1788">
        <v>2011</v>
      </c>
      <c r="K1788">
        <v>1</v>
      </c>
      <c r="L1788">
        <v>17</v>
      </c>
      <c r="M1788" t="s">
        <v>92</v>
      </c>
      <c r="N1788">
        <v>0</v>
      </c>
      <c r="O1788">
        <v>0</v>
      </c>
    </row>
    <row r="1789" spans="1:15" x14ac:dyDescent="0.3">
      <c r="A1789">
        <v>1884</v>
      </c>
      <c r="B1789" s="34">
        <v>40561</v>
      </c>
      <c r="C1789">
        <v>1.32758</v>
      </c>
      <c r="D1789">
        <v>0</v>
      </c>
      <c r="F1789">
        <v>0.38915999999999701</v>
      </c>
      <c r="G1789">
        <v>31.219512195122</v>
      </c>
      <c r="H1789">
        <v>1</v>
      </c>
      <c r="I1789">
        <v>0.52388539999999995</v>
      </c>
      <c r="J1789">
        <v>2011</v>
      </c>
      <c r="K1789">
        <v>1</v>
      </c>
      <c r="L1789">
        <v>18</v>
      </c>
      <c r="M1789" t="s">
        <v>93</v>
      </c>
      <c r="N1789">
        <v>0</v>
      </c>
      <c r="O1789">
        <v>0</v>
      </c>
    </row>
    <row r="1790" spans="1:15" x14ac:dyDescent="0.3">
      <c r="A1790">
        <v>1885</v>
      </c>
      <c r="B1790" s="34">
        <v>40562</v>
      </c>
      <c r="C1790">
        <v>1.3385100000000001</v>
      </c>
      <c r="D1790">
        <v>0</v>
      </c>
      <c r="F1790">
        <v>0.38915999999999701</v>
      </c>
      <c r="G1790">
        <v>31.219512195122</v>
      </c>
      <c r="H1790">
        <v>1</v>
      </c>
      <c r="I1790">
        <v>0.52413790000000005</v>
      </c>
      <c r="J1790">
        <v>2011</v>
      </c>
      <c r="K1790">
        <v>1</v>
      </c>
      <c r="L1790">
        <v>19</v>
      </c>
      <c r="M1790" t="s">
        <v>89</v>
      </c>
      <c r="N1790">
        <v>0</v>
      </c>
      <c r="O1790">
        <v>0</v>
      </c>
    </row>
    <row r="1791" spans="1:15" x14ac:dyDescent="0.3">
      <c r="A1791">
        <v>1886</v>
      </c>
      <c r="B1791" s="34">
        <v>40563</v>
      </c>
      <c r="C1791">
        <v>1.3455699999999999</v>
      </c>
      <c r="D1791">
        <v>0</v>
      </c>
      <c r="F1791">
        <v>0.38915999999999701</v>
      </c>
      <c r="G1791">
        <v>31.219512195122</v>
      </c>
      <c r="H1791">
        <v>0</v>
      </c>
      <c r="I1791">
        <v>0.52385999999999999</v>
      </c>
      <c r="J1791">
        <v>2011</v>
      </c>
      <c r="K1791">
        <v>1</v>
      </c>
      <c r="L1791">
        <v>20</v>
      </c>
      <c r="M1791" t="s">
        <v>90</v>
      </c>
      <c r="N1791">
        <v>0</v>
      </c>
      <c r="O1791">
        <v>0</v>
      </c>
    </row>
    <row r="1792" spans="1:15" x14ac:dyDescent="0.3">
      <c r="A1792">
        <v>1887</v>
      </c>
      <c r="B1792" s="34">
        <v>40564</v>
      </c>
      <c r="C1792">
        <v>1.3463799999999999</v>
      </c>
      <c r="D1792">
        <v>0</v>
      </c>
      <c r="F1792">
        <v>0.38915999999999701</v>
      </c>
      <c r="G1792">
        <v>31.219512195122</v>
      </c>
      <c r="H1792">
        <v>0</v>
      </c>
      <c r="I1792">
        <v>0.5235824</v>
      </c>
      <c r="J1792">
        <v>2011</v>
      </c>
      <c r="K1792">
        <v>1</v>
      </c>
      <c r="L1792">
        <v>21</v>
      </c>
      <c r="M1792" t="s">
        <v>91</v>
      </c>
      <c r="N1792">
        <v>0</v>
      </c>
      <c r="O1792">
        <v>0</v>
      </c>
    </row>
    <row r="1793" spans="1:15" x14ac:dyDescent="0.3">
      <c r="A1793">
        <v>1888</v>
      </c>
      <c r="B1793" s="34">
        <v>40567</v>
      </c>
      <c r="C1793">
        <v>1.3619600000000001</v>
      </c>
      <c r="D1793">
        <v>0</v>
      </c>
      <c r="F1793">
        <v>0.38915999999999701</v>
      </c>
      <c r="G1793">
        <v>31.219512195122</v>
      </c>
      <c r="H1793">
        <v>0</v>
      </c>
      <c r="I1793">
        <v>0.52330509999999997</v>
      </c>
      <c r="J1793">
        <v>2011</v>
      </c>
      <c r="K1793">
        <v>1</v>
      </c>
      <c r="L1793">
        <v>24</v>
      </c>
      <c r="M1793" t="s">
        <v>92</v>
      </c>
      <c r="N1793">
        <v>0</v>
      </c>
      <c r="O1793">
        <v>0</v>
      </c>
    </row>
    <row r="1794" spans="1:15" x14ac:dyDescent="0.3">
      <c r="A1794">
        <v>1889</v>
      </c>
      <c r="B1794" s="34">
        <v>40568</v>
      </c>
      <c r="C1794">
        <v>1.3640099999999999</v>
      </c>
      <c r="D1794">
        <v>0</v>
      </c>
      <c r="F1794">
        <v>0.38915999999999701</v>
      </c>
      <c r="G1794">
        <v>31.219512195122</v>
      </c>
      <c r="H1794">
        <v>0</v>
      </c>
      <c r="I1794">
        <v>0.5230281</v>
      </c>
      <c r="J1794">
        <v>2011</v>
      </c>
      <c r="K1794">
        <v>1</v>
      </c>
      <c r="L1794">
        <v>25</v>
      </c>
      <c r="M1794" t="s">
        <v>93</v>
      </c>
      <c r="N1794">
        <v>0</v>
      </c>
      <c r="O1794">
        <v>0</v>
      </c>
    </row>
    <row r="1795" spans="1:15" x14ac:dyDescent="0.3">
      <c r="A1795">
        <v>1890</v>
      </c>
      <c r="B1795" s="34">
        <v>40569</v>
      </c>
      <c r="C1795">
        <v>1.3680099999999999</v>
      </c>
      <c r="D1795">
        <v>0</v>
      </c>
      <c r="F1795">
        <v>0.38915999999999701</v>
      </c>
      <c r="G1795">
        <v>31.219512195122</v>
      </c>
      <c r="H1795">
        <v>0</v>
      </c>
      <c r="I1795">
        <v>0.52275130000000003</v>
      </c>
      <c r="J1795">
        <v>2011</v>
      </c>
      <c r="K1795">
        <v>1</v>
      </c>
      <c r="L1795">
        <v>26</v>
      </c>
      <c r="M1795" t="s">
        <v>89</v>
      </c>
      <c r="N1795">
        <v>0</v>
      </c>
      <c r="O1795">
        <v>0</v>
      </c>
    </row>
    <row r="1796" spans="1:15" x14ac:dyDescent="0.3">
      <c r="A1796">
        <v>1891</v>
      </c>
      <c r="B1796" s="34">
        <v>40570</v>
      </c>
      <c r="C1796">
        <v>1.3697600000000001</v>
      </c>
      <c r="D1796">
        <v>0</v>
      </c>
      <c r="F1796">
        <v>0.38915999999999701</v>
      </c>
      <c r="G1796">
        <v>31.219512195122</v>
      </c>
      <c r="H1796">
        <v>0</v>
      </c>
      <c r="I1796">
        <v>0.52247489999999996</v>
      </c>
      <c r="J1796">
        <v>2011</v>
      </c>
      <c r="K1796">
        <v>1</v>
      </c>
      <c r="L1796">
        <v>27</v>
      </c>
      <c r="M1796" t="s">
        <v>90</v>
      </c>
      <c r="N1796">
        <v>0</v>
      </c>
      <c r="O1796">
        <v>0</v>
      </c>
    </row>
    <row r="1797" spans="1:15" x14ac:dyDescent="0.3">
      <c r="A1797">
        <v>1892</v>
      </c>
      <c r="B1797" s="34">
        <v>40571</v>
      </c>
      <c r="C1797">
        <v>1.3727799999999999</v>
      </c>
      <c r="D1797">
        <v>0</v>
      </c>
      <c r="F1797">
        <v>0.38915999999999701</v>
      </c>
      <c r="G1797">
        <v>31.219512195122</v>
      </c>
      <c r="H1797">
        <v>0</v>
      </c>
      <c r="I1797">
        <v>0.52219870000000002</v>
      </c>
      <c r="J1797">
        <v>2011</v>
      </c>
      <c r="K1797">
        <v>1</v>
      </c>
      <c r="L1797">
        <v>28</v>
      </c>
      <c r="M1797" t="s">
        <v>91</v>
      </c>
      <c r="N1797">
        <v>0</v>
      </c>
      <c r="O1797">
        <v>0</v>
      </c>
    </row>
    <row r="1798" spans="1:15" x14ac:dyDescent="0.3">
      <c r="A1798">
        <v>1893</v>
      </c>
      <c r="B1798" s="34">
        <v>40574</v>
      </c>
      <c r="C1798">
        <v>1.3610199999999999</v>
      </c>
      <c r="D1798">
        <v>0</v>
      </c>
      <c r="F1798">
        <v>0.38915999999999701</v>
      </c>
      <c r="G1798">
        <v>31.219512195122</v>
      </c>
      <c r="H1798">
        <v>1</v>
      </c>
      <c r="I1798">
        <v>0.5224512</v>
      </c>
      <c r="J1798">
        <v>2011</v>
      </c>
      <c r="K1798">
        <v>1</v>
      </c>
      <c r="L1798">
        <v>31</v>
      </c>
      <c r="M1798" t="s">
        <v>92</v>
      </c>
      <c r="N1798">
        <v>0</v>
      </c>
      <c r="O1798">
        <v>0</v>
      </c>
    </row>
    <row r="1799" spans="1:15" x14ac:dyDescent="0.3">
      <c r="A1799">
        <v>1894</v>
      </c>
      <c r="B1799" s="34">
        <v>40575</v>
      </c>
      <c r="C1799">
        <v>1.3690800000000001</v>
      </c>
      <c r="D1799">
        <v>0</v>
      </c>
      <c r="F1799">
        <v>0.38915999999999701</v>
      </c>
      <c r="G1799">
        <v>31.219512195122</v>
      </c>
      <c r="H1799">
        <v>1</v>
      </c>
      <c r="I1799">
        <v>0.52270329999999998</v>
      </c>
      <c r="J1799">
        <v>2011</v>
      </c>
      <c r="K1799">
        <v>2</v>
      </c>
      <c r="L1799">
        <v>1</v>
      </c>
      <c r="M1799" t="s">
        <v>93</v>
      </c>
      <c r="N1799">
        <v>0</v>
      </c>
      <c r="O1799">
        <v>0</v>
      </c>
    </row>
    <row r="1800" spans="1:15" x14ac:dyDescent="0.3">
      <c r="A1800">
        <v>1895</v>
      </c>
      <c r="B1800" s="34">
        <v>40576</v>
      </c>
      <c r="C1800">
        <v>1.3823799999999999</v>
      </c>
      <c r="D1800">
        <v>0</v>
      </c>
      <c r="F1800">
        <v>0.38915999999999701</v>
      </c>
      <c r="G1800">
        <v>31.219512195122</v>
      </c>
      <c r="H1800">
        <v>0</v>
      </c>
      <c r="I1800">
        <v>0.52242739999999999</v>
      </c>
      <c r="J1800">
        <v>2011</v>
      </c>
      <c r="K1800">
        <v>2</v>
      </c>
      <c r="L1800">
        <v>2</v>
      </c>
      <c r="M1800" t="s">
        <v>89</v>
      </c>
      <c r="N1800">
        <v>0</v>
      </c>
      <c r="O1800">
        <v>0</v>
      </c>
    </row>
    <row r="1801" spans="1:15" x14ac:dyDescent="0.3">
      <c r="A1801">
        <v>1896</v>
      </c>
      <c r="B1801" s="34">
        <v>40577</v>
      </c>
      <c r="C1801">
        <v>1.38045</v>
      </c>
      <c r="D1801">
        <v>0</v>
      </c>
      <c r="F1801">
        <v>0.38915999999999701</v>
      </c>
      <c r="G1801">
        <v>31.219512195122</v>
      </c>
      <c r="H1801">
        <v>1</v>
      </c>
      <c r="I1801">
        <v>0.52267929999999996</v>
      </c>
      <c r="J1801">
        <v>2011</v>
      </c>
      <c r="K1801">
        <v>2</v>
      </c>
      <c r="L1801">
        <v>3</v>
      </c>
      <c r="M1801" t="s">
        <v>90</v>
      </c>
      <c r="N1801">
        <v>0</v>
      </c>
      <c r="O1801">
        <v>0</v>
      </c>
    </row>
    <row r="1802" spans="1:15" x14ac:dyDescent="0.3">
      <c r="A1802">
        <v>1897</v>
      </c>
      <c r="B1802" s="34">
        <v>40578</v>
      </c>
      <c r="C1802">
        <v>1.3625100000000001</v>
      </c>
      <c r="D1802">
        <v>0</v>
      </c>
      <c r="F1802">
        <v>0.38915999999999701</v>
      </c>
      <c r="G1802">
        <v>31.219512195122</v>
      </c>
      <c r="H1802">
        <v>1</v>
      </c>
      <c r="I1802">
        <v>0.52293089999999998</v>
      </c>
      <c r="J1802">
        <v>2011</v>
      </c>
      <c r="K1802">
        <v>2</v>
      </c>
      <c r="L1802">
        <v>4</v>
      </c>
      <c r="M1802" t="s">
        <v>91</v>
      </c>
      <c r="N1802">
        <v>0</v>
      </c>
      <c r="O1802">
        <v>0</v>
      </c>
    </row>
    <row r="1803" spans="1:15" x14ac:dyDescent="0.3">
      <c r="A1803">
        <v>1898</v>
      </c>
      <c r="B1803" s="34">
        <v>40581</v>
      </c>
      <c r="C1803">
        <v>1.3580000000000001</v>
      </c>
      <c r="D1803">
        <v>0</v>
      </c>
      <c r="F1803">
        <v>0.38915999999999701</v>
      </c>
      <c r="G1803">
        <v>31.219512195122</v>
      </c>
      <c r="H1803">
        <v>0</v>
      </c>
      <c r="I1803">
        <v>0.52265539999999999</v>
      </c>
      <c r="J1803">
        <v>2011</v>
      </c>
      <c r="K1803">
        <v>2</v>
      </c>
      <c r="L1803">
        <v>7</v>
      </c>
      <c r="M1803" t="s">
        <v>92</v>
      </c>
      <c r="N1803">
        <v>0</v>
      </c>
      <c r="O1803">
        <v>0</v>
      </c>
    </row>
    <row r="1804" spans="1:15" x14ac:dyDescent="0.3">
      <c r="A1804">
        <v>1899</v>
      </c>
      <c r="B1804" s="34">
        <v>40582</v>
      </c>
      <c r="C1804">
        <v>1.3577399999999999</v>
      </c>
      <c r="D1804">
        <v>0</v>
      </c>
      <c r="F1804">
        <v>0.38915999999999701</v>
      </c>
      <c r="G1804">
        <v>31.219512195122</v>
      </c>
      <c r="H1804">
        <v>0</v>
      </c>
      <c r="I1804">
        <v>0.52238019999999996</v>
      </c>
      <c r="J1804">
        <v>2011</v>
      </c>
      <c r="K1804">
        <v>2</v>
      </c>
      <c r="L1804">
        <v>8</v>
      </c>
      <c r="M1804" t="s">
        <v>93</v>
      </c>
      <c r="N1804">
        <v>0</v>
      </c>
      <c r="O1804">
        <v>0</v>
      </c>
    </row>
    <row r="1805" spans="1:15" x14ac:dyDescent="0.3">
      <c r="A1805">
        <v>1900</v>
      </c>
      <c r="B1805" s="34">
        <v>40583</v>
      </c>
      <c r="C1805">
        <v>1.36277</v>
      </c>
      <c r="D1805">
        <v>0</v>
      </c>
      <c r="F1805">
        <v>0.38915999999999701</v>
      </c>
      <c r="G1805">
        <v>31.219512195122</v>
      </c>
      <c r="H1805">
        <v>0</v>
      </c>
      <c r="I1805">
        <v>0.52210529999999999</v>
      </c>
      <c r="J1805">
        <v>2011</v>
      </c>
      <c r="K1805">
        <v>2</v>
      </c>
      <c r="L1805">
        <v>9</v>
      </c>
      <c r="M1805" t="s">
        <v>89</v>
      </c>
      <c r="N1805">
        <v>0</v>
      </c>
      <c r="O1805">
        <v>0</v>
      </c>
    </row>
    <row r="1806" spans="1:15" x14ac:dyDescent="0.3">
      <c r="A1806">
        <v>1901</v>
      </c>
      <c r="B1806" s="34">
        <v>40584</v>
      </c>
      <c r="C1806">
        <v>1.3723700000000001</v>
      </c>
      <c r="D1806">
        <v>0</v>
      </c>
      <c r="F1806">
        <v>0.38915999999999701</v>
      </c>
      <c r="G1806">
        <v>31.219512195122</v>
      </c>
      <c r="H1806">
        <v>0</v>
      </c>
      <c r="I1806">
        <v>0.52183060000000003</v>
      </c>
      <c r="J1806">
        <v>2011</v>
      </c>
      <c r="K1806">
        <v>2</v>
      </c>
      <c r="L1806">
        <v>10</v>
      </c>
      <c r="M1806" t="s">
        <v>90</v>
      </c>
      <c r="N1806">
        <v>0</v>
      </c>
      <c r="O1806">
        <v>0</v>
      </c>
    </row>
    <row r="1807" spans="1:15" x14ac:dyDescent="0.3">
      <c r="A1807">
        <v>1902</v>
      </c>
      <c r="B1807" s="34">
        <v>40585</v>
      </c>
      <c r="C1807">
        <v>1.3593599999999999</v>
      </c>
      <c r="D1807">
        <v>0</v>
      </c>
      <c r="F1807">
        <v>0.38915999999999701</v>
      </c>
      <c r="G1807">
        <v>31.219512195122</v>
      </c>
      <c r="H1807">
        <v>1</v>
      </c>
      <c r="I1807">
        <v>0.52208200000000005</v>
      </c>
      <c r="J1807">
        <v>2011</v>
      </c>
      <c r="K1807">
        <v>2</v>
      </c>
      <c r="L1807">
        <v>11</v>
      </c>
      <c r="M1807" t="s">
        <v>91</v>
      </c>
      <c r="N1807">
        <v>0</v>
      </c>
      <c r="O1807">
        <v>0</v>
      </c>
    </row>
    <row r="1808" spans="1:15" x14ac:dyDescent="0.3">
      <c r="A1808">
        <v>1903</v>
      </c>
      <c r="B1808" s="34">
        <v>40588</v>
      </c>
      <c r="C1808">
        <v>1.3551299999999999</v>
      </c>
      <c r="D1808">
        <v>0</v>
      </c>
      <c r="F1808">
        <v>0.38915999999999701</v>
      </c>
      <c r="G1808">
        <v>31.219512195122</v>
      </c>
      <c r="H1808">
        <v>0</v>
      </c>
      <c r="I1808">
        <v>0.52180769999999999</v>
      </c>
      <c r="J1808">
        <v>2011</v>
      </c>
      <c r="K1808">
        <v>2</v>
      </c>
      <c r="L1808">
        <v>14</v>
      </c>
      <c r="M1808" t="s">
        <v>92</v>
      </c>
      <c r="N1808">
        <v>0</v>
      </c>
      <c r="O1808">
        <v>0</v>
      </c>
    </row>
    <row r="1809" spans="1:15" x14ac:dyDescent="0.3">
      <c r="A1809">
        <v>1904</v>
      </c>
      <c r="B1809" s="34">
        <v>40589</v>
      </c>
      <c r="C1809">
        <v>1.3488500000000001</v>
      </c>
      <c r="D1809">
        <v>0</v>
      </c>
      <c r="F1809">
        <v>0.38915999999999701</v>
      </c>
      <c r="G1809">
        <v>31.219512195122</v>
      </c>
      <c r="H1809">
        <v>0</v>
      </c>
      <c r="I1809">
        <v>0.52153360000000004</v>
      </c>
      <c r="J1809">
        <v>2011</v>
      </c>
      <c r="K1809">
        <v>2</v>
      </c>
      <c r="L1809">
        <v>15</v>
      </c>
      <c r="M1809" t="s">
        <v>93</v>
      </c>
      <c r="N1809">
        <v>0</v>
      </c>
      <c r="O1809">
        <v>0</v>
      </c>
    </row>
    <row r="1810" spans="1:15" x14ac:dyDescent="0.3">
      <c r="A1810">
        <v>1905</v>
      </c>
      <c r="B1810" s="34">
        <v>40590</v>
      </c>
      <c r="C1810">
        <v>1.3485100000000001</v>
      </c>
      <c r="D1810">
        <v>0</v>
      </c>
      <c r="F1810">
        <v>0.38915999999999701</v>
      </c>
      <c r="G1810">
        <v>31.219512195122</v>
      </c>
      <c r="H1810">
        <v>0</v>
      </c>
      <c r="I1810">
        <v>0.52125980000000005</v>
      </c>
      <c r="J1810">
        <v>2011</v>
      </c>
      <c r="K1810">
        <v>2</v>
      </c>
      <c r="L1810">
        <v>16</v>
      </c>
      <c r="M1810" t="s">
        <v>89</v>
      </c>
      <c r="N1810">
        <v>0</v>
      </c>
      <c r="O1810">
        <v>0</v>
      </c>
    </row>
    <row r="1811" spans="1:15" x14ac:dyDescent="0.3">
      <c r="A1811">
        <v>1906</v>
      </c>
      <c r="B1811" s="34">
        <v>40591</v>
      </c>
      <c r="C1811">
        <v>1.3560099999999999</v>
      </c>
      <c r="D1811">
        <v>0</v>
      </c>
      <c r="F1811">
        <v>0.38915999999999701</v>
      </c>
      <c r="G1811">
        <v>31.219512195122</v>
      </c>
      <c r="H1811">
        <v>0</v>
      </c>
      <c r="I1811">
        <v>0.52098639999999996</v>
      </c>
      <c r="J1811">
        <v>2011</v>
      </c>
      <c r="K1811">
        <v>2</v>
      </c>
      <c r="L1811">
        <v>17</v>
      </c>
      <c r="M1811" t="s">
        <v>90</v>
      </c>
      <c r="N1811">
        <v>0</v>
      </c>
      <c r="O1811">
        <v>0</v>
      </c>
    </row>
    <row r="1812" spans="1:15" x14ac:dyDescent="0.3">
      <c r="A1812">
        <v>1907</v>
      </c>
      <c r="B1812" s="34">
        <v>40592</v>
      </c>
      <c r="C1812">
        <v>1.3605100000000001</v>
      </c>
      <c r="D1812">
        <v>0</v>
      </c>
      <c r="F1812">
        <v>0.38915999999999701</v>
      </c>
      <c r="G1812">
        <v>31.219512195122</v>
      </c>
      <c r="H1812">
        <v>0</v>
      </c>
      <c r="I1812">
        <v>0.52071319999999999</v>
      </c>
      <c r="J1812">
        <v>2011</v>
      </c>
      <c r="K1812">
        <v>2</v>
      </c>
      <c r="L1812">
        <v>18</v>
      </c>
      <c r="M1812" t="s">
        <v>91</v>
      </c>
      <c r="N1812">
        <v>0</v>
      </c>
      <c r="O1812">
        <v>0</v>
      </c>
    </row>
    <row r="1813" spans="1:15" x14ac:dyDescent="0.3">
      <c r="A1813">
        <v>1908</v>
      </c>
      <c r="B1813" s="34">
        <v>40595</v>
      </c>
      <c r="C1813">
        <v>1.3692299999999999</v>
      </c>
      <c r="D1813">
        <v>0</v>
      </c>
      <c r="F1813">
        <v>0.38915999999999701</v>
      </c>
      <c r="G1813">
        <v>31.219512195122</v>
      </c>
      <c r="H1813">
        <v>0</v>
      </c>
      <c r="I1813">
        <v>0.52044029999999997</v>
      </c>
      <c r="J1813">
        <v>2011</v>
      </c>
      <c r="K1813">
        <v>2</v>
      </c>
      <c r="L1813">
        <v>21</v>
      </c>
      <c r="M1813" t="s">
        <v>92</v>
      </c>
      <c r="N1813">
        <v>0</v>
      </c>
      <c r="O1813">
        <v>0</v>
      </c>
    </row>
    <row r="1814" spans="1:15" x14ac:dyDescent="0.3">
      <c r="A1814">
        <v>1909</v>
      </c>
      <c r="B1814" s="34">
        <v>40596</v>
      </c>
      <c r="C1814">
        <v>1.3674599999999999</v>
      </c>
      <c r="D1814">
        <v>0</v>
      </c>
      <c r="F1814">
        <v>0.38915999999999701</v>
      </c>
      <c r="G1814">
        <v>31.219512195122</v>
      </c>
      <c r="H1814">
        <v>1</v>
      </c>
      <c r="I1814">
        <v>0.52069149999999997</v>
      </c>
      <c r="J1814">
        <v>2011</v>
      </c>
      <c r="K1814">
        <v>2</v>
      </c>
      <c r="L1814">
        <v>22</v>
      </c>
      <c r="M1814" t="s">
        <v>93</v>
      </c>
      <c r="N1814">
        <v>0</v>
      </c>
      <c r="O1814">
        <v>0</v>
      </c>
    </row>
    <row r="1815" spans="1:15" x14ac:dyDescent="0.3">
      <c r="A1815">
        <v>1910</v>
      </c>
      <c r="B1815" s="34">
        <v>40597</v>
      </c>
      <c r="C1815">
        <v>1.3653999999999999</v>
      </c>
      <c r="D1815">
        <v>0</v>
      </c>
      <c r="F1815">
        <v>0.38915999999999701</v>
      </c>
      <c r="G1815">
        <v>31.219512195122</v>
      </c>
      <c r="H1815">
        <v>1</v>
      </c>
      <c r="I1815">
        <v>0.52094240000000003</v>
      </c>
      <c r="J1815">
        <v>2011</v>
      </c>
      <c r="K1815">
        <v>2</v>
      </c>
      <c r="L1815">
        <v>23</v>
      </c>
      <c r="M1815" t="s">
        <v>89</v>
      </c>
      <c r="N1815">
        <v>0</v>
      </c>
      <c r="O1815">
        <v>0</v>
      </c>
    </row>
    <row r="1816" spans="1:15" x14ac:dyDescent="0.3">
      <c r="A1816">
        <v>1911</v>
      </c>
      <c r="B1816" s="34">
        <v>40598</v>
      </c>
      <c r="C1816">
        <v>1.3749100000000001</v>
      </c>
      <c r="D1816">
        <v>-4</v>
      </c>
      <c r="F1816">
        <v>0.38389999999999802</v>
      </c>
      <c r="G1816">
        <v>32.149169317780199</v>
      </c>
      <c r="H1816">
        <v>0</v>
      </c>
      <c r="I1816">
        <v>0.52066979999999996</v>
      </c>
      <c r="J1816">
        <v>2011</v>
      </c>
      <c r="K1816">
        <v>2</v>
      </c>
      <c r="L1816">
        <v>24</v>
      </c>
      <c r="M1816" t="s">
        <v>90</v>
      </c>
      <c r="N1816">
        <v>0</v>
      </c>
      <c r="O1816">
        <v>0</v>
      </c>
    </row>
    <row r="1817" spans="1:15" x14ac:dyDescent="0.3">
      <c r="A1817">
        <v>1912</v>
      </c>
      <c r="B1817" s="34">
        <v>40599</v>
      </c>
      <c r="C1817">
        <v>1.3801699999999999</v>
      </c>
      <c r="D1817">
        <v>0</v>
      </c>
      <c r="F1817">
        <v>0.38389999999999802</v>
      </c>
      <c r="G1817">
        <v>32.149169317780199</v>
      </c>
      <c r="H1817">
        <v>0</v>
      </c>
      <c r="I1817">
        <v>0.52039749999999996</v>
      </c>
      <c r="J1817">
        <v>2011</v>
      </c>
      <c r="K1817">
        <v>2</v>
      </c>
      <c r="L1817">
        <v>25</v>
      </c>
      <c r="M1817" t="s">
        <v>91</v>
      </c>
      <c r="N1817">
        <v>0</v>
      </c>
      <c r="O1817">
        <v>0</v>
      </c>
    </row>
    <row r="1818" spans="1:15" x14ac:dyDescent="0.3">
      <c r="A1818">
        <v>1913</v>
      </c>
      <c r="B1818" s="34">
        <v>40602</v>
      </c>
      <c r="C1818">
        <v>1.37523</v>
      </c>
      <c r="D1818">
        <v>0</v>
      </c>
      <c r="F1818">
        <v>0.38389999999999802</v>
      </c>
      <c r="G1818">
        <v>32.149169317780199</v>
      </c>
      <c r="H1818">
        <v>1</v>
      </c>
      <c r="I1818">
        <v>0.52064820000000001</v>
      </c>
      <c r="J1818">
        <v>2011</v>
      </c>
      <c r="K1818">
        <v>2</v>
      </c>
      <c r="L1818">
        <v>28</v>
      </c>
      <c r="M1818" t="s">
        <v>92</v>
      </c>
      <c r="N1818">
        <v>0</v>
      </c>
      <c r="O1818">
        <v>0</v>
      </c>
    </row>
    <row r="1819" spans="1:15" x14ac:dyDescent="0.3">
      <c r="A1819">
        <v>1914</v>
      </c>
      <c r="B1819" s="34">
        <v>40603</v>
      </c>
      <c r="C1819">
        <v>1.3808800000000001</v>
      </c>
      <c r="D1819">
        <v>0</v>
      </c>
      <c r="F1819">
        <v>0.38389999999999802</v>
      </c>
      <c r="G1819">
        <v>32.149169317780199</v>
      </c>
      <c r="H1819">
        <v>0</v>
      </c>
      <c r="I1819">
        <v>0.52037610000000001</v>
      </c>
      <c r="J1819">
        <v>2011</v>
      </c>
      <c r="K1819">
        <v>3</v>
      </c>
      <c r="L1819">
        <v>1</v>
      </c>
      <c r="M1819" t="s">
        <v>93</v>
      </c>
      <c r="N1819">
        <v>0</v>
      </c>
      <c r="O1819">
        <v>0</v>
      </c>
    </row>
    <row r="1820" spans="1:15" x14ac:dyDescent="0.3">
      <c r="A1820">
        <v>1915</v>
      </c>
      <c r="B1820" s="34">
        <v>40604</v>
      </c>
      <c r="C1820">
        <v>1.3774999999999999</v>
      </c>
      <c r="D1820">
        <v>0</v>
      </c>
      <c r="F1820">
        <v>0.38389999999999802</v>
      </c>
      <c r="G1820">
        <v>32.149169317780199</v>
      </c>
      <c r="H1820">
        <v>1</v>
      </c>
      <c r="I1820">
        <v>0.52062660000000005</v>
      </c>
      <c r="J1820">
        <v>2011</v>
      </c>
      <c r="K1820">
        <v>3</v>
      </c>
      <c r="L1820">
        <v>2</v>
      </c>
      <c r="M1820" t="s">
        <v>89</v>
      </c>
      <c r="N1820">
        <v>0</v>
      </c>
      <c r="O1820">
        <v>0</v>
      </c>
    </row>
    <row r="1821" spans="1:15" x14ac:dyDescent="0.3">
      <c r="A1821">
        <v>1916</v>
      </c>
      <c r="B1821" s="34">
        <v>40605</v>
      </c>
      <c r="C1821">
        <v>1.3863300000000001</v>
      </c>
      <c r="D1821">
        <v>-2</v>
      </c>
      <c r="F1821">
        <v>0.37426999999999799</v>
      </c>
      <c r="G1821">
        <v>33.851184164015599</v>
      </c>
      <c r="H1821">
        <v>0</v>
      </c>
      <c r="I1821">
        <v>0.52035489999999995</v>
      </c>
      <c r="J1821">
        <v>2011</v>
      </c>
      <c r="K1821">
        <v>3</v>
      </c>
      <c r="L1821">
        <v>3</v>
      </c>
      <c r="M1821" t="s">
        <v>90</v>
      </c>
      <c r="N1821">
        <v>0</v>
      </c>
      <c r="O1821">
        <v>0</v>
      </c>
    </row>
    <row r="1822" spans="1:15" x14ac:dyDescent="0.3">
      <c r="A1822">
        <v>1917</v>
      </c>
      <c r="B1822" s="34">
        <v>40606</v>
      </c>
      <c r="C1822">
        <v>1.3959600000000001</v>
      </c>
      <c r="D1822">
        <v>0</v>
      </c>
      <c r="F1822">
        <v>0.37426999999999799</v>
      </c>
      <c r="G1822">
        <v>33.851184164015599</v>
      </c>
      <c r="H1822">
        <v>0</v>
      </c>
      <c r="I1822">
        <v>0.52008350000000003</v>
      </c>
      <c r="J1822">
        <v>2011</v>
      </c>
      <c r="K1822">
        <v>3</v>
      </c>
      <c r="L1822">
        <v>4</v>
      </c>
      <c r="M1822" t="s">
        <v>91</v>
      </c>
      <c r="N1822">
        <v>0</v>
      </c>
      <c r="O1822">
        <v>0</v>
      </c>
    </row>
    <row r="1823" spans="1:15" x14ac:dyDescent="0.3">
      <c r="A1823">
        <v>1918</v>
      </c>
      <c r="B1823" s="34">
        <v>40609</v>
      </c>
      <c r="C1823">
        <v>1.39863</v>
      </c>
      <c r="D1823">
        <v>0</v>
      </c>
      <c r="F1823">
        <v>0.37426999999999799</v>
      </c>
      <c r="G1823">
        <v>33.851184164015599</v>
      </c>
      <c r="H1823">
        <v>0</v>
      </c>
      <c r="I1823">
        <v>0.5198123</v>
      </c>
      <c r="J1823">
        <v>2011</v>
      </c>
      <c r="K1823">
        <v>3</v>
      </c>
      <c r="L1823">
        <v>7</v>
      </c>
      <c r="M1823" t="s">
        <v>92</v>
      </c>
      <c r="N1823">
        <v>0</v>
      </c>
      <c r="O1823">
        <v>0</v>
      </c>
    </row>
    <row r="1824" spans="1:15" x14ac:dyDescent="0.3">
      <c r="A1824">
        <v>1919</v>
      </c>
      <c r="B1824" s="34">
        <v>40610</v>
      </c>
      <c r="C1824">
        <v>1.39682</v>
      </c>
      <c r="D1824">
        <v>0</v>
      </c>
      <c r="F1824">
        <v>0.37426999999999799</v>
      </c>
      <c r="G1824">
        <v>33.851184164015599</v>
      </c>
      <c r="H1824">
        <v>1</v>
      </c>
      <c r="I1824">
        <v>0.52006249999999998</v>
      </c>
      <c r="J1824">
        <v>2011</v>
      </c>
      <c r="K1824">
        <v>3</v>
      </c>
      <c r="L1824">
        <v>8</v>
      </c>
      <c r="M1824" t="s">
        <v>93</v>
      </c>
      <c r="N1824">
        <v>0</v>
      </c>
      <c r="O1824">
        <v>0</v>
      </c>
    </row>
    <row r="1825" spans="1:15" x14ac:dyDescent="0.3">
      <c r="A1825">
        <v>1920</v>
      </c>
      <c r="B1825" s="34">
        <v>40611</v>
      </c>
      <c r="C1825">
        <v>1.3902300000000001</v>
      </c>
      <c r="D1825">
        <v>0</v>
      </c>
      <c r="F1825">
        <v>0.37426999999999799</v>
      </c>
      <c r="G1825">
        <v>33.851184164015599</v>
      </c>
      <c r="H1825">
        <v>1</v>
      </c>
      <c r="I1825">
        <v>0.52031249999999996</v>
      </c>
      <c r="J1825">
        <v>2011</v>
      </c>
      <c r="K1825">
        <v>3</v>
      </c>
      <c r="L1825">
        <v>9</v>
      </c>
      <c r="M1825" t="s">
        <v>89</v>
      </c>
      <c r="N1825">
        <v>0</v>
      </c>
      <c r="O1825">
        <v>0</v>
      </c>
    </row>
    <row r="1826" spans="1:15" x14ac:dyDescent="0.3">
      <c r="A1826">
        <v>1921</v>
      </c>
      <c r="B1826" s="34">
        <v>40612</v>
      </c>
      <c r="C1826">
        <v>1.39045</v>
      </c>
      <c r="D1826">
        <v>0</v>
      </c>
      <c r="F1826">
        <v>0.37426999999999799</v>
      </c>
      <c r="G1826">
        <v>33.851184164015599</v>
      </c>
      <c r="H1826">
        <v>1</v>
      </c>
      <c r="I1826">
        <v>0.52056219999999997</v>
      </c>
      <c r="J1826">
        <v>2011</v>
      </c>
      <c r="K1826">
        <v>3</v>
      </c>
      <c r="L1826">
        <v>10</v>
      </c>
      <c r="M1826" t="s">
        <v>90</v>
      </c>
      <c r="N1826">
        <v>0</v>
      </c>
      <c r="O1826">
        <v>0</v>
      </c>
    </row>
    <row r="1827" spans="1:15" x14ac:dyDescent="0.3">
      <c r="A1827">
        <v>1922</v>
      </c>
      <c r="B1827" s="34">
        <v>40613</v>
      </c>
      <c r="C1827">
        <v>1.37999</v>
      </c>
      <c r="D1827">
        <v>0</v>
      </c>
      <c r="F1827">
        <v>0.37426999999999799</v>
      </c>
      <c r="G1827">
        <v>33.851184164015599</v>
      </c>
      <c r="H1827">
        <v>0</v>
      </c>
      <c r="I1827">
        <v>0.52029139999999996</v>
      </c>
      <c r="J1827">
        <v>2011</v>
      </c>
      <c r="K1827">
        <v>3</v>
      </c>
      <c r="L1827">
        <v>11</v>
      </c>
      <c r="M1827" t="s">
        <v>91</v>
      </c>
      <c r="N1827">
        <v>0</v>
      </c>
      <c r="O1827">
        <v>0</v>
      </c>
    </row>
    <row r="1828" spans="1:15" x14ac:dyDescent="0.3">
      <c r="A1828">
        <v>1923</v>
      </c>
      <c r="B1828" s="34">
        <v>40616</v>
      </c>
      <c r="C1828">
        <v>1.3901600000000001</v>
      </c>
      <c r="D1828">
        <v>0</v>
      </c>
      <c r="F1828">
        <v>0.37426999999999799</v>
      </c>
      <c r="G1828">
        <v>33.851184164015599</v>
      </c>
      <c r="H1828">
        <v>1</v>
      </c>
      <c r="I1828">
        <v>0.52054080000000003</v>
      </c>
      <c r="J1828">
        <v>2011</v>
      </c>
      <c r="K1828">
        <v>3</v>
      </c>
      <c r="L1828">
        <v>14</v>
      </c>
      <c r="M1828" t="s">
        <v>92</v>
      </c>
      <c r="N1828">
        <v>0</v>
      </c>
      <c r="O1828">
        <v>0</v>
      </c>
    </row>
    <row r="1829" spans="1:15" x14ac:dyDescent="0.3">
      <c r="A1829">
        <v>1924</v>
      </c>
      <c r="B1829" s="34">
        <v>40617</v>
      </c>
      <c r="C1829">
        <v>1.3993500000000001</v>
      </c>
      <c r="D1829">
        <v>0</v>
      </c>
      <c r="F1829">
        <v>0.37426999999999799</v>
      </c>
      <c r="G1829">
        <v>33.851184164015599</v>
      </c>
      <c r="H1829">
        <v>0</v>
      </c>
      <c r="I1829">
        <v>0.52027029999999996</v>
      </c>
      <c r="J1829">
        <v>2011</v>
      </c>
      <c r="K1829">
        <v>3</v>
      </c>
      <c r="L1829">
        <v>15</v>
      </c>
      <c r="M1829" t="s">
        <v>93</v>
      </c>
      <c r="N1829">
        <v>0</v>
      </c>
      <c r="O1829">
        <v>0</v>
      </c>
    </row>
    <row r="1830" spans="1:15" x14ac:dyDescent="0.3">
      <c r="A1830">
        <v>1925</v>
      </c>
      <c r="B1830" s="34">
        <v>40618</v>
      </c>
      <c r="C1830">
        <v>1.39714</v>
      </c>
      <c r="D1830">
        <v>0</v>
      </c>
      <c r="F1830">
        <v>0.37426999999999799</v>
      </c>
      <c r="G1830">
        <v>33.851184164015599</v>
      </c>
      <c r="H1830">
        <v>1</v>
      </c>
      <c r="I1830">
        <v>0.52051950000000002</v>
      </c>
      <c r="J1830">
        <v>2011</v>
      </c>
      <c r="K1830">
        <v>3</v>
      </c>
      <c r="L1830">
        <v>16</v>
      </c>
      <c r="M1830" t="s">
        <v>89</v>
      </c>
      <c r="N1830">
        <v>0</v>
      </c>
      <c r="O1830">
        <v>0</v>
      </c>
    </row>
    <row r="1831" spans="1:15" x14ac:dyDescent="0.3">
      <c r="A1831">
        <v>1926</v>
      </c>
      <c r="B1831" s="34">
        <v>40619</v>
      </c>
      <c r="C1831">
        <v>1.3912100000000001</v>
      </c>
      <c r="D1831">
        <v>0</v>
      </c>
      <c r="F1831">
        <v>0.37426999999999799</v>
      </c>
      <c r="G1831">
        <v>33.851184164015599</v>
      </c>
      <c r="H1831">
        <v>1</v>
      </c>
      <c r="I1831">
        <v>0.52076840000000002</v>
      </c>
      <c r="J1831">
        <v>2011</v>
      </c>
      <c r="K1831">
        <v>3</v>
      </c>
      <c r="L1831">
        <v>17</v>
      </c>
      <c r="M1831" t="s">
        <v>90</v>
      </c>
      <c r="N1831">
        <v>0</v>
      </c>
      <c r="O1831">
        <v>0</v>
      </c>
    </row>
    <row r="1832" spans="1:15" x14ac:dyDescent="0.3">
      <c r="A1832">
        <v>1927</v>
      </c>
      <c r="B1832" s="34">
        <v>40620</v>
      </c>
      <c r="C1832">
        <v>1.4015200000000001</v>
      </c>
      <c r="D1832">
        <v>0</v>
      </c>
      <c r="F1832">
        <v>0.37426999999999799</v>
      </c>
      <c r="G1832">
        <v>33.851184164015599</v>
      </c>
      <c r="H1832">
        <v>1</v>
      </c>
      <c r="I1832">
        <v>0.52101710000000001</v>
      </c>
      <c r="J1832">
        <v>2011</v>
      </c>
      <c r="K1832">
        <v>3</v>
      </c>
      <c r="L1832">
        <v>18</v>
      </c>
      <c r="M1832" t="s">
        <v>91</v>
      </c>
      <c r="N1832">
        <v>0</v>
      </c>
      <c r="O1832">
        <v>0</v>
      </c>
    </row>
    <row r="1833" spans="1:15" x14ac:dyDescent="0.3">
      <c r="A1833">
        <v>1928</v>
      </c>
      <c r="B1833" s="34">
        <v>40623</v>
      </c>
      <c r="C1833">
        <v>1.4179299999999999</v>
      </c>
      <c r="D1833">
        <v>0</v>
      </c>
      <c r="F1833">
        <v>0.37426999999999799</v>
      </c>
      <c r="G1833">
        <v>33.851184164015599</v>
      </c>
      <c r="H1833">
        <v>0</v>
      </c>
      <c r="I1833">
        <v>0.52074690000000001</v>
      </c>
      <c r="J1833">
        <v>2011</v>
      </c>
      <c r="K1833">
        <v>3</v>
      </c>
      <c r="L1833">
        <v>21</v>
      </c>
      <c r="M1833" t="s">
        <v>92</v>
      </c>
      <c r="N1833">
        <v>0</v>
      </c>
      <c r="O1833">
        <v>0</v>
      </c>
    </row>
    <row r="1834" spans="1:15" x14ac:dyDescent="0.3">
      <c r="A1834">
        <v>1929</v>
      </c>
      <c r="B1834" s="34">
        <v>40624</v>
      </c>
      <c r="C1834">
        <v>1.4213800000000001</v>
      </c>
      <c r="D1834">
        <v>0</v>
      </c>
      <c r="F1834">
        <v>0.37426999999999799</v>
      </c>
      <c r="G1834">
        <v>33.851184164015599</v>
      </c>
      <c r="H1834">
        <v>0</v>
      </c>
      <c r="I1834">
        <v>0.52047690000000002</v>
      </c>
      <c r="J1834">
        <v>2011</v>
      </c>
      <c r="K1834">
        <v>3</v>
      </c>
      <c r="L1834">
        <v>22</v>
      </c>
      <c r="M1834" t="s">
        <v>93</v>
      </c>
      <c r="N1834">
        <v>0</v>
      </c>
      <c r="O1834">
        <v>0</v>
      </c>
    </row>
    <row r="1835" spans="1:15" x14ac:dyDescent="0.3">
      <c r="A1835">
        <v>1930</v>
      </c>
      <c r="B1835" s="34">
        <v>40625</v>
      </c>
      <c r="C1835">
        <v>1.4188400000000001</v>
      </c>
      <c r="D1835">
        <v>0</v>
      </c>
      <c r="F1835">
        <v>0.37426999999999799</v>
      </c>
      <c r="G1835">
        <v>33.851184164015599</v>
      </c>
      <c r="H1835">
        <v>1</v>
      </c>
      <c r="I1835">
        <v>0.5207254</v>
      </c>
      <c r="J1835">
        <v>2011</v>
      </c>
      <c r="K1835">
        <v>3</v>
      </c>
      <c r="L1835">
        <v>23</v>
      </c>
      <c r="M1835" t="s">
        <v>89</v>
      </c>
      <c r="N1835">
        <v>0</v>
      </c>
      <c r="O1835">
        <v>0</v>
      </c>
    </row>
    <row r="1836" spans="1:15" x14ac:dyDescent="0.3">
      <c r="A1836">
        <v>1931</v>
      </c>
      <c r="B1836" s="34">
        <v>40626</v>
      </c>
      <c r="C1836">
        <v>1.40988</v>
      </c>
      <c r="D1836">
        <v>0</v>
      </c>
      <c r="F1836">
        <v>0.37426999999999799</v>
      </c>
      <c r="G1836">
        <v>33.851184164015599</v>
      </c>
      <c r="H1836">
        <v>1</v>
      </c>
      <c r="I1836">
        <v>0.52097360000000004</v>
      </c>
      <c r="J1836">
        <v>2011</v>
      </c>
      <c r="K1836">
        <v>3</v>
      </c>
      <c r="L1836">
        <v>24</v>
      </c>
      <c r="M1836" t="s">
        <v>90</v>
      </c>
      <c r="N1836">
        <v>0</v>
      </c>
      <c r="O1836">
        <v>0</v>
      </c>
    </row>
    <row r="1837" spans="1:15" x14ac:dyDescent="0.3">
      <c r="A1837">
        <v>1932</v>
      </c>
      <c r="B1837" s="34">
        <v>40627</v>
      </c>
      <c r="C1837">
        <v>1.4180200000000001</v>
      </c>
      <c r="D1837">
        <v>0</v>
      </c>
      <c r="F1837">
        <v>0.37426999999999799</v>
      </c>
      <c r="G1837">
        <v>33.851184164015599</v>
      </c>
      <c r="H1837">
        <v>1</v>
      </c>
      <c r="I1837">
        <v>0.5212215</v>
      </c>
      <c r="J1837">
        <v>2011</v>
      </c>
      <c r="K1837">
        <v>3</v>
      </c>
      <c r="L1837">
        <v>25</v>
      </c>
      <c r="M1837" t="s">
        <v>91</v>
      </c>
      <c r="N1837">
        <v>0</v>
      </c>
      <c r="O1837">
        <v>0</v>
      </c>
    </row>
    <row r="1838" spans="1:15" x14ac:dyDescent="0.3">
      <c r="A1838">
        <v>1933</v>
      </c>
      <c r="B1838" s="34">
        <v>40630</v>
      </c>
      <c r="C1838">
        <v>1.4086799999999999</v>
      </c>
      <c r="D1838">
        <v>0</v>
      </c>
      <c r="F1838">
        <v>0.37426999999999799</v>
      </c>
      <c r="G1838">
        <v>33.851184164015599</v>
      </c>
      <c r="H1838">
        <v>1</v>
      </c>
      <c r="I1838">
        <v>0.52146919999999997</v>
      </c>
      <c r="J1838">
        <v>2011</v>
      </c>
      <c r="K1838">
        <v>3</v>
      </c>
      <c r="L1838">
        <v>28</v>
      </c>
      <c r="M1838" t="s">
        <v>92</v>
      </c>
      <c r="N1838">
        <v>0</v>
      </c>
      <c r="O1838">
        <v>0</v>
      </c>
    </row>
    <row r="1839" spans="1:15" x14ac:dyDescent="0.3">
      <c r="A1839">
        <v>1934</v>
      </c>
      <c r="B1839" s="34">
        <v>40631</v>
      </c>
      <c r="C1839">
        <v>1.4081900000000001</v>
      </c>
      <c r="D1839">
        <v>0</v>
      </c>
      <c r="F1839">
        <v>0.37426999999999799</v>
      </c>
      <c r="G1839">
        <v>33.851184164015599</v>
      </c>
      <c r="H1839">
        <v>0</v>
      </c>
      <c r="I1839">
        <v>0.52119959999999999</v>
      </c>
      <c r="J1839">
        <v>2011</v>
      </c>
      <c r="K1839">
        <v>3</v>
      </c>
      <c r="L1839">
        <v>29</v>
      </c>
      <c r="M1839" t="s">
        <v>93</v>
      </c>
      <c r="N1839">
        <v>0</v>
      </c>
      <c r="O1839">
        <v>0</v>
      </c>
    </row>
    <row r="1840" spans="1:15" x14ac:dyDescent="0.3">
      <c r="A1840">
        <v>1935</v>
      </c>
      <c r="B1840" s="34">
        <v>40632</v>
      </c>
      <c r="C1840">
        <v>1.4108400000000001</v>
      </c>
      <c r="D1840">
        <v>0</v>
      </c>
      <c r="F1840">
        <v>0.37426999999999799</v>
      </c>
      <c r="G1840">
        <v>33.851184164015599</v>
      </c>
      <c r="H1840">
        <v>1</v>
      </c>
      <c r="I1840">
        <v>0.52144699999999999</v>
      </c>
      <c r="J1840">
        <v>2011</v>
      </c>
      <c r="K1840">
        <v>3</v>
      </c>
      <c r="L1840">
        <v>30</v>
      </c>
      <c r="M1840" t="s">
        <v>89</v>
      </c>
      <c r="N1840">
        <v>0</v>
      </c>
      <c r="O1840">
        <v>0</v>
      </c>
    </row>
    <row r="1841" spans="1:15" x14ac:dyDescent="0.3">
      <c r="A1841">
        <v>1936</v>
      </c>
      <c r="B1841" s="34">
        <v>40633</v>
      </c>
      <c r="C1841">
        <v>1.4125300000000001</v>
      </c>
      <c r="D1841">
        <v>0</v>
      </c>
      <c r="F1841">
        <v>0.37426999999999799</v>
      </c>
      <c r="G1841">
        <v>33.851184164015599</v>
      </c>
      <c r="H1841">
        <v>0</v>
      </c>
      <c r="I1841">
        <v>0.52117769999999997</v>
      </c>
      <c r="J1841">
        <v>2011</v>
      </c>
      <c r="K1841">
        <v>3</v>
      </c>
      <c r="L1841">
        <v>31</v>
      </c>
      <c r="M1841" t="s">
        <v>90</v>
      </c>
      <c r="N1841">
        <v>0</v>
      </c>
      <c r="O1841">
        <v>0</v>
      </c>
    </row>
    <row r="1842" spans="1:15" x14ac:dyDescent="0.3">
      <c r="A1842">
        <v>1937</v>
      </c>
      <c r="B1842" s="34">
        <v>40634</v>
      </c>
      <c r="C1842">
        <v>1.41736</v>
      </c>
      <c r="D1842">
        <v>0</v>
      </c>
      <c r="F1842">
        <v>0.37426999999999799</v>
      </c>
      <c r="G1842">
        <v>33.851184164015599</v>
      </c>
      <c r="H1842">
        <v>0</v>
      </c>
      <c r="I1842">
        <v>0.52090860000000005</v>
      </c>
      <c r="J1842">
        <v>2011</v>
      </c>
      <c r="K1842">
        <v>4</v>
      </c>
      <c r="L1842">
        <v>1</v>
      </c>
      <c r="M1842" t="s">
        <v>91</v>
      </c>
      <c r="N1842">
        <v>0</v>
      </c>
      <c r="O1842">
        <v>0</v>
      </c>
    </row>
    <row r="1843" spans="1:15" x14ac:dyDescent="0.3">
      <c r="A1843">
        <v>1938</v>
      </c>
      <c r="B1843" s="34">
        <v>40637</v>
      </c>
      <c r="C1843">
        <v>1.42344</v>
      </c>
      <c r="D1843">
        <v>0</v>
      </c>
      <c r="F1843">
        <v>0.37426999999999799</v>
      </c>
      <c r="G1843">
        <v>33.851184164015599</v>
      </c>
      <c r="H1843">
        <v>0</v>
      </c>
      <c r="I1843">
        <v>0.52063979999999999</v>
      </c>
      <c r="J1843">
        <v>2011</v>
      </c>
      <c r="K1843">
        <v>4</v>
      </c>
      <c r="L1843">
        <v>4</v>
      </c>
      <c r="M1843" t="s">
        <v>92</v>
      </c>
      <c r="N1843">
        <v>0</v>
      </c>
      <c r="O1843">
        <v>0</v>
      </c>
    </row>
    <row r="1844" spans="1:15" x14ac:dyDescent="0.3">
      <c r="A1844">
        <v>1939</v>
      </c>
      <c r="B1844" s="34">
        <v>40638</v>
      </c>
      <c r="C1844">
        <v>1.42177</v>
      </c>
      <c r="D1844">
        <v>0</v>
      </c>
      <c r="F1844">
        <v>0.37426999999999799</v>
      </c>
      <c r="G1844">
        <v>33.851184164015599</v>
      </c>
      <c r="H1844">
        <v>1</v>
      </c>
      <c r="I1844">
        <v>0.52088710000000005</v>
      </c>
      <c r="J1844">
        <v>2011</v>
      </c>
      <c r="K1844">
        <v>4</v>
      </c>
      <c r="L1844">
        <v>5</v>
      </c>
      <c r="M1844" t="s">
        <v>93</v>
      </c>
      <c r="N1844">
        <v>0</v>
      </c>
      <c r="O1844">
        <v>0</v>
      </c>
    </row>
    <row r="1845" spans="1:15" x14ac:dyDescent="0.3">
      <c r="A1845">
        <v>1940</v>
      </c>
      <c r="B1845" s="34">
        <v>40639</v>
      </c>
      <c r="C1845">
        <v>1.4218299999999999</v>
      </c>
      <c r="D1845">
        <v>0</v>
      </c>
      <c r="F1845">
        <v>0.37426999999999799</v>
      </c>
      <c r="G1845">
        <v>33.851184164015599</v>
      </c>
      <c r="H1845">
        <v>0</v>
      </c>
      <c r="I1845">
        <v>0.52061860000000004</v>
      </c>
      <c r="J1845">
        <v>2011</v>
      </c>
      <c r="K1845">
        <v>4</v>
      </c>
      <c r="L1845">
        <v>6</v>
      </c>
      <c r="M1845" t="s">
        <v>89</v>
      </c>
      <c r="N1845">
        <v>0</v>
      </c>
      <c r="O1845">
        <v>0</v>
      </c>
    </row>
    <row r="1846" spans="1:15" x14ac:dyDescent="0.3">
      <c r="A1846">
        <v>1941</v>
      </c>
      <c r="B1846" s="34">
        <v>40640</v>
      </c>
      <c r="C1846">
        <v>1.43299</v>
      </c>
      <c r="D1846">
        <v>0</v>
      </c>
      <c r="F1846">
        <v>0.37426999999999799</v>
      </c>
      <c r="G1846">
        <v>33.851184164015599</v>
      </c>
      <c r="H1846">
        <v>0</v>
      </c>
      <c r="I1846">
        <v>0.52035030000000004</v>
      </c>
      <c r="J1846">
        <v>2011</v>
      </c>
      <c r="K1846">
        <v>4</v>
      </c>
      <c r="L1846">
        <v>7</v>
      </c>
      <c r="M1846" t="s">
        <v>90</v>
      </c>
      <c r="N1846">
        <v>0</v>
      </c>
      <c r="O1846">
        <v>0</v>
      </c>
    </row>
    <row r="1847" spans="1:15" x14ac:dyDescent="0.3">
      <c r="A1847">
        <v>1942</v>
      </c>
      <c r="B1847" s="34">
        <v>40641</v>
      </c>
      <c r="C1847">
        <v>1.4303699999999999</v>
      </c>
      <c r="D1847">
        <v>0</v>
      </c>
      <c r="F1847">
        <v>0.37426999999999799</v>
      </c>
      <c r="G1847">
        <v>33.851184164015599</v>
      </c>
      <c r="H1847">
        <v>1</v>
      </c>
      <c r="I1847">
        <v>0.52059730000000004</v>
      </c>
      <c r="J1847">
        <v>2011</v>
      </c>
      <c r="K1847">
        <v>4</v>
      </c>
      <c r="L1847">
        <v>8</v>
      </c>
      <c r="M1847" t="s">
        <v>91</v>
      </c>
      <c r="N1847">
        <v>0</v>
      </c>
      <c r="O1847">
        <v>0</v>
      </c>
    </row>
    <row r="1848" spans="1:15" x14ac:dyDescent="0.3">
      <c r="A1848">
        <v>1943</v>
      </c>
      <c r="B1848" s="34">
        <v>40644</v>
      </c>
      <c r="C1848">
        <v>1.4482299999999999</v>
      </c>
      <c r="D1848">
        <v>0</v>
      </c>
      <c r="F1848">
        <v>0.37426999999999799</v>
      </c>
      <c r="G1848">
        <v>33.851184164015599</v>
      </c>
      <c r="H1848">
        <v>0</v>
      </c>
      <c r="I1848">
        <v>0.52032940000000005</v>
      </c>
      <c r="J1848">
        <v>2011</v>
      </c>
      <c r="K1848">
        <v>4</v>
      </c>
      <c r="L1848">
        <v>11</v>
      </c>
      <c r="M1848" t="s">
        <v>92</v>
      </c>
      <c r="N1848">
        <v>0</v>
      </c>
      <c r="O1848">
        <v>0</v>
      </c>
    </row>
    <row r="1849" spans="1:15" x14ac:dyDescent="0.3">
      <c r="A1849">
        <v>1944</v>
      </c>
      <c r="B1849" s="34">
        <v>40645</v>
      </c>
      <c r="C1849">
        <v>1.44313</v>
      </c>
      <c r="D1849">
        <v>0</v>
      </c>
      <c r="F1849">
        <v>0.37426999999999799</v>
      </c>
      <c r="G1849">
        <v>33.851184164015599</v>
      </c>
      <c r="H1849">
        <v>1</v>
      </c>
      <c r="I1849">
        <v>0.52057609999999999</v>
      </c>
      <c r="J1849">
        <v>2011</v>
      </c>
      <c r="K1849">
        <v>4</v>
      </c>
      <c r="L1849">
        <v>12</v>
      </c>
      <c r="M1849" t="s">
        <v>93</v>
      </c>
      <c r="N1849">
        <v>0</v>
      </c>
      <c r="O1849">
        <v>0</v>
      </c>
    </row>
    <row r="1850" spans="1:15" x14ac:dyDescent="0.3">
      <c r="A1850">
        <v>1945</v>
      </c>
      <c r="B1850" s="34">
        <v>40646</v>
      </c>
      <c r="C1850">
        <v>1.44774</v>
      </c>
      <c r="D1850">
        <v>0</v>
      </c>
      <c r="F1850">
        <v>0.37426999999999799</v>
      </c>
      <c r="G1850">
        <v>33.851184164015599</v>
      </c>
      <c r="H1850">
        <v>0</v>
      </c>
      <c r="I1850">
        <v>0.52030849999999995</v>
      </c>
      <c r="J1850">
        <v>2011</v>
      </c>
      <c r="K1850">
        <v>4</v>
      </c>
      <c r="L1850">
        <v>13</v>
      </c>
      <c r="M1850" t="s">
        <v>89</v>
      </c>
      <c r="N1850">
        <v>0</v>
      </c>
      <c r="O1850">
        <v>0</v>
      </c>
    </row>
    <row r="1851" spans="1:15" x14ac:dyDescent="0.3">
      <c r="A1851">
        <v>1946</v>
      </c>
      <c r="B1851" s="34">
        <v>40647</v>
      </c>
      <c r="C1851">
        <v>1.44404</v>
      </c>
      <c r="D1851">
        <v>0</v>
      </c>
      <c r="F1851">
        <v>0.37426999999999799</v>
      </c>
      <c r="G1851">
        <v>33.851184164015599</v>
      </c>
      <c r="H1851">
        <v>1</v>
      </c>
      <c r="I1851">
        <v>0.52055499999999999</v>
      </c>
      <c r="J1851">
        <v>2011</v>
      </c>
      <c r="K1851">
        <v>4</v>
      </c>
      <c r="L1851">
        <v>14</v>
      </c>
      <c r="M1851" t="s">
        <v>90</v>
      </c>
      <c r="N1851">
        <v>0</v>
      </c>
      <c r="O1851">
        <v>0</v>
      </c>
    </row>
    <row r="1852" spans="1:15" x14ac:dyDescent="0.3">
      <c r="A1852">
        <v>1947</v>
      </c>
      <c r="B1852" s="34">
        <v>40648</v>
      </c>
      <c r="C1852">
        <v>1.4486000000000001</v>
      </c>
      <c r="D1852">
        <v>0</v>
      </c>
      <c r="F1852">
        <v>0.37426999999999799</v>
      </c>
      <c r="G1852">
        <v>33.851184164015599</v>
      </c>
      <c r="H1852">
        <v>0</v>
      </c>
      <c r="I1852">
        <v>0.52028759999999996</v>
      </c>
      <c r="J1852">
        <v>2011</v>
      </c>
      <c r="K1852">
        <v>4</v>
      </c>
      <c r="L1852">
        <v>15</v>
      </c>
      <c r="M1852" t="s">
        <v>91</v>
      </c>
      <c r="N1852">
        <v>0</v>
      </c>
      <c r="O1852">
        <v>0</v>
      </c>
    </row>
    <row r="1853" spans="1:15" x14ac:dyDescent="0.3">
      <c r="A1853">
        <v>1948</v>
      </c>
      <c r="B1853" s="34">
        <v>40651</v>
      </c>
      <c r="C1853">
        <v>1.44285</v>
      </c>
      <c r="D1853">
        <v>0</v>
      </c>
      <c r="F1853">
        <v>0.37426999999999799</v>
      </c>
      <c r="G1853">
        <v>33.851184164015599</v>
      </c>
      <c r="H1853">
        <v>1</v>
      </c>
      <c r="I1853">
        <v>0.52053389999999999</v>
      </c>
      <c r="J1853">
        <v>2011</v>
      </c>
      <c r="K1853">
        <v>4</v>
      </c>
      <c r="L1853">
        <v>18</v>
      </c>
      <c r="M1853" t="s">
        <v>92</v>
      </c>
      <c r="N1853">
        <v>0</v>
      </c>
      <c r="O1853">
        <v>0</v>
      </c>
    </row>
    <row r="1854" spans="1:15" x14ac:dyDescent="0.3">
      <c r="A1854">
        <v>1949</v>
      </c>
      <c r="B1854" s="34">
        <v>40652</v>
      </c>
      <c r="C1854">
        <v>1.4227300000000001</v>
      </c>
      <c r="D1854">
        <v>0</v>
      </c>
      <c r="F1854">
        <v>0.37426999999999799</v>
      </c>
      <c r="G1854">
        <v>33.851184164015599</v>
      </c>
      <c r="H1854">
        <v>0</v>
      </c>
      <c r="I1854">
        <v>0.52026680000000003</v>
      </c>
      <c r="J1854">
        <v>2011</v>
      </c>
      <c r="K1854">
        <v>4</v>
      </c>
      <c r="L1854">
        <v>19</v>
      </c>
      <c r="M1854" t="s">
        <v>93</v>
      </c>
      <c r="N1854">
        <v>0</v>
      </c>
      <c r="O1854">
        <v>0</v>
      </c>
    </row>
    <row r="1855" spans="1:15" x14ac:dyDescent="0.3">
      <c r="A1855">
        <v>1950</v>
      </c>
      <c r="B1855" s="34">
        <v>40653</v>
      </c>
      <c r="C1855">
        <v>1.4330700000000001</v>
      </c>
      <c r="D1855">
        <v>0</v>
      </c>
      <c r="F1855">
        <v>0.37426999999999799</v>
      </c>
      <c r="G1855">
        <v>33.851184164015599</v>
      </c>
      <c r="H1855">
        <v>1</v>
      </c>
      <c r="I1855">
        <v>0.5205128</v>
      </c>
      <c r="J1855">
        <v>2011</v>
      </c>
      <c r="K1855">
        <v>4</v>
      </c>
      <c r="L1855">
        <v>20</v>
      </c>
      <c r="M1855" t="s">
        <v>89</v>
      </c>
      <c r="N1855">
        <v>0</v>
      </c>
      <c r="O1855">
        <v>0</v>
      </c>
    </row>
    <row r="1856" spans="1:15" x14ac:dyDescent="0.3">
      <c r="A1856">
        <v>1951</v>
      </c>
      <c r="B1856" s="34">
        <v>40654</v>
      </c>
      <c r="C1856">
        <v>1.45211</v>
      </c>
      <c r="D1856">
        <v>0</v>
      </c>
      <c r="F1856">
        <v>0.37426999999999799</v>
      </c>
      <c r="G1856">
        <v>33.851184164015599</v>
      </c>
      <c r="H1856">
        <v>1</v>
      </c>
      <c r="I1856">
        <v>0.52075859999999996</v>
      </c>
      <c r="J1856">
        <v>2011</v>
      </c>
      <c r="K1856">
        <v>4</v>
      </c>
      <c r="L1856">
        <v>21</v>
      </c>
      <c r="M1856" t="s">
        <v>90</v>
      </c>
      <c r="N1856">
        <v>0</v>
      </c>
      <c r="O1856">
        <v>0</v>
      </c>
    </row>
    <row r="1857" spans="1:15" x14ac:dyDescent="0.3">
      <c r="A1857">
        <v>1952</v>
      </c>
      <c r="B1857" s="34">
        <v>40655</v>
      </c>
      <c r="C1857">
        <v>1.4550099999999999</v>
      </c>
      <c r="D1857">
        <v>0</v>
      </c>
      <c r="F1857">
        <v>0.37426999999999799</v>
      </c>
      <c r="G1857">
        <v>33.851184164015599</v>
      </c>
      <c r="H1857">
        <v>0</v>
      </c>
      <c r="I1857">
        <v>0.52049179999999995</v>
      </c>
      <c r="J1857">
        <v>2011</v>
      </c>
      <c r="K1857">
        <v>4</v>
      </c>
      <c r="L1857">
        <v>22</v>
      </c>
      <c r="M1857" t="s">
        <v>91</v>
      </c>
      <c r="N1857">
        <v>0</v>
      </c>
      <c r="O1857">
        <v>0</v>
      </c>
    </row>
    <row r="1858" spans="1:15" x14ac:dyDescent="0.3">
      <c r="A1858">
        <v>1953</v>
      </c>
      <c r="B1858" s="34">
        <v>40658</v>
      </c>
      <c r="C1858">
        <v>1.45597</v>
      </c>
      <c r="D1858">
        <v>0</v>
      </c>
      <c r="F1858">
        <v>0.37426999999999799</v>
      </c>
      <c r="G1858">
        <v>33.851184164015599</v>
      </c>
      <c r="H1858">
        <v>0</v>
      </c>
      <c r="I1858">
        <v>0.5202253</v>
      </c>
      <c r="J1858">
        <v>2011</v>
      </c>
      <c r="K1858">
        <v>4</v>
      </c>
      <c r="L1858">
        <v>25</v>
      </c>
      <c r="M1858" t="s">
        <v>92</v>
      </c>
      <c r="N1858">
        <v>0</v>
      </c>
      <c r="O1858">
        <v>0</v>
      </c>
    </row>
    <row r="1859" spans="1:15" x14ac:dyDescent="0.3">
      <c r="A1859">
        <v>1954</v>
      </c>
      <c r="B1859" s="34">
        <v>40659</v>
      </c>
      <c r="C1859">
        <v>1.45784</v>
      </c>
      <c r="D1859">
        <v>0</v>
      </c>
      <c r="F1859">
        <v>0.37426999999999799</v>
      </c>
      <c r="G1859">
        <v>33.851184164015599</v>
      </c>
      <c r="H1859">
        <v>0</v>
      </c>
      <c r="I1859">
        <v>0.51995899999999995</v>
      </c>
      <c r="J1859">
        <v>2011</v>
      </c>
      <c r="K1859">
        <v>4</v>
      </c>
      <c r="L1859">
        <v>26</v>
      </c>
      <c r="M1859" t="s">
        <v>93</v>
      </c>
      <c r="N1859">
        <v>0</v>
      </c>
      <c r="O1859">
        <v>0</v>
      </c>
    </row>
    <row r="1860" spans="1:15" x14ac:dyDescent="0.3">
      <c r="A1860">
        <v>1955</v>
      </c>
      <c r="B1860" s="34">
        <v>40660</v>
      </c>
      <c r="C1860">
        <v>1.4646699999999999</v>
      </c>
      <c r="D1860">
        <v>0</v>
      </c>
      <c r="F1860">
        <v>0.37426999999999799</v>
      </c>
      <c r="G1860">
        <v>33.851184164015599</v>
      </c>
      <c r="H1860">
        <v>0</v>
      </c>
      <c r="I1860">
        <v>0.51969310000000002</v>
      </c>
      <c r="J1860">
        <v>2011</v>
      </c>
      <c r="K1860">
        <v>4</v>
      </c>
      <c r="L1860">
        <v>27</v>
      </c>
      <c r="M1860" t="s">
        <v>89</v>
      </c>
      <c r="N1860">
        <v>0</v>
      </c>
      <c r="O1860">
        <v>0</v>
      </c>
    </row>
    <row r="1861" spans="1:15" x14ac:dyDescent="0.3">
      <c r="A1861">
        <v>1956</v>
      </c>
      <c r="B1861" s="34">
        <v>40661</v>
      </c>
      <c r="C1861">
        <v>1.4771099999999999</v>
      </c>
      <c r="D1861">
        <v>0</v>
      </c>
      <c r="F1861">
        <v>0.37426999999999799</v>
      </c>
      <c r="G1861">
        <v>33.851184164015599</v>
      </c>
      <c r="H1861">
        <v>0</v>
      </c>
      <c r="I1861">
        <v>0.51942739999999998</v>
      </c>
      <c r="J1861">
        <v>2011</v>
      </c>
      <c r="K1861">
        <v>4</v>
      </c>
      <c r="L1861">
        <v>28</v>
      </c>
      <c r="M1861" t="s">
        <v>90</v>
      </c>
      <c r="N1861">
        <v>0</v>
      </c>
      <c r="O1861">
        <v>0</v>
      </c>
    </row>
    <row r="1862" spans="1:15" x14ac:dyDescent="0.3">
      <c r="A1862">
        <v>1957</v>
      </c>
      <c r="B1862" s="34">
        <v>40662</v>
      </c>
      <c r="C1862">
        <v>1.4823200000000001</v>
      </c>
      <c r="D1862">
        <v>0</v>
      </c>
      <c r="F1862">
        <v>0.37426999999999799</v>
      </c>
      <c r="G1862">
        <v>33.851184164015599</v>
      </c>
      <c r="H1862">
        <v>0</v>
      </c>
      <c r="I1862">
        <v>0.51916200000000001</v>
      </c>
      <c r="J1862">
        <v>2011</v>
      </c>
      <c r="K1862">
        <v>4</v>
      </c>
      <c r="L1862">
        <v>29</v>
      </c>
      <c r="M1862" t="s">
        <v>91</v>
      </c>
      <c r="N1862">
        <v>0</v>
      </c>
      <c r="O1862">
        <v>0</v>
      </c>
    </row>
    <row r="1863" spans="1:15" x14ac:dyDescent="0.3">
      <c r="A1863">
        <v>1958</v>
      </c>
      <c r="B1863" s="34">
        <v>40665</v>
      </c>
      <c r="C1863">
        <v>1.48062</v>
      </c>
      <c r="D1863">
        <v>0</v>
      </c>
      <c r="F1863">
        <v>0.37426999999999799</v>
      </c>
      <c r="G1863">
        <v>33.851184164015599</v>
      </c>
      <c r="H1863">
        <v>1</v>
      </c>
      <c r="I1863">
        <v>0.51940759999999997</v>
      </c>
      <c r="J1863">
        <v>2011</v>
      </c>
      <c r="K1863">
        <v>5</v>
      </c>
      <c r="L1863">
        <v>2</v>
      </c>
      <c r="M1863" t="s">
        <v>92</v>
      </c>
      <c r="N1863">
        <v>0</v>
      </c>
      <c r="O1863">
        <v>0</v>
      </c>
    </row>
    <row r="1864" spans="1:15" x14ac:dyDescent="0.3">
      <c r="A1864">
        <v>1959</v>
      </c>
      <c r="B1864" s="34">
        <v>40666</v>
      </c>
      <c r="C1864">
        <v>1.4821800000000001</v>
      </c>
      <c r="D1864">
        <v>0</v>
      </c>
      <c r="F1864">
        <v>0.37426999999999799</v>
      </c>
      <c r="G1864">
        <v>33.851184164015599</v>
      </c>
      <c r="H1864">
        <v>0</v>
      </c>
      <c r="I1864">
        <v>0.5191424</v>
      </c>
      <c r="J1864">
        <v>2011</v>
      </c>
      <c r="K1864">
        <v>5</v>
      </c>
      <c r="L1864">
        <v>3</v>
      </c>
      <c r="M1864" t="s">
        <v>93</v>
      </c>
      <c r="N1864">
        <v>0</v>
      </c>
      <c r="O1864">
        <v>0</v>
      </c>
    </row>
    <row r="1865" spans="1:15" x14ac:dyDescent="0.3">
      <c r="A1865">
        <v>1960</v>
      </c>
      <c r="B1865" s="34">
        <v>40667</v>
      </c>
      <c r="C1865">
        <v>1.4820500000000001</v>
      </c>
      <c r="D1865">
        <v>0</v>
      </c>
      <c r="F1865">
        <v>0.37426999999999799</v>
      </c>
      <c r="G1865">
        <v>33.851184164015599</v>
      </c>
      <c r="H1865">
        <v>1</v>
      </c>
      <c r="I1865">
        <v>0.51938779999999996</v>
      </c>
      <c r="J1865">
        <v>2011</v>
      </c>
      <c r="K1865">
        <v>5</v>
      </c>
      <c r="L1865">
        <v>4</v>
      </c>
      <c r="M1865" t="s">
        <v>89</v>
      </c>
      <c r="N1865">
        <v>0</v>
      </c>
      <c r="O1865">
        <v>0</v>
      </c>
    </row>
    <row r="1866" spans="1:15" x14ac:dyDescent="0.3">
      <c r="A1866">
        <v>1961</v>
      </c>
      <c r="B1866" s="34">
        <v>40668</v>
      </c>
      <c r="C1866">
        <v>1.48285</v>
      </c>
      <c r="D1866">
        <v>0</v>
      </c>
      <c r="F1866">
        <v>0.37426999999999799</v>
      </c>
      <c r="G1866">
        <v>33.851184164015599</v>
      </c>
      <c r="H1866">
        <v>0</v>
      </c>
      <c r="I1866">
        <v>0.51912290000000005</v>
      </c>
      <c r="J1866">
        <v>2011</v>
      </c>
      <c r="K1866">
        <v>5</v>
      </c>
      <c r="L1866">
        <v>5</v>
      </c>
      <c r="M1866" t="s">
        <v>90</v>
      </c>
      <c r="N1866">
        <v>0</v>
      </c>
      <c r="O1866">
        <v>0</v>
      </c>
    </row>
    <row r="1867" spans="1:15" x14ac:dyDescent="0.3">
      <c r="A1867">
        <v>1962</v>
      </c>
      <c r="B1867" s="34">
        <v>40669</v>
      </c>
      <c r="C1867">
        <v>1.4540900000000001</v>
      </c>
      <c r="D1867">
        <v>0</v>
      </c>
      <c r="F1867">
        <v>0.37426999999999799</v>
      </c>
      <c r="G1867">
        <v>33.851184164015599</v>
      </c>
      <c r="H1867">
        <v>1</v>
      </c>
      <c r="I1867">
        <v>0.51936800000000005</v>
      </c>
      <c r="J1867">
        <v>2011</v>
      </c>
      <c r="K1867">
        <v>5</v>
      </c>
      <c r="L1867">
        <v>6</v>
      </c>
      <c r="M1867" t="s">
        <v>91</v>
      </c>
      <c r="N1867">
        <v>0</v>
      </c>
      <c r="O1867">
        <v>0</v>
      </c>
    </row>
    <row r="1868" spans="1:15" x14ac:dyDescent="0.3">
      <c r="A1868">
        <v>1963</v>
      </c>
      <c r="B1868" s="34">
        <v>40672</v>
      </c>
      <c r="C1868">
        <v>1.4314899999999999</v>
      </c>
      <c r="D1868">
        <v>0</v>
      </c>
      <c r="F1868">
        <v>0.37426999999999799</v>
      </c>
      <c r="G1868">
        <v>33.851184164015599</v>
      </c>
      <c r="H1868">
        <v>0</v>
      </c>
      <c r="I1868">
        <v>0.51910339999999999</v>
      </c>
      <c r="J1868">
        <v>2011</v>
      </c>
      <c r="K1868">
        <v>5</v>
      </c>
      <c r="L1868">
        <v>9</v>
      </c>
      <c r="M1868" t="s">
        <v>92</v>
      </c>
      <c r="N1868">
        <v>0</v>
      </c>
      <c r="O1868">
        <v>0</v>
      </c>
    </row>
    <row r="1869" spans="1:15" x14ac:dyDescent="0.3">
      <c r="A1869">
        <v>1964</v>
      </c>
      <c r="B1869" s="34">
        <v>40673</v>
      </c>
      <c r="C1869">
        <v>1.43567</v>
      </c>
      <c r="D1869">
        <v>0</v>
      </c>
      <c r="F1869">
        <v>0.37426999999999799</v>
      </c>
      <c r="G1869">
        <v>33.851184164015599</v>
      </c>
      <c r="H1869">
        <v>1</v>
      </c>
      <c r="I1869">
        <v>0.51934829999999998</v>
      </c>
      <c r="J1869">
        <v>2011</v>
      </c>
      <c r="K1869">
        <v>5</v>
      </c>
      <c r="L1869">
        <v>10</v>
      </c>
      <c r="M1869" t="s">
        <v>93</v>
      </c>
      <c r="N1869">
        <v>0</v>
      </c>
      <c r="O1869">
        <v>0</v>
      </c>
    </row>
    <row r="1870" spans="1:15" x14ac:dyDescent="0.3">
      <c r="A1870">
        <v>1965</v>
      </c>
      <c r="B1870" s="34">
        <v>40674</v>
      </c>
      <c r="C1870">
        <v>1.4410099999999999</v>
      </c>
      <c r="D1870">
        <v>0</v>
      </c>
      <c r="F1870">
        <v>0.37426999999999799</v>
      </c>
      <c r="G1870">
        <v>33.851184164015599</v>
      </c>
      <c r="H1870">
        <v>1</v>
      </c>
      <c r="I1870">
        <v>0.51959290000000002</v>
      </c>
      <c r="J1870">
        <v>2011</v>
      </c>
      <c r="K1870">
        <v>5</v>
      </c>
      <c r="L1870">
        <v>11</v>
      </c>
      <c r="M1870" t="s">
        <v>89</v>
      </c>
      <c r="N1870">
        <v>0</v>
      </c>
      <c r="O1870">
        <v>0</v>
      </c>
    </row>
    <row r="1871" spans="1:15" x14ac:dyDescent="0.3">
      <c r="A1871">
        <v>1966</v>
      </c>
      <c r="B1871" s="34">
        <v>40675</v>
      </c>
      <c r="C1871">
        <v>1.41997</v>
      </c>
      <c r="D1871">
        <v>0</v>
      </c>
      <c r="F1871">
        <v>0.37426999999999799</v>
      </c>
      <c r="G1871">
        <v>33.851184164015599</v>
      </c>
      <c r="H1871">
        <v>1</v>
      </c>
      <c r="I1871">
        <v>0.51983729999999995</v>
      </c>
      <c r="J1871">
        <v>2011</v>
      </c>
      <c r="K1871">
        <v>5</v>
      </c>
      <c r="L1871">
        <v>12</v>
      </c>
      <c r="M1871" t="s">
        <v>90</v>
      </c>
      <c r="N1871">
        <v>0</v>
      </c>
      <c r="O1871">
        <v>0</v>
      </c>
    </row>
    <row r="1872" spans="1:15" x14ac:dyDescent="0.3">
      <c r="A1872">
        <v>1967</v>
      </c>
      <c r="B1872" s="34">
        <v>40676</v>
      </c>
      <c r="C1872">
        <v>1.4240200000000001</v>
      </c>
      <c r="D1872">
        <v>0</v>
      </c>
      <c r="F1872">
        <v>0.37426999999999799</v>
      </c>
      <c r="G1872">
        <v>33.851184164015599</v>
      </c>
      <c r="H1872">
        <v>1</v>
      </c>
      <c r="I1872">
        <v>0.52008129999999997</v>
      </c>
      <c r="J1872">
        <v>2011</v>
      </c>
      <c r="K1872">
        <v>5</v>
      </c>
      <c r="L1872">
        <v>13</v>
      </c>
      <c r="M1872" t="s">
        <v>91</v>
      </c>
      <c r="N1872">
        <v>0</v>
      </c>
      <c r="O1872">
        <v>0</v>
      </c>
    </row>
    <row r="1873" spans="1:15" x14ac:dyDescent="0.3">
      <c r="A1873">
        <v>1968</v>
      </c>
      <c r="B1873" s="34">
        <v>40679</v>
      </c>
      <c r="C1873">
        <v>1.4117</v>
      </c>
      <c r="D1873">
        <v>0</v>
      </c>
      <c r="F1873">
        <v>0.37426999999999799</v>
      </c>
      <c r="G1873">
        <v>33.851184164015599</v>
      </c>
      <c r="H1873">
        <v>1</v>
      </c>
      <c r="I1873">
        <v>0.52032520000000004</v>
      </c>
      <c r="J1873">
        <v>2011</v>
      </c>
      <c r="K1873">
        <v>5</v>
      </c>
      <c r="L1873">
        <v>16</v>
      </c>
      <c r="M1873" t="s">
        <v>92</v>
      </c>
      <c r="N1873">
        <v>0</v>
      </c>
      <c r="O1873">
        <v>0</v>
      </c>
    </row>
    <row r="1874" spans="1:15" x14ac:dyDescent="0.3">
      <c r="A1874">
        <v>1969</v>
      </c>
      <c r="B1874" s="34">
        <v>40680</v>
      </c>
      <c r="C1874">
        <v>1.41604</v>
      </c>
      <c r="D1874">
        <v>0</v>
      </c>
      <c r="F1874">
        <v>0.37426999999999799</v>
      </c>
      <c r="G1874">
        <v>33.851184164015599</v>
      </c>
      <c r="H1874">
        <v>1</v>
      </c>
      <c r="I1874">
        <v>0.52056880000000005</v>
      </c>
      <c r="J1874">
        <v>2011</v>
      </c>
      <c r="K1874">
        <v>5</v>
      </c>
      <c r="L1874">
        <v>17</v>
      </c>
      <c r="M1874" t="s">
        <v>93</v>
      </c>
      <c r="N1874">
        <v>0</v>
      </c>
      <c r="O1874">
        <v>0</v>
      </c>
    </row>
    <row r="1875" spans="1:15" x14ac:dyDescent="0.3">
      <c r="A1875">
        <v>1970</v>
      </c>
      <c r="B1875" s="34">
        <v>40681</v>
      </c>
      <c r="C1875">
        <v>1.42354</v>
      </c>
      <c r="D1875">
        <v>0</v>
      </c>
      <c r="F1875">
        <v>0.37426999999999799</v>
      </c>
      <c r="G1875">
        <v>33.851184164015599</v>
      </c>
      <c r="H1875">
        <v>1</v>
      </c>
      <c r="I1875">
        <v>0.52081219999999995</v>
      </c>
      <c r="J1875">
        <v>2011</v>
      </c>
      <c r="K1875">
        <v>5</v>
      </c>
      <c r="L1875">
        <v>18</v>
      </c>
      <c r="M1875" t="s">
        <v>89</v>
      </c>
      <c r="N1875">
        <v>0</v>
      </c>
      <c r="O1875">
        <v>0</v>
      </c>
    </row>
    <row r="1876" spans="1:15" x14ac:dyDescent="0.3">
      <c r="A1876">
        <v>1971</v>
      </c>
      <c r="B1876" s="34">
        <v>40682</v>
      </c>
      <c r="C1876">
        <v>1.4250400000000001</v>
      </c>
      <c r="D1876">
        <v>0</v>
      </c>
      <c r="F1876">
        <v>0.37426999999999799</v>
      </c>
      <c r="G1876">
        <v>33.851184164015599</v>
      </c>
      <c r="H1876">
        <v>0</v>
      </c>
      <c r="I1876">
        <v>0.52054789999999995</v>
      </c>
      <c r="J1876">
        <v>2011</v>
      </c>
      <c r="K1876">
        <v>5</v>
      </c>
      <c r="L1876">
        <v>19</v>
      </c>
      <c r="M1876" t="s">
        <v>90</v>
      </c>
      <c r="N1876">
        <v>0</v>
      </c>
      <c r="O1876">
        <v>0</v>
      </c>
    </row>
    <row r="1877" spans="1:15" x14ac:dyDescent="0.3">
      <c r="A1877">
        <v>1972</v>
      </c>
      <c r="B1877" s="34">
        <v>40683</v>
      </c>
      <c r="C1877">
        <v>1.4308000000000001</v>
      </c>
      <c r="D1877">
        <v>0</v>
      </c>
      <c r="F1877">
        <v>0.37426999999999799</v>
      </c>
      <c r="G1877">
        <v>33.851184164015599</v>
      </c>
      <c r="H1877">
        <v>0</v>
      </c>
      <c r="I1877">
        <v>0.52028399999999997</v>
      </c>
      <c r="J1877">
        <v>2011</v>
      </c>
      <c r="K1877">
        <v>5</v>
      </c>
      <c r="L1877">
        <v>20</v>
      </c>
      <c r="M1877" t="s">
        <v>91</v>
      </c>
      <c r="N1877">
        <v>0</v>
      </c>
      <c r="O1877">
        <v>0</v>
      </c>
    </row>
    <row r="1878" spans="1:15" x14ac:dyDescent="0.3">
      <c r="A1878">
        <v>1973</v>
      </c>
      <c r="B1878" s="34">
        <v>40686</v>
      </c>
      <c r="C1878">
        <v>1.4157299999999999</v>
      </c>
      <c r="D1878">
        <v>0</v>
      </c>
      <c r="F1878">
        <v>0.37426999999999799</v>
      </c>
      <c r="G1878">
        <v>33.851184164015599</v>
      </c>
      <c r="H1878">
        <v>1</v>
      </c>
      <c r="I1878">
        <v>0.52052710000000002</v>
      </c>
      <c r="J1878">
        <v>2011</v>
      </c>
      <c r="K1878">
        <v>5</v>
      </c>
      <c r="L1878">
        <v>23</v>
      </c>
      <c r="M1878" t="s">
        <v>92</v>
      </c>
      <c r="N1878">
        <v>0</v>
      </c>
      <c r="O1878">
        <v>0</v>
      </c>
    </row>
    <row r="1879" spans="1:15" x14ac:dyDescent="0.3">
      <c r="A1879">
        <v>1974</v>
      </c>
      <c r="B1879" s="34">
        <v>40687</v>
      </c>
      <c r="C1879">
        <v>1.40465</v>
      </c>
      <c r="D1879">
        <v>0</v>
      </c>
      <c r="F1879">
        <v>0.37426999999999799</v>
      </c>
      <c r="G1879">
        <v>33.851184164015599</v>
      </c>
      <c r="H1879">
        <v>0</v>
      </c>
      <c r="I1879">
        <v>0.52026340000000004</v>
      </c>
      <c r="J1879">
        <v>2011</v>
      </c>
      <c r="K1879">
        <v>5</v>
      </c>
      <c r="L1879">
        <v>24</v>
      </c>
      <c r="M1879" t="s">
        <v>93</v>
      </c>
      <c r="N1879">
        <v>0</v>
      </c>
      <c r="O1879">
        <v>0</v>
      </c>
    </row>
    <row r="1880" spans="1:15" x14ac:dyDescent="0.3">
      <c r="A1880">
        <v>1975</v>
      </c>
      <c r="B1880" s="34">
        <v>40688</v>
      </c>
      <c r="C1880">
        <v>1.41022</v>
      </c>
      <c r="D1880">
        <v>0</v>
      </c>
      <c r="F1880">
        <v>0.37426999999999799</v>
      </c>
      <c r="G1880">
        <v>33.851184164015599</v>
      </c>
      <c r="H1880">
        <v>1</v>
      </c>
      <c r="I1880">
        <v>0.52050629999999998</v>
      </c>
      <c r="J1880">
        <v>2011</v>
      </c>
      <c r="K1880">
        <v>5</v>
      </c>
      <c r="L1880">
        <v>25</v>
      </c>
      <c r="M1880" t="s">
        <v>89</v>
      </c>
      <c r="N1880">
        <v>0</v>
      </c>
      <c r="O1880">
        <v>0</v>
      </c>
    </row>
    <row r="1881" spans="1:15" x14ac:dyDescent="0.3">
      <c r="A1881">
        <v>1976</v>
      </c>
      <c r="B1881" s="34">
        <v>40689</v>
      </c>
      <c r="C1881">
        <v>1.4081399999999999</v>
      </c>
      <c r="D1881">
        <v>0</v>
      </c>
      <c r="F1881">
        <v>0.37426999999999799</v>
      </c>
      <c r="G1881">
        <v>33.851184164015599</v>
      </c>
      <c r="H1881">
        <v>0</v>
      </c>
      <c r="I1881">
        <v>0.52024289999999995</v>
      </c>
      <c r="J1881">
        <v>2011</v>
      </c>
      <c r="K1881">
        <v>5</v>
      </c>
      <c r="L1881">
        <v>26</v>
      </c>
      <c r="M1881" t="s">
        <v>90</v>
      </c>
      <c r="N1881">
        <v>0</v>
      </c>
      <c r="O1881">
        <v>0</v>
      </c>
    </row>
    <row r="1882" spans="1:15" x14ac:dyDescent="0.3">
      <c r="A1882">
        <v>1977</v>
      </c>
      <c r="B1882" s="34">
        <v>40690</v>
      </c>
      <c r="C1882">
        <v>1.41347</v>
      </c>
      <c r="D1882">
        <v>0</v>
      </c>
      <c r="F1882">
        <v>0.37426999999999799</v>
      </c>
      <c r="G1882">
        <v>33.851184164015599</v>
      </c>
      <c r="H1882">
        <v>1</v>
      </c>
      <c r="I1882">
        <v>0.52048559999999999</v>
      </c>
      <c r="J1882">
        <v>2011</v>
      </c>
      <c r="K1882">
        <v>5</v>
      </c>
      <c r="L1882">
        <v>27</v>
      </c>
      <c r="M1882" t="s">
        <v>91</v>
      </c>
      <c r="N1882">
        <v>0</v>
      </c>
      <c r="O1882">
        <v>0</v>
      </c>
    </row>
    <row r="1883" spans="1:15" x14ac:dyDescent="0.3">
      <c r="A1883">
        <v>1978</v>
      </c>
      <c r="B1883" s="34">
        <v>40693</v>
      </c>
      <c r="C1883">
        <v>1.4317299999999999</v>
      </c>
      <c r="D1883">
        <v>0</v>
      </c>
      <c r="F1883">
        <v>0.37426999999999799</v>
      </c>
      <c r="G1883">
        <v>33.851184164015599</v>
      </c>
      <c r="H1883">
        <v>0</v>
      </c>
      <c r="I1883">
        <v>0.52022239999999997</v>
      </c>
      <c r="J1883">
        <v>2011</v>
      </c>
      <c r="K1883">
        <v>5</v>
      </c>
      <c r="L1883">
        <v>30</v>
      </c>
      <c r="M1883" t="s">
        <v>92</v>
      </c>
      <c r="N1883">
        <v>0</v>
      </c>
      <c r="O1883">
        <v>0</v>
      </c>
    </row>
    <row r="1884" spans="1:15" x14ac:dyDescent="0.3">
      <c r="A1884">
        <v>1979</v>
      </c>
      <c r="B1884" s="34">
        <v>40694</v>
      </c>
      <c r="C1884">
        <v>1.4285699999999999</v>
      </c>
      <c r="D1884">
        <v>0</v>
      </c>
      <c r="F1884">
        <v>0.37426999999999799</v>
      </c>
      <c r="G1884">
        <v>33.851184164015599</v>
      </c>
      <c r="H1884">
        <v>1</v>
      </c>
      <c r="I1884">
        <v>0.52046490000000001</v>
      </c>
      <c r="J1884">
        <v>2011</v>
      </c>
      <c r="K1884">
        <v>5</v>
      </c>
      <c r="L1884">
        <v>31</v>
      </c>
      <c r="M1884" t="s">
        <v>93</v>
      </c>
      <c r="N1884">
        <v>0</v>
      </c>
      <c r="O1884">
        <v>0</v>
      </c>
    </row>
    <row r="1885" spans="1:15" x14ac:dyDescent="0.3">
      <c r="A1885">
        <v>1980</v>
      </c>
      <c r="B1885" s="34">
        <v>40695</v>
      </c>
      <c r="C1885">
        <v>1.4394499999999999</v>
      </c>
      <c r="D1885">
        <v>0</v>
      </c>
      <c r="F1885">
        <v>0.37426999999999799</v>
      </c>
      <c r="G1885">
        <v>33.851184164015599</v>
      </c>
      <c r="H1885">
        <v>0</v>
      </c>
      <c r="I1885">
        <v>0.52020200000000005</v>
      </c>
      <c r="J1885">
        <v>2011</v>
      </c>
      <c r="K1885">
        <v>6</v>
      </c>
      <c r="L1885">
        <v>1</v>
      </c>
      <c r="M1885" t="s">
        <v>89</v>
      </c>
      <c r="N1885">
        <v>0</v>
      </c>
      <c r="O1885">
        <v>0</v>
      </c>
    </row>
    <row r="1886" spans="1:15" x14ac:dyDescent="0.3">
      <c r="A1886">
        <v>1981</v>
      </c>
      <c r="B1886" s="34">
        <v>40696</v>
      </c>
      <c r="C1886">
        <v>1.4329400000000001</v>
      </c>
      <c r="D1886">
        <v>0</v>
      </c>
      <c r="F1886">
        <v>0.37426999999999799</v>
      </c>
      <c r="G1886">
        <v>33.851184164015599</v>
      </c>
      <c r="H1886">
        <v>1</v>
      </c>
      <c r="I1886">
        <v>0.52044420000000002</v>
      </c>
      <c r="J1886">
        <v>2011</v>
      </c>
      <c r="K1886">
        <v>6</v>
      </c>
      <c r="L1886">
        <v>2</v>
      </c>
      <c r="M1886" t="s">
        <v>90</v>
      </c>
      <c r="N1886">
        <v>0</v>
      </c>
      <c r="O1886">
        <v>0</v>
      </c>
    </row>
    <row r="1887" spans="1:15" x14ac:dyDescent="0.3">
      <c r="A1887">
        <v>1982</v>
      </c>
      <c r="B1887" s="34">
        <v>40697</v>
      </c>
      <c r="C1887">
        <v>1.44906</v>
      </c>
      <c r="D1887">
        <v>0</v>
      </c>
      <c r="F1887">
        <v>0.37426999999999799</v>
      </c>
      <c r="G1887">
        <v>33.851184164015599</v>
      </c>
      <c r="H1887">
        <v>0</v>
      </c>
      <c r="I1887">
        <v>0.52018169999999997</v>
      </c>
      <c r="J1887">
        <v>2011</v>
      </c>
      <c r="K1887">
        <v>6</v>
      </c>
      <c r="L1887">
        <v>3</v>
      </c>
      <c r="M1887" t="s">
        <v>91</v>
      </c>
      <c r="N1887">
        <v>0</v>
      </c>
      <c r="O1887">
        <v>0</v>
      </c>
    </row>
    <row r="1888" spans="1:15" x14ac:dyDescent="0.3">
      <c r="A1888">
        <v>1983</v>
      </c>
      <c r="B1888" s="34">
        <v>40700</v>
      </c>
      <c r="C1888">
        <v>1.4632700000000001</v>
      </c>
      <c r="D1888">
        <v>0</v>
      </c>
      <c r="F1888">
        <v>0.37426999999999799</v>
      </c>
      <c r="G1888">
        <v>33.851184164015599</v>
      </c>
      <c r="H1888">
        <v>0</v>
      </c>
      <c r="I1888">
        <v>0.51991929999999997</v>
      </c>
      <c r="J1888">
        <v>2011</v>
      </c>
      <c r="K1888">
        <v>6</v>
      </c>
      <c r="L1888">
        <v>6</v>
      </c>
      <c r="M1888" t="s">
        <v>92</v>
      </c>
      <c r="N1888">
        <v>0</v>
      </c>
      <c r="O1888">
        <v>0</v>
      </c>
    </row>
    <row r="1889" spans="1:15" x14ac:dyDescent="0.3">
      <c r="A1889">
        <v>1984</v>
      </c>
      <c r="B1889" s="34">
        <v>40701</v>
      </c>
      <c r="C1889">
        <v>1.45777</v>
      </c>
      <c r="D1889">
        <v>0</v>
      </c>
      <c r="F1889">
        <v>0.37426999999999799</v>
      </c>
      <c r="G1889">
        <v>33.851184164015599</v>
      </c>
      <c r="H1889">
        <v>1</v>
      </c>
      <c r="I1889">
        <v>0.52016130000000005</v>
      </c>
      <c r="J1889">
        <v>2011</v>
      </c>
      <c r="K1889">
        <v>6</v>
      </c>
      <c r="L1889">
        <v>7</v>
      </c>
      <c r="M1889" t="s">
        <v>93</v>
      </c>
      <c r="N1889">
        <v>0</v>
      </c>
      <c r="O1889">
        <v>0</v>
      </c>
    </row>
    <row r="1890" spans="1:15" x14ac:dyDescent="0.3">
      <c r="A1890">
        <v>1985</v>
      </c>
      <c r="B1890" s="34">
        <v>40702</v>
      </c>
      <c r="C1890">
        <v>1.46871</v>
      </c>
      <c r="D1890">
        <v>0</v>
      </c>
      <c r="F1890">
        <v>0.37426999999999799</v>
      </c>
      <c r="G1890">
        <v>33.851184164015599</v>
      </c>
      <c r="H1890">
        <v>0</v>
      </c>
      <c r="I1890">
        <v>0.51989920000000001</v>
      </c>
      <c r="J1890">
        <v>2011</v>
      </c>
      <c r="K1890">
        <v>6</v>
      </c>
      <c r="L1890">
        <v>8</v>
      </c>
      <c r="M1890" t="s">
        <v>89</v>
      </c>
      <c r="N1890">
        <v>0</v>
      </c>
      <c r="O1890">
        <v>0</v>
      </c>
    </row>
    <row r="1891" spans="1:15" x14ac:dyDescent="0.3">
      <c r="A1891">
        <v>1986</v>
      </c>
      <c r="B1891" s="34">
        <v>40703</v>
      </c>
      <c r="C1891">
        <v>1.4577500000000001</v>
      </c>
      <c r="D1891">
        <v>0</v>
      </c>
      <c r="F1891">
        <v>0.37426999999999799</v>
      </c>
      <c r="G1891">
        <v>33.851184164015599</v>
      </c>
      <c r="H1891">
        <v>1</v>
      </c>
      <c r="I1891">
        <v>0.52014099999999996</v>
      </c>
      <c r="J1891">
        <v>2011</v>
      </c>
      <c r="K1891">
        <v>6</v>
      </c>
      <c r="L1891">
        <v>9</v>
      </c>
      <c r="M1891" t="s">
        <v>90</v>
      </c>
      <c r="N1891">
        <v>0</v>
      </c>
      <c r="O1891">
        <v>0</v>
      </c>
    </row>
    <row r="1892" spans="1:15" x14ac:dyDescent="0.3">
      <c r="A1892">
        <v>1987</v>
      </c>
      <c r="B1892" s="34">
        <v>40704</v>
      </c>
      <c r="C1892">
        <v>1.4511799999999999</v>
      </c>
      <c r="D1892">
        <v>0</v>
      </c>
      <c r="F1892">
        <v>0.37426999999999799</v>
      </c>
      <c r="G1892">
        <v>33.851184164015599</v>
      </c>
      <c r="H1892">
        <v>0</v>
      </c>
      <c r="I1892">
        <v>0.51987919999999999</v>
      </c>
      <c r="J1892">
        <v>2011</v>
      </c>
      <c r="K1892">
        <v>6</v>
      </c>
      <c r="L1892">
        <v>10</v>
      </c>
      <c r="M1892" t="s">
        <v>91</v>
      </c>
      <c r="N1892">
        <v>0</v>
      </c>
      <c r="O1892">
        <v>0</v>
      </c>
    </row>
    <row r="1893" spans="1:15" x14ac:dyDescent="0.3">
      <c r="A1893">
        <v>1988</v>
      </c>
      <c r="B1893" s="34">
        <v>40707</v>
      </c>
      <c r="C1893">
        <v>1.43458</v>
      </c>
      <c r="D1893">
        <v>0</v>
      </c>
      <c r="F1893">
        <v>0.37426999999999799</v>
      </c>
      <c r="G1893">
        <v>33.851184164015599</v>
      </c>
      <c r="H1893">
        <v>0</v>
      </c>
      <c r="I1893">
        <v>0.51961769999999996</v>
      </c>
      <c r="J1893">
        <v>2011</v>
      </c>
      <c r="K1893">
        <v>6</v>
      </c>
      <c r="L1893">
        <v>13</v>
      </c>
      <c r="M1893" t="s">
        <v>92</v>
      </c>
      <c r="N1893">
        <v>0</v>
      </c>
      <c r="O1893">
        <v>0</v>
      </c>
    </row>
    <row r="1894" spans="1:15" x14ac:dyDescent="0.3">
      <c r="A1894">
        <v>1989</v>
      </c>
      <c r="B1894" s="34">
        <v>40708</v>
      </c>
      <c r="C1894">
        <v>1.44157</v>
      </c>
      <c r="D1894">
        <v>0</v>
      </c>
      <c r="F1894">
        <v>0.37426999999999799</v>
      </c>
      <c r="G1894">
        <v>33.851184164015599</v>
      </c>
      <c r="H1894">
        <v>1</v>
      </c>
      <c r="I1894">
        <v>0.51985930000000002</v>
      </c>
      <c r="J1894">
        <v>2011</v>
      </c>
      <c r="K1894">
        <v>6</v>
      </c>
      <c r="L1894">
        <v>14</v>
      </c>
      <c r="M1894" t="s">
        <v>93</v>
      </c>
      <c r="N1894">
        <v>0</v>
      </c>
      <c r="O1894">
        <v>0</v>
      </c>
    </row>
    <row r="1895" spans="1:15" x14ac:dyDescent="0.3">
      <c r="A1895">
        <v>1990</v>
      </c>
      <c r="B1895" s="34">
        <v>40709</v>
      </c>
      <c r="C1895">
        <v>1.44425</v>
      </c>
      <c r="D1895">
        <v>0</v>
      </c>
      <c r="F1895">
        <v>0.37426999999999799</v>
      </c>
      <c r="G1895">
        <v>33.851184164015599</v>
      </c>
      <c r="H1895">
        <v>1</v>
      </c>
      <c r="I1895">
        <v>0.52010049999999997</v>
      </c>
      <c r="J1895">
        <v>2011</v>
      </c>
      <c r="K1895">
        <v>6</v>
      </c>
      <c r="L1895">
        <v>15</v>
      </c>
      <c r="M1895" t="s">
        <v>89</v>
      </c>
      <c r="N1895">
        <v>0</v>
      </c>
      <c r="O1895">
        <v>0</v>
      </c>
    </row>
    <row r="1896" spans="1:15" x14ac:dyDescent="0.3">
      <c r="A1896">
        <v>1991</v>
      </c>
      <c r="B1896" s="34">
        <v>40710</v>
      </c>
      <c r="C1896">
        <v>1.41622</v>
      </c>
      <c r="D1896">
        <v>0</v>
      </c>
      <c r="F1896">
        <v>0.37426999999999799</v>
      </c>
      <c r="G1896">
        <v>33.851184164015599</v>
      </c>
      <c r="H1896">
        <v>1</v>
      </c>
      <c r="I1896">
        <v>0.52034150000000001</v>
      </c>
      <c r="J1896">
        <v>2011</v>
      </c>
      <c r="K1896">
        <v>6</v>
      </c>
      <c r="L1896">
        <v>16</v>
      </c>
      <c r="M1896" t="s">
        <v>90</v>
      </c>
      <c r="N1896">
        <v>0</v>
      </c>
      <c r="O1896">
        <v>0</v>
      </c>
    </row>
    <row r="1897" spans="1:15" x14ac:dyDescent="0.3">
      <c r="A1897">
        <v>1992</v>
      </c>
      <c r="B1897" s="34">
        <v>40711</v>
      </c>
      <c r="C1897">
        <v>1.4214899999999999</v>
      </c>
      <c r="D1897">
        <v>0</v>
      </c>
      <c r="F1897">
        <v>0.37426999999999799</v>
      </c>
      <c r="G1897">
        <v>33.851184164015599</v>
      </c>
      <c r="H1897">
        <v>1</v>
      </c>
      <c r="I1897">
        <v>0.52058230000000005</v>
      </c>
      <c r="J1897">
        <v>2011</v>
      </c>
      <c r="K1897">
        <v>6</v>
      </c>
      <c r="L1897">
        <v>17</v>
      </c>
      <c r="M1897" t="s">
        <v>91</v>
      </c>
      <c r="N1897">
        <v>0</v>
      </c>
      <c r="O1897">
        <v>0</v>
      </c>
    </row>
    <row r="1898" spans="1:15" x14ac:dyDescent="0.3">
      <c r="A1898">
        <v>1993</v>
      </c>
      <c r="B1898" s="34">
        <v>40714</v>
      </c>
      <c r="C1898">
        <v>1.42858</v>
      </c>
      <c r="D1898">
        <v>0</v>
      </c>
      <c r="F1898">
        <v>0.37426999999999799</v>
      </c>
      <c r="G1898">
        <v>33.851184164015599</v>
      </c>
      <c r="H1898">
        <v>1</v>
      </c>
      <c r="I1898">
        <v>0.52082289999999998</v>
      </c>
      <c r="J1898">
        <v>2011</v>
      </c>
      <c r="K1898">
        <v>6</v>
      </c>
      <c r="L1898">
        <v>20</v>
      </c>
      <c r="M1898" t="s">
        <v>92</v>
      </c>
      <c r="N1898">
        <v>0</v>
      </c>
      <c r="O1898">
        <v>0</v>
      </c>
    </row>
    <row r="1899" spans="1:15" x14ac:dyDescent="0.3">
      <c r="A1899">
        <v>1994</v>
      </c>
      <c r="B1899" s="34">
        <v>40715</v>
      </c>
      <c r="C1899">
        <v>1.4307799999999999</v>
      </c>
      <c r="D1899">
        <v>0</v>
      </c>
      <c r="F1899">
        <v>0.37426999999999799</v>
      </c>
      <c r="G1899">
        <v>33.851184164015599</v>
      </c>
      <c r="H1899">
        <v>0</v>
      </c>
      <c r="I1899">
        <v>0.52056170000000002</v>
      </c>
      <c r="J1899">
        <v>2011</v>
      </c>
      <c r="K1899">
        <v>6</v>
      </c>
      <c r="L1899">
        <v>21</v>
      </c>
      <c r="M1899" t="s">
        <v>93</v>
      </c>
      <c r="N1899">
        <v>0</v>
      </c>
      <c r="O1899">
        <v>0</v>
      </c>
    </row>
    <row r="1900" spans="1:15" x14ac:dyDescent="0.3">
      <c r="A1900">
        <v>1995</v>
      </c>
      <c r="B1900" s="34">
        <v>40716</v>
      </c>
      <c r="C1900">
        <v>1.43977</v>
      </c>
      <c r="D1900">
        <v>0</v>
      </c>
      <c r="F1900">
        <v>0.37426999999999799</v>
      </c>
      <c r="G1900">
        <v>33.851184164015599</v>
      </c>
      <c r="H1900">
        <v>0</v>
      </c>
      <c r="I1900">
        <v>0.52030069999999995</v>
      </c>
      <c r="J1900">
        <v>2011</v>
      </c>
      <c r="K1900">
        <v>6</v>
      </c>
      <c r="L1900">
        <v>22</v>
      </c>
      <c r="M1900" t="s">
        <v>89</v>
      </c>
      <c r="N1900">
        <v>0</v>
      </c>
      <c r="O1900">
        <v>0</v>
      </c>
    </row>
    <row r="1901" spans="1:15" x14ac:dyDescent="0.3">
      <c r="A1901">
        <v>1996</v>
      </c>
      <c r="B1901" s="34">
        <v>40717</v>
      </c>
      <c r="C1901">
        <v>1.4335</v>
      </c>
      <c r="D1901">
        <v>0</v>
      </c>
      <c r="F1901">
        <v>0.37426999999999799</v>
      </c>
      <c r="G1901">
        <v>33.851184164015599</v>
      </c>
      <c r="H1901">
        <v>1</v>
      </c>
      <c r="I1901">
        <v>0.52054109999999998</v>
      </c>
      <c r="J1901">
        <v>2011</v>
      </c>
      <c r="K1901">
        <v>6</v>
      </c>
      <c r="L1901">
        <v>23</v>
      </c>
      <c r="M1901" t="s">
        <v>90</v>
      </c>
      <c r="N1901">
        <v>0</v>
      </c>
      <c r="O1901">
        <v>0</v>
      </c>
    </row>
    <row r="1902" spans="1:15" x14ac:dyDescent="0.3">
      <c r="A1902">
        <v>1997</v>
      </c>
      <c r="B1902" s="34">
        <v>40718</v>
      </c>
      <c r="C1902">
        <v>1.4263399999999999</v>
      </c>
      <c r="D1902">
        <v>0</v>
      </c>
      <c r="F1902">
        <v>0.37426999999999799</v>
      </c>
      <c r="G1902">
        <v>33.851184164015599</v>
      </c>
      <c r="H1902">
        <v>1</v>
      </c>
      <c r="I1902">
        <v>0.52078120000000006</v>
      </c>
      <c r="J1902">
        <v>2011</v>
      </c>
      <c r="K1902">
        <v>6</v>
      </c>
      <c r="L1902">
        <v>24</v>
      </c>
      <c r="M1902" t="s">
        <v>91</v>
      </c>
      <c r="N1902">
        <v>0</v>
      </c>
      <c r="O1902">
        <v>0</v>
      </c>
    </row>
    <row r="1903" spans="1:15" x14ac:dyDescent="0.3">
      <c r="A1903">
        <v>1998</v>
      </c>
      <c r="B1903" s="34">
        <v>40721</v>
      </c>
      <c r="C1903">
        <v>1.41865</v>
      </c>
      <c r="D1903">
        <v>0</v>
      </c>
      <c r="F1903">
        <v>0.37426999999999799</v>
      </c>
      <c r="G1903">
        <v>33.851184164015599</v>
      </c>
      <c r="H1903">
        <v>0</v>
      </c>
      <c r="I1903">
        <v>0.52052050000000005</v>
      </c>
      <c r="J1903">
        <v>2011</v>
      </c>
      <c r="K1903">
        <v>6</v>
      </c>
      <c r="L1903">
        <v>27</v>
      </c>
      <c r="M1903" t="s">
        <v>92</v>
      </c>
      <c r="N1903">
        <v>0</v>
      </c>
      <c r="O1903">
        <v>0</v>
      </c>
    </row>
    <row r="1904" spans="1:15" x14ac:dyDescent="0.3">
      <c r="A1904">
        <v>1999</v>
      </c>
      <c r="B1904" s="34">
        <v>40722</v>
      </c>
      <c r="C1904">
        <v>1.42872</v>
      </c>
      <c r="D1904">
        <v>0</v>
      </c>
      <c r="F1904">
        <v>0.37426999999999799</v>
      </c>
      <c r="G1904">
        <v>33.851184164015599</v>
      </c>
      <c r="H1904">
        <v>1</v>
      </c>
      <c r="I1904">
        <v>0.52076040000000001</v>
      </c>
      <c r="J1904">
        <v>2011</v>
      </c>
      <c r="K1904">
        <v>6</v>
      </c>
      <c r="L1904">
        <v>28</v>
      </c>
      <c r="M1904" t="s">
        <v>93</v>
      </c>
      <c r="N1904">
        <v>0</v>
      </c>
      <c r="O1904">
        <v>0</v>
      </c>
    </row>
    <row r="1905" spans="1:15" x14ac:dyDescent="0.3">
      <c r="A1905">
        <v>2000</v>
      </c>
      <c r="B1905" s="34">
        <v>40723</v>
      </c>
      <c r="C1905">
        <v>1.43672</v>
      </c>
      <c r="D1905">
        <v>0</v>
      </c>
      <c r="F1905">
        <v>0.37426999999999799</v>
      </c>
      <c r="G1905">
        <v>33.851184164015599</v>
      </c>
      <c r="H1905">
        <v>0</v>
      </c>
      <c r="I1905">
        <v>0.52049999999999996</v>
      </c>
      <c r="J1905">
        <v>2011</v>
      </c>
      <c r="K1905">
        <v>6</v>
      </c>
      <c r="L1905">
        <v>29</v>
      </c>
      <c r="M1905" t="s">
        <v>89</v>
      </c>
      <c r="N1905">
        <v>0</v>
      </c>
      <c r="O1905">
        <v>0</v>
      </c>
    </row>
    <row r="1906" spans="1:15" x14ac:dyDescent="0.3">
      <c r="A1906">
        <v>2001</v>
      </c>
      <c r="B1906" s="34">
        <v>40724</v>
      </c>
      <c r="C1906">
        <v>1.4434199999999999</v>
      </c>
      <c r="D1906">
        <v>0</v>
      </c>
      <c r="F1906">
        <v>0.37426999999999799</v>
      </c>
      <c r="G1906">
        <v>33.851184164015599</v>
      </c>
      <c r="H1906">
        <v>0</v>
      </c>
      <c r="I1906">
        <v>0.52023989999999998</v>
      </c>
      <c r="J1906">
        <v>2011</v>
      </c>
      <c r="K1906">
        <v>6</v>
      </c>
      <c r="L1906">
        <v>30</v>
      </c>
      <c r="M1906" t="s">
        <v>90</v>
      </c>
      <c r="N1906">
        <v>0</v>
      </c>
      <c r="O1906">
        <v>0</v>
      </c>
    </row>
    <row r="1907" spans="1:15" x14ac:dyDescent="0.3">
      <c r="A1907">
        <v>2002</v>
      </c>
      <c r="B1907" s="34">
        <v>40725</v>
      </c>
      <c r="C1907">
        <v>1.44906</v>
      </c>
      <c r="D1907">
        <v>0</v>
      </c>
      <c r="F1907">
        <v>0.37426999999999799</v>
      </c>
      <c r="G1907">
        <v>33.851184164015599</v>
      </c>
      <c r="H1907">
        <v>0</v>
      </c>
      <c r="I1907">
        <v>0.51998</v>
      </c>
      <c r="J1907">
        <v>2011</v>
      </c>
      <c r="K1907">
        <v>7</v>
      </c>
      <c r="L1907">
        <v>1</v>
      </c>
      <c r="M1907" t="s">
        <v>91</v>
      </c>
      <c r="N1907">
        <v>0</v>
      </c>
      <c r="O1907">
        <v>0</v>
      </c>
    </row>
    <row r="1908" spans="1:15" x14ac:dyDescent="0.3">
      <c r="A1908">
        <v>2003</v>
      </c>
      <c r="B1908" s="34">
        <v>40728</v>
      </c>
      <c r="C1908">
        <v>1.4524600000000001</v>
      </c>
      <c r="D1908">
        <v>0</v>
      </c>
      <c r="F1908">
        <v>0.37426999999999799</v>
      </c>
      <c r="G1908">
        <v>33.851184164015599</v>
      </c>
      <c r="H1908">
        <v>0</v>
      </c>
      <c r="I1908">
        <v>0.51972039999999997</v>
      </c>
      <c r="J1908">
        <v>2011</v>
      </c>
      <c r="K1908">
        <v>7</v>
      </c>
      <c r="L1908">
        <v>4</v>
      </c>
      <c r="M1908" t="s">
        <v>92</v>
      </c>
      <c r="N1908">
        <v>0</v>
      </c>
      <c r="O1908">
        <v>0</v>
      </c>
    </row>
    <row r="1909" spans="1:15" x14ac:dyDescent="0.3">
      <c r="A1909">
        <v>2004</v>
      </c>
      <c r="B1909" s="34">
        <v>40729</v>
      </c>
      <c r="C1909">
        <v>1.4538800000000001</v>
      </c>
      <c r="D1909">
        <v>0</v>
      </c>
      <c r="F1909">
        <v>0.37426999999999799</v>
      </c>
      <c r="G1909">
        <v>33.851184164015599</v>
      </c>
      <c r="H1909">
        <v>0</v>
      </c>
      <c r="I1909">
        <v>0.51946110000000001</v>
      </c>
      <c r="J1909">
        <v>2011</v>
      </c>
      <c r="K1909">
        <v>7</v>
      </c>
      <c r="L1909">
        <v>5</v>
      </c>
      <c r="M1909" t="s">
        <v>93</v>
      </c>
      <c r="N1909">
        <v>0</v>
      </c>
      <c r="O1909">
        <v>0</v>
      </c>
    </row>
    <row r="1910" spans="1:15" x14ac:dyDescent="0.3">
      <c r="A1910">
        <v>2005</v>
      </c>
      <c r="B1910" s="34">
        <v>40730</v>
      </c>
      <c r="C1910">
        <v>1.44231</v>
      </c>
      <c r="D1910">
        <v>0</v>
      </c>
      <c r="F1910">
        <v>0.37426999999999799</v>
      </c>
      <c r="G1910">
        <v>33.851184164015599</v>
      </c>
      <c r="H1910">
        <v>1</v>
      </c>
      <c r="I1910">
        <v>0.51970079999999996</v>
      </c>
      <c r="J1910">
        <v>2011</v>
      </c>
      <c r="K1910">
        <v>7</v>
      </c>
      <c r="L1910">
        <v>6</v>
      </c>
      <c r="M1910" t="s">
        <v>89</v>
      </c>
      <c r="N1910">
        <v>0</v>
      </c>
      <c r="O1910">
        <v>0</v>
      </c>
    </row>
    <row r="1911" spans="1:15" x14ac:dyDescent="0.3">
      <c r="A1911">
        <v>2006</v>
      </c>
      <c r="B1911" s="34">
        <v>40731</v>
      </c>
      <c r="C1911">
        <v>1.4315800000000001</v>
      </c>
      <c r="D1911">
        <v>0</v>
      </c>
      <c r="F1911">
        <v>0.37426999999999799</v>
      </c>
      <c r="G1911">
        <v>33.851184164015599</v>
      </c>
      <c r="H1911">
        <v>1</v>
      </c>
      <c r="I1911">
        <v>0.51994019999999996</v>
      </c>
      <c r="J1911">
        <v>2011</v>
      </c>
      <c r="K1911">
        <v>7</v>
      </c>
      <c r="L1911">
        <v>7</v>
      </c>
      <c r="M1911" t="s">
        <v>90</v>
      </c>
      <c r="N1911">
        <v>0</v>
      </c>
      <c r="O1911">
        <v>0</v>
      </c>
    </row>
    <row r="1912" spans="1:15" x14ac:dyDescent="0.3">
      <c r="A1912">
        <v>2007</v>
      </c>
      <c r="B1912" s="34">
        <v>40732</v>
      </c>
      <c r="C1912">
        <v>1.43577</v>
      </c>
      <c r="D1912">
        <v>0</v>
      </c>
      <c r="F1912">
        <v>0.37426999999999799</v>
      </c>
      <c r="G1912">
        <v>33.851184164015599</v>
      </c>
      <c r="H1912">
        <v>1</v>
      </c>
      <c r="I1912">
        <v>0.52017939999999996</v>
      </c>
      <c r="J1912">
        <v>2011</v>
      </c>
      <c r="K1912">
        <v>7</v>
      </c>
      <c r="L1912">
        <v>8</v>
      </c>
      <c r="M1912" t="s">
        <v>91</v>
      </c>
      <c r="N1912">
        <v>0</v>
      </c>
      <c r="O1912">
        <v>0</v>
      </c>
    </row>
    <row r="1913" spans="1:15" x14ac:dyDescent="0.3">
      <c r="A1913">
        <v>2008</v>
      </c>
      <c r="B1913" s="34">
        <v>40735</v>
      </c>
      <c r="C1913">
        <v>1.42632</v>
      </c>
      <c r="D1913">
        <v>0</v>
      </c>
      <c r="F1913">
        <v>0.37426999999999799</v>
      </c>
      <c r="G1913">
        <v>33.851184164015599</v>
      </c>
      <c r="H1913">
        <v>0</v>
      </c>
      <c r="I1913">
        <v>0.5199203</v>
      </c>
      <c r="J1913">
        <v>2011</v>
      </c>
      <c r="K1913">
        <v>7</v>
      </c>
      <c r="L1913">
        <v>11</v>
      </c>
      <c r="M1913" t="s">
        <v>92</v>
      </c>
      <c r="N1913">
        <v>0</v>
      </c>
      <c r="O1913">
        <v>0</v>
      </c>
    </row>
    <row r="1914" spans="1:15" x14ac:dyDescent="0.3">
      <c r="A1914">
        <v>2009</v>
      </c>
      <c r="B1914" s="34">
        <v>40736</v>
      </c>
      <c r="C1914">
        <v>1.40469</v>
      </c>
      <c r="D1914">
        <v>0</v>
      </c>
      <c r="F1914">
        <v>0.37426999999999799</v>
      </c>
      <c r="G1914">
        <v>33.851184164015599</v>
      </c>
      <c r="H1914">
        <v>0</v>
      </c>
      <c r="I1914">
        <v>0.5196615</v>
      </c>
      <c r="J1914">
        <v>2011</v>
      </c>
      <c r="K1914">
        <v>7</v>
      </c>
      <c r="L1914">
        <v>12</v>
      </c>
      <c r="M1914" t="s">
        <v>93</v>
      </c>
      <c r="N1914">
        <v>0</v>
      </c>
      <c r="O1914">
        <v>0</v>
      </c>
    </row>
    <row r="1915" spans="1:15" x14ac:dyDescent="0.3">
      <c r="A1915">
        <v>2010</v>
      </c>
      <c r="B1915" s="34">
        <v>40737</v>
      </c>
      <c r="C1915">
        <v>1.3971</v>
      </c>
      <c r="D1915">
        <v>0</v>
      </c>
      <c r="F1915">
        <v>0.37426999999999799</v>
      </c>
      <c r="G1915">
        <v>33.851184164015599</v>
      </c>
      <c r="H1915">
        <v>0</v>
      </c>
      <c r="I1915">
        <v>0.51940299999999995</v>
      </c>
      <c r="J1915">
        <v>2011</v>
      </c>
      <c r="K1915">
        <v>7</v>
      </c>
      <c r="L1915">
        <v>13</v>
      </c>
      <c r="M1915" t="s">
        <v>89</v>
      </c>
      <c r="N1915">
        <v>0</v>
      </c>
      <c r="O1915">
        <v>0</v>
      </c>
    </row>
    <row r="1916" spans="1:15" x14ac:dyDescent="0.3">
      <c r="A1916">
        <v>2011</v>
      </c>
      <c r="B1916" s="34">
        <v>40738</v>
      </c>
      <c r="C1916">
        <v>1.4238</v>
      </c>
      <c r="D1916">
        <v>0</v>
      </c>
      <c r="F1916">
        <v>0.37426999999999799</v>
      </c>
      <c r="G1916">
        <v>33.851184164015599</v>
      </c>
      <c r="H1916">
        <v>1</v>
      </c>
      <c r="I1916">
        <v>0.51964200000000005</v>
      </c>
      <c r="J1916">
        <v>2011</v>
      </c>
      <c r="K1916">
        <v>7</v>
      </c>
      <c r="L1916">
        <v>14</v>
      </c>
      <c r="M1916" t="s">
        <v>90</v>
      </c>
      <c r="N1916">
        <v>0</v>
      </c>
      <c r="O1916">
        <v>0</v>
      </c>
    </row>
    <row r="1917" spans="1:15" x14ac:dyDescent="0.3">
      <c r="A1917">
        <v>2012</v>
      </c>
      <c r="B1917" s="34">
        <v>40739</v>
      </c>
      <c r="C1917">
        <v>1.4145399999999999</v>
      </c>
      <c r="D1917">
        <v>1</v>
      </c>
      <c r="E1917" t="s">
        <v>397</v>
      </c>
      <c r="F1917">
        <v>0.375389999999998</v>
      </c>
      <c r="G1917">
        <v>33.653234358430602</v>
      </c>
      <c r="H1917">
        <v>1</v>
      </c>
      <c r="I1917">
        <v>0.51988069999999997</v>
      </c>
      <c r="J1917">
        <v>2011</v>
      </c>
      <c r="K1917">
        <v>7</v>
      </c>
      <c r="L1917">
        <v>15</v>
      </c>
      <c r="M1917" t="s">
        <v>91</v>
      </c>
      <c r="N1917">
        <v>0</v>
      </c>
      <c r="O1917">
        <v>0</v>
      </c>
    </row>
    <row r="1918" spans="1:15" x14ac:dyDescent="0.3">
      <c r="A1918">
        <v>2013</v>
      </c>
      <c r="B1918" s="34">
        <v>40742</v>
      </c>
      <c r="C1918">
        <v>1.4156599999999999</v>
      </c>
      <c r="D1918">
        <v>0</v>
      </c>
      <c r="F1918">
        <v>0.375389999999998</v>
      </c>
      <c r="G1918">
        <v>33.653234358430602</v>
      </c>
      <c r="H1918">
        <v>0</v>
      </c>
      <c r="I1918">
        <v>0.51962240000000004</v>
      </c>
      <c r="J1918">
        <v>2011</v>
      </c>
      <c r="K1918">
        <v>7</v>
      </c>
      <c r="L1918">
        <v>18</v>
      </c>
      <c r="M1918" t="s">
        <v>92</v>
      </c>
      <c r="N1918">
        <v>0</v>
      </c>
      <c r="O1918">
        <v>0</v>
      </c>
    </row>
    <row r="1919" spans="1:15" x14ac:dyDescent="0.3">
      <c r="A1919">
        <v>2014</v>
      </c>
      <c r="B1919" s="34">
        <v>40743</v>
      </c>
      <c r="C1919">
        <v>1.41035</v>
      </c>
      <c r="D1919">
        <v>0</v>
      </c>
      <c r="F1919">
        <v>0.375389999999998</v>
      </c>
      <c r="G1919">
        <v>33.653234358430602</v>
      </c>
      <c r="H1919">
        <v>1</v>
      </c>
      <c r="I1919">
        <v>0.51986100000000002</v>
      </c>
      <c r="J1919">
        <v>2011</v>
      </c>
      <c r="K1919">
        <v>7</v>
      </c>
      <c r="L1919">
        <v>19</v>
      </c>
      <c r="M1919" t="s">
        <v>93</v>
      </c>
      <c r="N1919">
        <v>0</v>
      </c>
      <c r="O1919">
        <v>0</v>
      </c>
    </row>
    <row r="1920" spans="1:15" x14ac:dyDescent="0.3">
      <c r="A1920">
        <v>2015</v>
      </c>
      <c r="B1920" s="34">
        <v>40744</v>
      </c>
      <c r="C1920">
        <v>1.41537</v>
      </c>
      <c r="D1920">
        <v>0</v>
      </c>
      <c r="F1920">
        <v>0.375389999999998</v>
      </c>
      <c r="G1920">
        <v>33.653234358430602</v>
      </c>
      <c r="H1920">
        <v>1</v>
      </c>
      <c r="I1920">
        <v>0.52009930000000004</v>
      </c>
      <c r="J1920">
        <v>2011</v>
      </c>
      <c r="K1920">
        <v>7</v>
      </c>
      <c r="L1920">
        <v>20</v>
      </c>
      <c r="M1920" t="s">
        <v>89</v>
      </c>
      <c r="N1920">
        <v>0</v>
      </c>
      <c r="O1920">
        <v>0</v>
      </c>
    </row>
    <row r="1921" spans="1:15" x14ac:dyDescent="0.3">
      <c r="A1921">
        <v>2016</v>
      </c>
      <c r="B1921" s="34">
        <v>40745</v>
      </c>
      <c r="C1921">
        <v>1.42208</v>
      </c>
      <c r="D1921">
        <v>0</v>
      </c>
      <c r="F1921">
        <v>0.375389999999998</v>
      </c>
      <c r="G1921">
        <v>33.653234358430602</v>
      </c>
      <c r="H1921">
        <v>0</v>
      </c>
      <c r="I1921">
        <v>0.51984129999999995</v>
      </c>
      <c r="J1921">
        <v>2011</v>
      </c>
      <c r="K1921">
        <v>7</v>
      </c>
      <c r="L1921">
        <v>21</v>
      </c>
      <c r="M1921" t="s">
        <v>90</v>
      </c>
      <c r="N1921">
        <v>0</v>
      </c>
      <c r="O1921">
        <v>0</v>
      </c>
    </row>
    <row r="1922" spans="1:15" x14ac:dyDescent="0.3">
      <c r="A1922">
        <v>2017</v>
      </c>
      <c r="B1922" s="34">
        <v>40746</v>
      </c>
      <c r="C1922">
        <v>1.4419299999999999</v>
      </c>
      <c r="D1922">
        <v>0</v>
      </c>
      <c r="F1922">
        <v>0.375389999999998</v>
      </c>
      <c r="G1922">
        <v>33.653234358430602</v>
      </c>
      <c r="H1922">
        <v>0</v>
      </c>
      <c r="I1922">
        <v>0.51958349999999998</v>
      </c>
      <c r="J1922">
        <v>2011</v>
      </c>
      <c r="K1922">
        <v>7</v>
      </c>
      <c r="L1922">
        <v>22</v>
      </c>
      <c r="M1922" t="s">
        <v>91</v>
      </c>
      <c r="N1922">
        <v>0</v>
      </c>
      <c r="O1922">
        <v>0</v>
      </c>
    </row>
    <row r="1923" spans="1:15" x14ac:dyDescent="0.3">
      <c r="A1923">
        <v>2018</v>
      </c>
      <c r="B1923" s="34">
        <v>40749</v>
      </c>
      <c r="C1923">
        <v>1.4358</v>
      </c>
      <c r="D1923">
        <v>0</v>
      </c>
      <c r="F1923">
        <v>0.375389999999998</v>
      </c>
      <c r="G1923">
        <v>33.653234358430602</v>
      </c>
      <c r="H1923">
        <v>1</v>
      </c>
      <c r="I1923">
        <v>0.51982159999999999</v>
      </c>
      <c r="J1923">
        <v>2011</v>
      </c>
      <c r="K1923">
        <v>7</v>
      </c>
      <c r="L1923">
        <v>25</v>
      </c>
      <c r="M1923" t="s">
        <v>92</v>
      </c>
      <c r="N1923">
        <v>0</v>
      </c>
      <c r="O1923">
        <v>0</v>
      </c>
    </row>
    <row r="1924" spans="1:15" x14ac:dyDescent="0.3">
      <c r="A1924">
        <v>2019</v>
      </c>
      <c r="B1924" s="34">
        <v>40750</v>
      </c>
      <c r="C1924">
        <v>1.4377200000000001</v>
      </c>
      <c r="D1924">
        <v>0</v>
      </c>
      <c r="F1924">
        <v>0.375389999999998</v>
      </c>
      <c r="G1924">
        <v>33.653234358430602</v>
      </c>
      <c r="H1924">
        <v>0</v>
      </c>
      <c r="I1924">
        <v>0.51956420000000003</v>
      </c>
      <c r="J1924">
        <v>2011</v>
      </c>
      <c r="K1924">
        <v>7</v>
      </c>
      <c r="L1924">
        <v>26</v>
      </c>
      <c r="M1924" t="s">
        <v>93</v>
      </c>
      <c r="N1924">
        <v>0</v>
      </c>
      <c r="O1924">
        <v>0</v>
      </c>
    </row>
    <row r="1925" spans="1:15" x14ac:dyDescent="0.3">
      <c r="A1925">
        <v>2020</v>
      </c>
      <c r="B1925" s="34">
        <v>40751</v>
      </c>
      <c r="C1925">
        <v>1.45137</v>
      </c>
      <c r="D1925">
        <v>0</v>
      </c>
      <c r="F1925">
        <v>0.375389999999998</v>
      </c>
      <c r="G1925">
        <v>33.653234358430602</v>
      </c>
      <c r="H1925">
        <v>0</v>
      </c>
      <c r="I1925">
        <v>0.51930699999999996</v>
      </c>
      <c r="J1925">
        <v>2011</v>
      </c>
      <c r="K1925">
        <v>7</v>
      </c>
      <c r="L1925">
        <v>27</v>
      </c>
      <c r="M1925" t="s">
        <v>89</v>
      </c>
      <c r="N1925">
        <v>0</v>
      </c>
      <c r="O1925">
        <v>0</v>
      </c>
    </row>
    <row r="1926" spans="1:15" x14ac:dyDescent="0.3">
      <c r="A1926">
        <v>2021</v>
      </c>
      <c r="B1926" s="34">
        <v>40752</v>
      </c>
      <c r="C1926">
        <v>1.4367399999999999</v>
      </c>
      <c r="D1926">
        <v>0</v>
      </c>
      <c r="F1926">
        <v>0.375389999999998</v>
      </c>
      <c r="G1926">
        <v>33.653234358430602</v>
      </c>
      <c r="H1926">
        <v>1</v>
      </c>
      <c r="I1926">
        <v>0.51954480000000003</v>
      </c>
      <c r="J1926">
        <v>2011</v>
      </c>
      <c r="K1926">
        <v>7</v>
      </c>
      <c r="L1926">
        <v>28</v>
      </c>
      <c r="M1926" t="s">
        <v>90</v>
      </c>
      <c r="N1926">
        <v>0</v>
      </c>
      <c r="O1926">
        <v>0</v>
      </c>
    </row>
    <row r="1927" spans="1:15" x14ac:dyDescent="0.3">
      <c r="A1927">
        <v>2022</v>
      </c>
      <c r="B1927" s="34">
        <v>40753</v>
      </c>
      <c r="C1927">
        <v>1.4327300000000001</v>
      </c>
      <c r="D1927">
        <v>0</v>
      </c>
      <c r="F1927">
        <v>0.375389999999998</v>
      </c>
      <c r="G1927">
        <v>33.653234358430602</v>
      </c>
      <c r="H1927">
        <v>0</v>
      </c>
      <c r="I1927">
        <v>0.51928779999999997</v>
      </c>
      <c r="J1927">
        <v>2011</v>
      </c>
      <c r="K1927">
        <v>7</v>
      </c>
      <c r="L1927">
        <v>29</v>
      </c>
      <c r="M1927" t="s">
        <v>91</v>
      </c>
      <c r="N1927">
        <v>0</v>
      </c>
      <c r="O1927">
        <v>0</v>
      </c>
    </row>
    <row r="1928" spans="1:15" x14ac:dyDescent="0.3">
      <c r="A1928">
        <v>2023</v>
      </c>
      <c r="B1928" s="34">
        <v>40756</v>
      </c>
      <c r="C1928">
        <v>1.4394499999999999</v>
      </c>
      <c r="D1928">
        <v>0</v>
      </c>
      <c r="F1928">
        <v>0.375389999999998</v>
      </c>
      <c r="G1928">
        <v>33.653234358430602</v>
      </c>
      <c r="H1928">
        <v>1</v>
      </c>
      <c r="I1928">
        <v>0.51952549999999997</v>
      </c>
      <c r="J1928">
        <v>2011</v>
      </c>
      <c r="K1928">
        <v>8</v>
      </c>
      <c r="L1928">
        <v>1</v>
      </c>
      <c r="M1928" t="s">
        <v>92</v>
      </c>
      <c r="N1928">
        <v>0</v>
      </c>
      <c r="O1928">
        <v>0</v>
      </c>
    </row>
    <row r="1929" spans="1:15" x14ac:dyDescent="0.3">
      <c r="A1929">
        <v>2024</v>
      </c>
      <c r="B1929" s="34">
        <v>40757</v>
      </c>
      <c r="C1929">
        <v>1.42533</v>
      </c>
      <c r="D1929">
        <v>0</v>
      </c>
      <c r="F1929">
        <v>0.375389999999998</v>
      </c>
      <c r="G1929">
        <v>33.653234358430602</v>
      </c>
      <c r="H1929">
        <v>1</v>
      </c>
      <c r="I1929">
        <v>0.51976290000000003</v>
      </c>
      <c r="J1929">
        <v>2011</v>
      </c>
      <c r="K1929">
        <v>8</v>
      </c>
      <c r="L1929">
        <v>2</v>
      </c>
      <c r="M1929" t="s">
        <v>93</v>
      </c>
      <c r="N1929">
        <v>0</v>
      </c>
      <c r="O1929">
        <v>0</v>
      </c>
    </row>
    <row r="1930" spans="1:15" x14ac:dyDescent="0.3">
      <c r="A1930">
        <v>2025</v>
      </c>
      <c r="B1930" s="34">
        <v>40758</v>
      </c>
      <c r="C1930">
        <v>1.41919</v>
      </c>
      <c r="D1930">
        <v>0</v>
      </c>
      <c r="F1930">
        <v>0.375389999999998</v>
      </c>
      <c r="G1930">
        <v>33.653234358430602</v>
      </c>
      <c r="H1930">
        <v>0</v>
      </c>
      <c r="I1930">
        <v>0.51950620000000003</v>
      </c>
      <c r="J1930">
        <v>2011</v>
      </c>
      <c r="K1930">
        <v>8</v>
      </c>
      <c r="L1930">
        <v>3</v>
      </c>
      <c r="M1930" t="s">
        <v>89</v>
      </c>
      <c r="N1930">
        <v>0</v>
      </c>
      <c r="O1930">
        <v>0</v>
      </c>
    </row>
    <row r="1931" spans="1:15" x14ac:dyDescent="0.3">
      <c r="A1931">
        <v>2026</v>
      </c>
      <c r="B1931" s="34">
        <v>40759</v>
      </c>
      <c r="C1931">
        <v>1.4362999999999999</v>
      </c>
      <c r="D1931">
        <v>0</v>
      </c>
      <c r="F1931">
        <v>0.375389999999998</v>
      </c>
      <c r="G1931">
        <v>33.653234358430602</v>
      </c>
      <c r="H1931">
        <v>1</v>
      </c>
      <c r="I1931">
        <v>0.51974330000000002</v>
      </c>
      <c r="J1931">
        <v>2011</v>
      </c>
      <c r="K1931">
        <v>8</v>
      </c>
      <c r="L1931">
        <v>4</v>
      </c>
      <c r="M1931" t="s">
        <v>90</v>
      </c>
      <c r="N1931">
        <v>0</v>
      </c>
      <c r="O1931">
        <v>0</v>
      </c>
    </row>
    <row r="1932" spans="1:15" x14ac:dyDescent="0.3">
      <c r="A1932">
        <v>2027</v>
      </c>
      <c r="B1932" s="34">
        <v>40760</v>
      </c>
      <c r="C1932">
        <v>1.4092</v>
      </c>
      <c r="D1932">
        <v>2</v>
      </c>
      <c r="E1932" t="s">
        <v>398</v>
      </c>
      <c r="F1932">
        <v>0.39422999999999803</v>
      </c>
      <c r="G1932">
        <v>30.323435843054099</v>
      </c>
      <c r="H1932">
        <v>1</v>
      </c>
      <c r="I1932">
        <v>0.51998029999999995</v>
      </c>
      <c r="J1932">
        <v>2011</v>
      </c>
      <c r="K1932">
        <v>8</v>
      </c>
      <c r="L1932">
        <v>5</v>
      </c>
      <c r="M1932" t="s">
        <v>91</v>
      </c>
      <c r="N1932">
        <v>0</v>
      </c>
      <c r="O1932">
        <v>0</v>
      </c>
    </row>
    <row r="1933" spans="1:15" x14ac:dyDescent="0.3">
      <c r="A1933">
        <v>2028</v>
      </c>
      <c r="B1933" s="34">
        <v>40763</v>
      </c>
      <c r="C1933">
        <v>1.42804</v>
      </c>
      <c r="D1933">
        <v>0</v>
      </c>
      <c r="F1933">
        <v>0.39422999999999803</v>
      </c>
      <c r="G1933">
        <v>30.323435843054099</v>
      </c>
      <c r="H1933">
        <v>1</v>
      </c>
      <c r="I1933">
        <v>0.52021689999999998</v>
      </c>
      <c r="J1933">
        <v>2011</v>
      </c>
      <c r="K1933">
        <v>8</v>
      </c>
      <c r="L1933">
        <v>8</v>
      </c>
      <c r="M1933" t="s">
        <v>92</v>
      </c>
      <c r="N1933">
        <v>0</v>
      </c>
      <c r="O1933">
        <v>0</v>
      </c>
    </row>
    <row r="1934" spans="1:15" x14ac:dyDescent="0.3">
      <c r="A1934">
        <v>2029</v>
      </c>
      <c r="B1934" s="34">
        <v>40764</v>
      </c>
      <c r="C1934">
        <v>1.41628</v>
      </c>
      <c r="D1934">
        <v>0</v>
      </c>
      <c r="F1934">
        <v>0.39422999999999803</v>
      </c>
      <c r="G1934">
        <v>30.323435843054099</v>
      </c>
      <c r="H1934">
        <v>1</v>
      </c>
      <c r="I1934">
        <v>0.52045350000000001</v>
      </c>
      <c r="J1934">
        <v>2011</v>
      </c>
      <c r="K1934">
        <v>8</v>
      </c>
      <c r="L1934">
        <v>9</v>
      </c>
      <c r="M1934" t="s">
        <v>93</v>
      </c>
      <c r="N1934">
        <v>0</v>
      </c>
      <c r="O1934">
        <v>0</v>
      </c>
    </row>
    <row r="1935" spans="1:15" x14ac:dyDescent="0.3">
      <c r="A1935">
        <v>2030</v>
      </c>
      <c r="B1935" s="34">
        <v>40765</v>
      </c>
      <c r="C1935">
        <v>1.4391</v>
      </c>
      <c r="D1935">
        <v>0</v>
      </c>
      <c r="F1935">
        <v>0.39422999999999803</v>
      </c>
      <c r="G1935">
        <v>30.323435843054099</v>
      </c>
      <c r="H1935">
        <v>1</v>
      </c>
      <c r="I1935">
        <v>0.52068970000000003</v>
      </c>
      <c r="J1935">
        <v>2011</v>
      </c>
      <c r="K1935">
        <v>8</v>
      </c>
      <c r="L1935">
        <v>10</v>
      </c>
      <c r="M1935" t="s">
        <v>89</v>
      </c>
      <c r="N1935">
        <v>0</v>
      </c>
      <c r="O1935">
        <v>0</v>
      </c>
    </row>
    <row r="1936" spans="1:15" x14ac:dyDescent="0.3">
      <c r="A1936">
        <v>2031</v>
      </c>
      <c r="B1936" s="34">
        <v>40766</v>
      </c>
      <c r="C1936">
        <v>1.41615</v>
      </c>
      <c r="D1936">
        <v>0</v>
      </c>
      <c r="F1936">
        <v>0.39422999999999803</v>
      </c>
      <c r="G1936">
        <v>30.323435843054099</v>
      </c>
      <c r="H1936">
        <v>1</v>
      </c>
      <c r="I1936">
        <v>0.52092559999999999</v>
      </c>
      <c r="J1936">
        <v>2011</v>
      </c>
      <c r="K1936">
        <v>8</v>
      </c>
      <c r="L1936">
        <v>11</v>
      </c>
      <c r="M1936" t="s">
        <v>90</v>
      </c>
      <c r="N1936">
        <v>0</v>
      </c>
      <c r="O1936">
        <v>0</v>
      </c>
    </row>
    <row r="1937" spans="1:15" x14ac:dyDescent="0.3">
      <c r="A1937">
        <v>2032</v>
      </c>
      <c r="B1937" s="34">
        <v>40767</v>
      </c>
      <c r="C1937">
        <v>1.42353</v>
      </c>
      <c r="D1937">
        <v>0</v>
      </c>
      <c r="F1937">
        <v>0.39422999999999803</v>
      </c>
      <c r="G1937">
        <v>30.323435843054099</v>
      </c>
      <c r="H1937">
        <v>1</v>
      </c>
      <c r="I1937">
        <v>0.5211614</v>
      </c>
      <c r="J1937">
        <v>2011</v>
      </c>
      <c r="K1937">
        <v>8</v>
      </c>
      <c r="L1937">
        <v>12</v>
      </c>
      <c r="M1937" t="s">
        <v>91</v>
      </c>
      <c r="N1937">
        <v>0</v>
      </c>
      <c r="O1937">
        <v>0</v>
      </c>
    </row>
    <row r="1938" spans="1:15" x14ac:dyDescent="0.3">
      <c r="A1938">
        <v>2033</v>
      </c>
      <c r="B1938" s="34">
        <v>40770</v>
      </c>
      <c r="C1938">
        <v>1.42479</v>
      </c>
      <c r="D1938">
        <v>0</v>
      </c>
      <c r="F1938">
        <v>0.39422999999999803</v>
      </c>
      <c r="G1938">
        <v>30.323435843054099</v>
      </c>
      <c r="H1938">
        <v>0</v>
      </c>
      <c r="I1938">
        <v>0.52090510000000001</v>
      </c>
      <c r="J1938">
        <v>2011</v>
      </c>
      <c r="K1938">
        <v>8</v>
      </c>
      <c r="L1938">
        <v>15</v>
      </c>
      <c r="M1938" t="s">
        <v>92</v>
      </c>
      <c r="N1938">
        <v>0</v>
      </c>
      <c r="O1938">
        <v>0</v>
      </c>
    </row>
    <row r="1939" spans="1:15" x14ac:dyDescent="0.3">
      <c r="A1939">
        <v>2034</v>
      </c>
      <c r="B1939" s="34">
        <v>40771</v>
      </c>
      <c r="C1939">
        <v>1.44482</v>
      </c>
      <c r="D1939">
        <v>0</v>
      </c>
      <c r="F1939">
        <v>0.39422999999999803</v>
      </c>
      <c r="G1939">
        <v>30.323435843054099</v>
      </c>
      <c r="H1939">
        <v>0</v>
      </c>
      <c r="I1939">
        <v>0.52064900000000003</v>
      </c>
      <c r="J1939">
        <v>2011</v>
      </c>
      <c r="K1939">
        <v>8</v>
      </c>
      <c r="L1939">
        <v>16</v>
      </c>
      <c r="M1939" t="s">
        <v>93</v>
      </c>
      <c r="N1939">
        <v>0</v>
      </c>
      <c r="O1939">
        <v>0</v>
      </c>
    </row>
    <row r="1940" spans="1:15" x14ac:dyDescent="0.3">
      <c r="A1940">
        <v>2035</v>
      </c>
      <c r="B1940" s="34">
        <v>40772</v>
      </c>
      <c r="C1940">
        <v>1.43988</v>
      </c>
      <c r="D1940">
        <v>0</v>
      </c>
      <c r="F1940">
        <v>0.39422999999999803</v>
      </c>
      <c r="G1940">
        <v>30.323435843054099</v>
      </c>
      <c r="H1940">
        <v>1</v>
      </c>
      <c r="I1940">
        <v>0.52088449999999997</v>
      </c>
      <c r="J1940">
        <v>2011</v>
      </c>
      <c r="K1940">
        <v>8</v>
      </c>
      <c r="L1940">
        <v>17</v>
      </c>
      <c r="M1940" t="s">
        <v>89</v>
      </c>
      <c r="N1940">
        <v>0</v>
      </c>
      <c r="O1940">
        <v>0</v>
      </c>
    </row>
    <row r="1941" spans="1:15" x14ac:dyDescent="0.3">
      <c r="A1941">
        <v>2036</v>
      </c>
      <c r="B1941" s="34">
        <v>40773</v>
      </c>
      <c r="C1941">
        <v>1.4424999999999999</v>
      </c>
      <c r="D1941">
        <v>0</v>
      </c>
      <c r="F1941">
        <v>0.39422999999999803</v>
      </c>
      <c r="G1941">
        <v>30.323435843054099</v>
      </c>
      <c r="H1941">
        <v>0</v>
      </c>
      <c r="I1941">
        <v>0.52062870000000006</v>
      </c>
      <c r="J1941">
        <v>2011</v>
      </c>
      <c r="K1941">
        <v>8</v>
      </c>
      <c r="L1941">
        <v>18</v>
      </c>
      <c r="M1941" t="s">
        <v>90</v>
      </c>
      <c r="N1941">
        <v>0</v>
      </c>
      <c r="O1941">
        <v>0</v>
      </c>
    </row>
    <row r="1942" spans="1:15" x14ac:dyDescent="0.3">
      <c r="A1942">
        <v>2037</v>
      </c>
      <c r="B1942" s="34">
        <v>40774</v>
      </c>
      <c r="C1942">
        <v>1.4322299999999999</v>
      </c>
      <c r="D1942">
        <v>0</v>
      </c>
      <c r="F1942">
        <v>0.39422999999999803</v>
      </c>
      <c r="G1942">
        <v>30.323435843054099</v>
      </c>
      <c r="H1942">
        <v>1</v>
      </c>
      <c r="I1942">
        <v>0.52086399999999999</v>
      </c>
      <c r="J1942">
        <v>2011</v>
      </c>
      <c r="K1942">
        <v>8</v>
      </c>
      <c r="L1942">
        <v>19</v>
      </c>
      <c r="M1942" t="s">
        <v>91</v>
      </c>
      <c r="N1942">
        <v>0</v>
      </c>
      <c r="O1942">
        <v>0</v>
      </c>
    </row>
    <row r="1943" spans="1:15" x14ac:dyDescent="0.3">
      <c r="A1943">
        <v>2038</v>
      </c>
      <c r="B1943" s="34">
        <v>40777</v>
      </c>
      <c r="C1943">
        <v>1.4395</v>
      </c>
      <c r="D1943">
        <v>0</v>
      </c>
      <c r="F1943">
        <v>0.39422999999999803</v>
      </c>
      <c r="G1943">
        <v>30.323435843054099</v>
      </c>
      <c r="H1943">
        <v>1</v>
      </c>
      <c r="I1943">
        <v>0.52109910000000004</v>
      </c>
      <c r="J1943">
        <v>2011</v>
      </c>
      <c r="K1943">
        <v>8</v>
      </c>
      <c r="L1943">
        <v>22</v>
      </c>
      <c r="M1943" t="s">
        <v>92</v>
      </c>
      <c r="N1943">
        <v>0</v>
      </c>
      <c r="O1943">
        <v>0</v>
      </c>
    </row>
    <row r="1944" spans="1:15" x14ac:dyDescent="0.3">
      <c r="A1944">
        <v>2039</v>
      </c>
      <c r="B1944" s="34">
        <v>40778</v>
      </c>
      <c r="C1944">
        <v>1.43571</v>
      </c>
      <c r="D1944">
        <v>5</v>
      </c>
      <c r="E1944" t="s">
        <v>399</v>
      </c>
      <c r="F1944">
        <v>0.40197999999999801</v>
      </c>
      <c r="G1944">
        <v>28.953693884764999</v>
      </c>
      <c r="H1944">
        <v>1</v>
      </c>
      <c r="I1944">
        <v>0.52133399999999996</v>
      </c>
      <c r="J1944">
        <v>2011</v>
      </c>
      <c r="K1944">
        <v>8</v>
      </c>
      <c r="L1944">
        <v>23</v>
      </c>
      <c r="M1944" t="s">
        <v>93</v>
      </c>
      <c r="N1944">
        <v>0</v>
      </c>
      <c r="O1944">
        <v>0</v>
      </c>
    </row>
    <row r="1945" spans="1:15" x14ac:dyDescent="0.3">
      <c r="A1945">
        <v>2040</v>
      </c>
      <c r="B1945" s="34">
        <v>40779</v>
      </c>
      <c r="C1945">
        <v>1.44346</v>
      </c>
      <c r="D1945">
        <v>0</v>
      </c>
      <c r="F1945">
        <v>0.40197999999999801</v>
      </c>
      <c r="G1945">
        <v>28.953693884764999</v>
      </c>
      <c r="H1945">
        <v>1</v>
      </c>
      <c r="I1945">
        <v>0.5215687</v>
      </c>
      <c r="J1945">
        <v>2011</v>
      </c>
      <c r="K1945">
        <v>8</v>
      </c>
      <c r="L1945">
        <v>24</v>
      </c>
      <c r="M1945" t="s">
        <v>89</v>
      </c>
      <c r="N1945">
        <v>0</v>
      </c>
      <c r="O1945">
        <v>0</v>
      </c>
    </row>
    <row r="1946" spans="1:15" x14ac:dyDescent="0.3">
      <c r="A1946">
        <v>2041</v>
      </c>
      <c r="B1946" s="34">
        <v>40780</v>
      </c>
      <c r="C1946">
        <v>1.4408099999999999</v>
      </c>
      <c r="D1946">
        <v>0</v>
      </c>
      <c r="F1946">
        <v>0.40197999999999801</v>
      </c>
      <c r="G1946">
        <v>28.953693884764999</v>
      </c>
      <c r="H1946">
        <v>1</v>
      </c>
      <c r="I1946">
        <v>0.52180300000000002</v>
      </c>
      <c r="J1946">
        <v>2011</v>
      </c>
      <c r="K1946">
        <v>8</v>
      </c>
      <c r="L1946">
        <v>25</v>
      </c>
      <c r="M1946" t="s">
        <v>90</v>
      </c>
      <c r="N1946">
        <v>0</v>
      </c>
      <c r="O1946">
        <v>0</v>
      </c>
    </row>
    <row r="1947" spans="1:15" x14ac:dyDescent="0.3">
      <c r="A1947">
        <v>2042</v>
      </c>
      <c r="B1947" s="34">
        <v>40781</v>
      </c>
      <c r="C1947">
        <v>1.43709</v>
      </c>
      <c r="D1947">
        <v>0</v>
      </c>
      <c r="F1947">
        <v>0.40197999999999801</v>
      </c>
      <c r="G1947">
        <v>28.953693884764999</v>
      </c>
      <c r="H1947">
        <v>1</v>
      </c>
      <c r="I1947">
        <v>0.52203719999999998</v>
      </c>
      <c r="J1947">
        <v>2011</v>
      </c>
      <c r="K1947">
        <v>8</v>
      </c>
      <c r="L1947">
        <v>26</v>
      </c>
      <c r="M1947" t="s">
        <v>91</v>
      </c>
      <c r="N1947">
        <v>0</v>
      </c>
      <c r="O1947">
        <v>0</v>
      </c>
    </row>
    <row r="1948" spans="1:15" x14ac:dyDescent="0.3">
      <c r="A1948">
        <v>2043</v>
      </c>
      <c r="B1948" s="34">
        <v>40784</v>
      </c>
      <c r="C1948">
        <v>1.44984</v>
      </c>
      <c r="D1948">
        <v>0</v>
      </c>
      <c r="F1948">
        <v>0.40197999999999801</v>
      </c>
      <c r="G1948">
        <v>28.953693884764999</v>
      </c>
      <c r="H1948">
        <v>1</v>
      </c>
      <c r="I1948">
        <v>0.52227120000000005</v>
      </c>
      <c r="J1948">
        <v>2011</v>
      </c>
      <c r="K1948">
        <v>8</v>
      </c>
      <c r="L1948">
        <v>29</v>
      </c>
      <c r="M1948" t="s">
        <v>92</v>
      </c>
      <c r="N1948">
        <v>0</v>
      </c>
      <c r="O1948">
        <v>0</v>
      </c>
    </row>
    <row r="1949" spans="1:15" x14ac:dyDescent="0.3">
      <c r="A1949">
        <v>2044</v>
      </c>
      <c r="B1949" s="34">
        <v>40785</v>
      </c>
      <c r="C1949">
        <v>1.45228</v>
      </c>
      <c r="D1949">
        <v>0</v>
      </c>
      <c r="F1949">
        <v>0.40197999999999801</v>
      </c>
      <c r="G1949">
        <v>28.953693884764999</v>
      </c>
      <c r="H1949">
        <v>0</v>
      </c>
      <c r="I1949">
        <v>0.52201560000000002</v>
      </c>
      <c r="J1949">
        <v>2011</v>
      </c>
      <c r="K1949">
        <v>8</v>
      </c>
      <c r="L1949">
        <v>30</v>
      </c>
      <c r="M1949" t="s">
        <v>93</v>
      </c>
      <c r="N1949">
        <v>0</v>
      </c>
      <c r="O1949">
        <v>0</v>
      </c>
    </row>
    <row r="1950" spans="1:15" x14ac:dyDescent="0.3">
      <c r="A1950">
        <v>2045</v>
      </c>
      <c r="B1950" s="34">
        <v>40786</v>
      </c>
      <c r="C1950">
        <v>1.4430799999999999</v>
      </c>
      <c r="D1950">
        <v>0</v>
      </c>
      <c r="F1950">
        <v>0.40197999999999801</v>
      </c>
      <c r="G1950">
        <v>28.953693884764999</v>
      </c>
      <c r="H1950">
        <v>1</v>
      </c>
      <c r="I1950">
        <v>0.52224939999999997</v>
      </c>
      <c r="J1950">
        <v>2011</v>
      </c>
      <c r="K1950">
        <v>8</v>
      </c>
      <c r="L1950">
        <v>31</v>
      </c>
      <c r="M1950" t="s">
        <v>89</v>
      </c>
      <c r="N1950">
        <v>0</v>
      </c>
      <c r="O1950">
        <v>0</v>
      </c>
    </row>
    <row r="1951" spans="1:15" x14ac:dyDescent="0.3">
      <c r="A1951">
        <v>2046</v>
      </c>
      <c r="B1951" s="34">
        <v>40787</v>
      </c>
      <c r="C1951">
        <v>1.4372499999999999</v>
      </c>
      <c r="D1951">
        <v>0</v>
      </c>
      <c r="F1951">
        <v>0.40197999999999801</v>
      </c>
      <c r="G1951">
        <v>28.953693884764999</v>
      </c>
      <c r="H1951">
        <v>0</v>
      </c>
      <c r="I1951">
        <v>0.52199410000000002</v>
      </c>
      <c r="J1951">
        <v>2011</v>
      </c>
      <c r="K1951">
        <v>9</v>
      </c>
      <c r="L1951">
        <v>1</v>
      </c>
      <c r="M1951" t="s">
        <v>90</v>
      </c>
      <c r="N1951">
        <v>0</v>
      </c>
      <c r="O1951">
        <v>0</v>
      </c>
    </row>
    <row r="1952" spans="1:15" x14ac:dyDescent="0.3">
      <c r="A1952">
        <v>2047</v>
      </c>
      <c r="B1952" s="34">
        <v>40788</v>
      </c>
      <c r="C1952">
        <v>1.42615</v>
      </c>
      <c r="D1952">
        <v>0</v>
      </c>
      <c r="F1952">
        <v>0.40197999999999801</v>
      </c>
      <c r="G1952">
        <v>28.953693884764999</v>
      </c>
      <c r="H1952">
        <v>0</v>
      </c>
      <c r="I1952">
        <v>0.52173910000000001</v>
      </c>
      <c r="J1952">
        <v>2011</v>
      </c>
      <c r="K1952">
        <v>9</v>
      </c>
      <c r="L1952">
        <v>2</v>
      </c>
      <c r="M1952" t="s">
        <v>91</v>
      </c>
      <c r="N1952">
        <v>0</v>
      </c>
      <c r="O1952">
        <v>0</v>
      </c>
    </row>
    <row r="1953" spans="1:15" x14ac:dyDescent="0.3">
      <c r="A1953">
        <v>2048</v>
      </c>
      <c r="B1953" s="34">
        <v>40791</v>
      </c>
      <c r="C1953">
        <v>1.4203699999999999</v>
      </c>
      <c r="D1953">
        <v>0</v>
      </c>
      <c r="F1953">
        <v>0.40197999999999801</v>
      </c>
      <c r="G1953">
        <v>28.953693884764999</v>
      </c>
      <c r="H1953">
        <v>0</v>
      </c>
      <c r="I1953">
        <v>0.52148439999999996</v>
      </c>
      <c r="J1953">
        <v>2011</v>
      </c>
      <c r="K1953">
        <v>9</v>
      </c>
      <c r="L1953">
        <v>5</v>
      </c>
      <c r="M1953" t="s">
        <v>92</v>
      </c>
      <c r="N1953">
        <v>0</v>
      </c>
      <c r="O1953">
        <v>0</v>
      </c>
    </row>
    <row r="1954" spans="1:15" x14ac:dyDescent="0.3">
      <c r="A1954">
        <v>2049</v>
      </c>
      <c r="B1954" s="34">
        <v>40792</v>
      </c>
      <c r="C1954">
        <v>1.4063600000000001</v>
      </c>
      <c r="D1954">
        <v>0</v>
      </c>
      <c r="F1954">
        <v>0.40197999999999801</v>
      </c>
      <c r="G1954">
        <v>28.953693884764999</v>
      </c>
      <c r="H1954">
        <v>0</v>
      </c>
      <c r="I1954">
        <v>0.52122990000000002</v>
      </c>
      <c r="J1954">
        <v>2011</v>
      </c>
      <c r="K1954">
        <v>9</v>
      </c>
      <c r="L1954">
        <v>6</v>
      </c>
      <c r="M1954" t="s">
        <v>93</v>
      </c>
      <c r="N1954">
        <v>0</v>
      </c>
      <c r="O1954">
        <v>0</v>
      </c>
    </row>
    <row r="1955" spans="1:15" x14ac:dyDescent="0.3">
      <c r="A1955">
        <v>2050</v>
      </c>
      <c r="B1955" s="34">
        <v>40793</v>
      </c>
      <c r="C1955">
        <v>1.4000999999999999</v>
      </c>
      <c r="D1955">
        <v>0</v>
      </c>
      <c r="F1955">
        <v>0.40197999999999801</v>
      </c>
      <c r="G1955">
        <v>28.953693884764999</v>
      </c>
      <c r="H1955">
        <v>0</v>
      </c>
      <c r="I1955">
        <v>0.52097559999999998</v>
      </c>
      <c r="J1955">
        <v>2011</v>
      </c>
      <c r="K1955">
        <v>9</v>
      </c>
      <c r="L1955">
        <v>7</v>
      </c>
      <c r="M1955" t="s">
        <v>89</v>
      </c>
      <c r="N1955">
        <v>0</v>
      </c>
      <c r="O1955">
        <v>0</v>
      </c>
    </row>
    <row r="1956" spans="1:15" x14ac:dyDescent="0.3">
      <c r="A1956">
        <v>2051</v>
      </c>
      <c r="B1956" s="34">
        <v>40794</v>
      </c>
      <c r="C1956">
        <v>1.40838</v>
      </c>
      <c r="D1956">
        <v>0</v>
      </c>
      <c r="F1956">
        <v>0.40197999999999801</v>
      </c>
      <c r="G1956">
        <v>28.953693884764999</v>
      </c>
      <c r="H1956">
        <v>1</v>
      </c>
      <c r="I1956">
        <v>0.52120920000000004</v>
      </c>
      <c r="J1956">
        <v>2011</v>
      </c>
      <c r="K1956">
        <v>9</v>
      </c>
      <c r="L1956">
        <v>8</v>
      </c>
      <c r="M1956" t="s">
        <v>90</v>
      </c>
      <c r="N1956">
        <v>0</v>
      </c>
      <c r="O1956">
        <v>0</v>
      </c>
    </row>
    <row r="1957" spans="1:15" x14ac:dyDescent="0.3">
      <c r="A1957">
        <v>2052</v>
      </c>
      <c r="B1957" s="34">
        <v>40795</v>
      </c>
      <c r="C1957">
        <v>1.39015</v>
      </c>
      <c r="D1957">
        <v>0</v>
      </c>
      <c r="F1957">
        <v>0.40197999999999801</v>
      </c>
      <c r="G1957">
        <v>28.953693884764999</v>
      </c>
      <c r="H1957">
        <v>1</v>
      </c>
      <c r="I1957">
        <v>0.52144250000000003</v>
      </c>
      <c r="J1957">
        <v>2011</v>
      </c>
      <c r="K1957">
        <v>9</v>
      </c>
      <c r="L1957">
        <v>9</v>
      </c>
      <c r="M1957" t="s">
        <v>91</v>
      </c>
      <c r="N1957">
        <v>0</v>
      </c>
      <c r="O1957">
        <v>0</v>
      </c>
    </row>
    <row r="1958" spans="1:15" x14ac:dyDescent="0.3">
      <c r="A1958">
        <v>2053</v>
      </c>
      <c r="B1958" s="34">
        <v>40798</v>
      </c>
      <c r="C1958">
        <v>1.3653200000000001</v>
      </c>
      <c r="D1958">
        <v>0</v>
      </c>
      <c r="F1958">
        <v>0.40197999999999801</v>
      </c>
      <c r="G1958">
        <v>28.953693884764999</v>
      </c>
      <c r="H1958">
        <v>0</v>
      </c>
      <c r="I1958">
        <v>0.52118850000000005</v>
      </c>
      <c r="J1958">
        <v>2011</v>
      </c>
      <c r="K1958">
        <v>9</v>
      </c>
      <c r="L1958">
        <v>12</v>
      </c>
      <c r="M1958" t="s">
        <v>92</v>
      </c>
      <c r="N1958">
        <v>0</v>
      </c>
      <c r="O1958">
        <v>0</v>
      </c>
    </row>
    <row r="1959" spans="1:15" x14ac:dyDescent="0.3">
      <c r="A1959">
        <v>2054</v>
      </c>
      <c r="B1959" s="34">
        <v>40799</v>
      </c>
      <c r="C1959">
        <v>1.3660399999999999</v>
      </c>
      <c r="D1959">
        <v>0</v>
      </c>
      <c r="F1959">
        <v>0.40197999999999801</v>
      </c>
      <c r="G1959">
        <v>28.953693884764999</v>
      </c>
      <c r="H1959">
        <v>1</v>
      </c>
      <c r="I1959">
        <v>0.52142160000000004</v>
      </c>
      <c r="J1959">
        <v>2011</v>
      </c>
      <c r="K1959">
        <v>9</v>
      </c>
      <c r="L1959">
        <v>13</v>
      </c>
      <c r="M1959" t="s">
        <v>93</v>
      </c>
      <c r="N1959">
        <v>0</v>
      </c>
      <c r="O1959">
        <v>0</v>
      </c>
    </row>
    <row r="1960" spans="1:15" x14ac:dyDescent="0.3">
      <c r="A1960">
        <v>2055</v>
      </c>
      <c r="B1960" s="34">
        <v>40800</v>
      </c>
      <c r="C1960">
        <v>1.36782</v>
      </c>
      <c r="D1960">
        <v>0</v>
      </c>
      <c r="F1960">
        <v>0.40197999999999801</v>
      </c>
      <c r="G1960">
        <v>28.953693884764999</v>
      </c>
      <c r="H1960">
        <v>1</v>
      </c>
      <c r="I1960">
        <v>0.52165450000000002</v>
      </c>
      <c r="J1960">
        <v>2011</v>
      </c>
      <c r="K1960">
        <v>9</v>
      </c>
      <c r="L1960">
        <v>14</v>
      </c>
      <c r="M1960" t="s">
        <v>89</v>
      </c>
      <c r="N1960">
        <v>0</v>
      </c>
      <c r="O1960">
        <v>0</v>
      </c>
    </row>
    <row r="1961" spans="1:15" x14ac:dyDescent="0.3">
      <c r="A1961">
        <v>2056</v>
      </c>
      <c r="B1961" s="34">
        <v>40801</v>
      </c>
      <c r="C1961">
        <v>1.3740600000000001</v>
      </c>
      <c r="D1961">
        <v>0</v>
      </c>
      <c r="F1961">
        <v>0.40197999999999801</v>
      </c>
      <c r="G1961">
        <v>28.953693884764999</v>
      </c>
      <c r="H1961">
        <v>0</v>
      </c>
      <c r="I1961">
        <v>0.52140070000000005</v>
      </c>
      <c r="J1961">
        <v>2011</v>
      </c>
      <c r="K1961">
        <v>9</v>
      </c>
      <c r="L1961">
        <v>15</v>
      </c>
      <c r="M1961" t="s">
        <v>90</v>
      </c>
      <c r="N1961">
        <v>0</v>
      </c>
      <c r="O1961">
        <v>0</v>
      </c>
    </row>
    <row r="1962" spans="1:15" x14ac:dyDescent="0.3">
      <c r="A1962">
        <v>2057</v>
      </c>
      <c r="B1962" s="34">
        <v>40802</v>
      </c>
      <c r="C1962">
        <v>1.3880999999999999</v>
      </c>
      <c r="D1962">
        <v>0</v>
      </c>
      <c r="F1962">
        <v>0.40197999999999801</v>
      </c>
      <c r="G1962">
        <v>28.953693884764999</v>
      </c>
      <c r="H1962">
        <v>0</v>
      </c>
      <c r="I1962">
        <v>0.52114729999999998</v>
      </c>
      <c r="J1962">
        <v>2011</v>
      </c>
      <c r="K1962">
        <v>9</v>
      </c>
      <c r="L1962">
        <v>16</v>
      </c>
      <c r="M1962" t="s">
        <v>91</v>
      </c>
      <c r="N1962">
        <v>0</v>
      </c>
      <c r="O1962">
        <v>0</v>
      </c>
    </row>
    <row r="1963" spans="1:15" x14ac:dyDescent="0.3">
      <c r="A1963">
        <v>2058</v>
      </c>
      <c r="B1963" s="34">
        <v>40805</v>
      </c>
      <c r="C1963">
        <v>1.37941</v>
      </c>
      <c r="D1963">
        <v>0</v>
      </c>
      <c r="F1963">
        <v>0.40197999999999801</v>
      </c>
      <c r="G1963">
        <v>28.953693884764999</v>
      </c>
      <c r="H1963">
        <v>1</v>
      </c>
      <c r="I1963">
        <v>0.52137999999999995</v>
      </c>
      <c r="J1963">
        <v>2011</v>
      </c>
      <c r="K1963">
        <v>9</v>
      </c>
      <c r="L1963">
        <v>19</v>
      </c>
      <c r="M1963" t="s">
        <v>92</v>
      </c>
      <c r="N1963">
        <v>0</v>
      </c>
      <c r="O1963">
        <v>0</v>
      </c>
    </row>
    <row r="1964" spans="1:15" x14ac:dyDescent="0.3">
      <c r="A1964">
        <v>2059</v>
      </c>
      <c r="B1964" s="34">
        <v>40806</v>
      </c>
      <c r="C1964">
        <v>1.3674200000000001</v>
      </c>
      <c r="D1964">
        <v>0</v>
      </c>
      <c r="F1964">
        <v>0.40197999999999801</v>
      </c>
      <c r="G1964">
        <v>28.953693884764999</v>
      </c>
      <c r="H1964">
        <v>1</v>
      </c>
      <c r="I1964">
        <v>0.52161239999999998</v>
      </c>
      <c r="J1964">
        <v>2011</v>
      </c>
      <c r="K1964">
        <v>9</v>
      </c>
      <c r="L1964">
        <v>20</v>
      </c>
      <c r="M1964" t="s">
        <v>93</v>
      </c>
      <c r="N1964">
        <v>0</v>
      </c>
      <c r="O1964">
        <v>0</v>
      </c>
    </row>
    <row r="1965" spans="1:15" x14ac:dyDescent="0.3">
      <c r="A1965">
        <v>2060</v>
      </c>
      <c r="B1965" s="34">
        <v>40807</v>
      </c>
      <c r="C1965">
        <v>1.3700699999999999</v>
      </c>
      <c r="D1965">
        <v>0</v>
      </c>
      <c r="F1965">
        <v>0.40197999999999801</v>
      </c>
      <c r="G1965">
        <v>28.953693884764999</v>
      </c>
      <c r="H1965">
        <v>1</v>
      </c>
      <c r="I1965">
        <v>0.52184470000000005</v>
      </c>
      <c r="J1965">
        <v>2011</v>
      </c>
      <c r="K1965">
        <v>9</v>
      </c>
      <c r="L1965">
        <v>21</v>
      </c>
      <c r="M1965" t="s">
        <v>89</v>
      </c>
      <c r="N1965">
        <v>0</v>
      </c>
      <c r="O1965">
        <v>0</v>
      </c>
    </row>
    <row r="1966" spans="1:15" x14ac:dyDescent="0.3">
      <c r="A1966">
        <v>2061</v>
      </c>
      <c r="B1966" s="34">
        <v>40808</v>
      </c>
      <c r="C1966">
        <v>1.3587100000000001</v>
      </c>
      <c r="D1966">
        <v>0</v>
      </c>
      <c r="F1966">
        <v>0.40197999999999801</v>
      </c>
      <c r="G1966">
        <v>28.953693884764999</v>
      </c>
      <c r="H1966">
        <v>0</v>
      </c>
      <c r="I1966">
        <v>0.52159149999999999</v>
      </c>
      <c r="J1966">
        <v>2011</v>
      </c>
      <c r="K1966">
        <v>9</v>
      </c>
      <c r="L1966">
        <v>22</v>
      </c>
      <c r="M1966" t="s">
        <v>90</v>
      </c>
      <c r="N1966">
        <v>0</v>
      </c>
      <c r="O1966">
        <v>0</v>
      </c>
    </row>
    <row r="1967" spans="1:15" x14ac:dyDescent="0.3">
      <c r="A1967">
        <v>2062</v>
      </c>
      <c r="B1967" s="34">
        <v>40809</v>
      </c>
      <c r="C1967">
        <v>1.3454900000000001</v>
      </c>
      <c r="D1967">
        <v>0</v>
      </c>
      <c r="F1967">
        <v>0.40197999999999801</v>
      </c>
      <c r="G1967">
        <v>28.953693884764999</v>
      </c>
      <c r="H1967">
        <v>0</v>
      </c>
      <c r="I1967">
        <v>0.52133850000000004</v>
      </c>
      <c r="J1967">
        <v>2011</v>
      </c>
      <c r="K1967">
        <v>9</v>
      </c>
      <c r="L1967">
        <v>23</v>
      </c>
      <c r="M1967" t="s">
        <v>91</v>
      </c>
      <c r="N1967">
        <v>0</v>
      </c>
      <c r="O1967">
        <v>0</v>
      </c>
    </row>
    <row r="1968" spans="1:15" x14ac:dyDescent="0.3">
      <c r="A1968">
        <v>2063</v>
      </c>
      <c r="B1968" s="34">
        <v>40812</v>
      </c>
      <c r="C1968">
        <v>1.3497399999999999</v>
      </c>
      <c r="D1968">
        <v>0</v>
      </c>
      <c r="F1968">
        <v>0.40197999999999801</v>
      </c>
      <c r="G1968">
        <v>28.953693884764999</v>
      </c>
      <c r="H1968">
        <v>1</v>
      </c>
      <c r="I1968">
        <v>0.52157050000000005</v>
      </c>
      <c r="J1968">
        <v>2011</v>
      </c>
      <c r="K1968">
        <v>9</v>
      </c>
      <c r="L1968">
        <v>26</v>
      </c>
      <c r="M1968" t="s">
        <v>92</v>
      </c>
      <c r="N1968">
        <v>0</v>
      </c>
      <c r="O1968">
        <v>0</v>
      </c>
    </row>
    <row r="1969" spans="1:15" x14ac:dyDescent="0.3">
      <c r="A1969">
        <v>2064</v>
      </c>
      <c r="B1969" s="34">
        <v>40813</v>
      </c>
      <c r="C1969">
        <v>1.3526800000000001</v>
      </c>
      <c r="D1969">
        <v>0</v>
      </c>
      <c r="F1969">
        <v>0.40197999999999801</v>
      </c>
      <c r="G1969">
        <v>28.953693884764999</v>
      </c>
      <c r="H1969">
        <v>1</v>
      </c>
      <c r="I1969">
        <v>0.52180230000000005</v>
      </c>
      <c r="J1969">
        <v>2011</v>
      </c>
      <c r="K1969">
        <v>9</v>
      </c>
      <c r="L1969">
        <v>27</v>
      </c>
      <c r="M1969" t="s">
        <v>93</v>
      </c>
      <c r="N1969">
        <v>0</v>
      </c>
      <c r="O1969">
        <v>0</v>
      </c>
    </row>
    <row r="1970" spans="1:15" x14ac:dyDescent="0.3">
      <c r="A1970">
        <v>2065</v>
      </c>
      <c r="B1970" s="34">
        <v>40814</v>
      </c>
      <c r="C1970">
        <v>1.35849</v>
      </c>
      <c r="D1970">
        <v>0</v>
      </c>
      <c r="F1970">
        <v>0.40197999999999801</v>
      </c>
      <c r="G1970">
        <v>28.953693884764999</v>
      </c>
      <c r="H1970">
        <v>0</v>
      </c>
      <c r="I1970">
        <v>0.52154959999999995</v>
      </c>
      <c r="J1970">
        <v>2011</v>
      </c>
      <c r="K1970">
        <v>9</v>
      </c>
      <c r="L1970">
        <v>28</v>
      </c>
      <c r="M1970" t="s">
        <v>89</v>
      </c>
      <c r="N1970">
        <v>0</v>
      </c>
      <c r="O1970">
        <v>0</v>
      </c>
    </row>
    <row r="1971" spans="1:15" x14ac:dyDescent="0.3">
      <c r="A1971">
        <v>2066</v>
      </c>
      <c r="B1971" s="34">
        <v>40815</v>
      </c>
      <c r="C1971">
        <v>1.3524499999999999</v>
      </c>
      <c r="D1971">
        <v>0</v>
      </c>
      <c r="F1971">
        <v>0.40197999999999801</v>
      </c>
      <c r="G1971">
        <v>28.953693884764999</v>
      </c>
      <c r="H1971">
        <v>1</v>
      </c>
      <c r="I1971">
        <v>0.52178119999999995</v>
      </c>
      <c r="J1971">
        <v>2011</v>
      </c>
      <c r="K1971">
        <v>9</v>
      </c>
      <c r="L1971">
        <v>29</v>
      </c>
      <c r="M1971" t="s">
        <v>90</v>
      </c>
      <c r="N1971">
        <v>0</v>
      </c>
      <c r="O1971">
        <v>0</v>
      </c>
    </row>
    <row r="1972" spans="1:15" x14ac:dyDescent="0.3">
      <c r="A1972">
        <v>2067</v>
      </c>
      <c r="B1972" s="34">
        <v>40816</v>
      </c>
      <c r="C1972">
        <v>1.3582399999999999</v>
      </c>
      <c r="D1972">
        <v>0</v>
      </c>
      <c r="F1972">
        <v>0.40197999999999801</v>
      </c>
      <c r="G1972">
        <v>28.953693884764999</v>
      </c>
      <c r="H1972">
        <v>1</v>
      </c>
      <c r="I1972">
        <v>0.52201260000000005</v>
      </c>
      <c r="J1972">
        <v>2011</v>
      </c>
      <c r="K1972">
        <v>9</v>
      </c>
      <c r="L1972">
        <v>30</v>
      </c>
      <c r="M1972" t="s">
        <v>91</v>
      </c>
      <c r="N1972">
        <v>0</v>
      </c>
      <c r="O1972">
        <v>0</v>
      </c>
    </row>
    <row r="1973" spans="1:15" x14ac:dyDescent="0.3">
      <c r="A1973">
        <v>2068</v>
      </c>
      <c r="B1973" s="34">
        <v>40819</v>
      </c>
      <c r="C1973">
        <v>1.33846</v>
      </c>
      <c r="D1973">
        <v>0</v>
      </c>
      <c r="F1973">
        <v>0.40197999999999801</v>
      </c>
      <c r="G1973">
        <v>28.953693884764999</v>
      </c>
      <c r="H1973">
        <v>1</v>
      </c>
      <c r="I1973">
        <v>0.52224369999999998</v>
      </c>
      <c r="J1973">
        <v>2011</v>
      </c>
      <c r="K1973">
        <v>10</v>
      </c>
      <c r="L1973">
        <v>3</v>
      </c>
      <c r="M1973" t="s">
        <v>92</v>
      </c>
      <c r="N1973">
        <v>0</v>
      </c>
      <c r="O1973">
        <v>0</v>
      </c>
    </row>
    <row r="1974" spans="1:15" x14ac:dyDescent="0.3">
      <c r="A1974">
        <v>2069</v>
      </c>
      <c r="B1974" s="34">
        <v>40820</v>
      </c>
      <c r="C1974">
        <v>1.3189900000000001</v>
      </c>
      <c r="D1974">
        <v>0</v>
      </c>
      <c r="F1974">
        <v>0.40197999999999801</v>
      </c>
      <c r="G1974">
        <v>28.953693884764999</v>
      </c>
      <c r="H1974">
        <v>0</v>
      </c>
      <c r="I1974">
        <v>0.52199130000000005</v>
      </c>
      <c r="J1974">
        <v>2011</v>
      </c>
      <c r="K1974">
        <v>10</v>
      </c>
      <c r="L1974">
        <v>4</v>
      </c>
      <c r="M1974" t="s">
        <v>93</v>
      </c>
      <c r="N1974">
        <v>0</v>
      </c>
      <c r="O1974">
        <v>0</v>
      </c>
    </row>
    <row r="1975" spans="1:15" x14ac:dyDescent="0.3">
      <c r="A1975">
        <v>2070</v>
      </c>
      <c r="B1975" s="34">
        <v>40821</v>
      </c>
      <c r="C1975">
        <v>1.33365</v>
      </c>
      <c r="D1975">
        <v>0</v>
      </c>
      <c r="F1975">
        <v>0.40197999999999801</v>
      </c>
      <c r="G1975">
        <v>28.953693884764999</v>
      </c>
      <c r="H1975">
        <v>1</v>
      </c>
      <c r="I1975">
        <v>0.52222219999999997</v>
      </c>
      <c r="J1975">
        <v>2011</v>
      </c>
      <c r="K1975">
        <v>10</v>
      </c>
      <c r="L1975">
        <v>5</v>
      </c>
      <c r="M1975" t="s">
        <v>89</v>
      </c>
      <c r="N1975">
        <v>0</v>
      </c>
      <c r="O1975">
        <v>0</v>
      </c>
    </row>
    <row r="1976" spans="1:15" x14ac:dyDescent="0.3">
      <c r="A1976">
        <v>2071</v>
      </c>
      <c r="B1976" s="34">
        <v>40822</v>
      </c>
      <c r="C1976">
        <v>1.3347199999999999</v>
      </c>
      <c r="D1976">
        <v>0</v>
      </c>
      <c r="F1976">
        <v>0.40197999999999801</v>
      </c>
      <c r="G1976">
        <v>28.953693884764999</v>
      </c>
      <c r="H1976">
        <v>0</v>
      </c>
      <c r="I1976">
        <v>0.52197000000000005</v>
      </c>
      <c r="J1976">
        <v>2011</v>
      </c>
      <c r="K1976">
        <v>10</v>
      </c>
      <c r="L1976">
        <v>6</v>
      </c>
      <c r="M1976" t="s">
        <v>90</v>
      </c>
      <c r="N1976">
        <v>0</v>
      </c>
      <c r="O1976">
        <v>0</v>
      </c>
    </row>
    <row r="1977" spans="1:15" x14ac:dyDescent="0.3">
      <c r="A1977">
        <v>2072</v>
      </c>
      <c r="B1977" s="34">
        <v>40823</v>
      </c>
      <c r="C1977">
        <v>1.34274</v>
      </c>
      <c r="D1977">
        <v>0</v>
      </c>
      <c r="F1977">
        <v>0.40197999999999801</v>
      </c>
      <c r="G1977">
        <v>28.953693884764999</v>
      </c>
      <c r="H1977">
        <v>0</v>
      </c>
      <c r="I1977">
        <v>0.52171809999999996</v>
      </c>
      <c r="J1977">
        <v>2011</v>
      </c>
      <c r="K1977">
        <v>10</v>
      </c>
      <c r="L1977">
        <v>7</v>
      </c>
      <c r="M1977" t="s">
        <v>91</v>
      </c>
      <c r="N1977">
        <v>0</v>
      </c>
      <c r="O1977">
        <v>0</v>
      </c>
    </row>
    <row r="1978" spans="1:15" x14ac:dyDescent="0.3">
      <c r="A1978">
        <v>2073</v>
      </c>
      <c r="B1978" s="34">
        <v>40826</v>
      </c>
      <c r="C1978">
        <v>1.33755</v>
      </c>
      <c r="D1978">
        <v>0</v>
      </c>
      <c r="F1978">
        <v>0.40197999999999801</v>
      </c>
      <c r="G1978">
        <v>28.953693884764999</v>
      </c>
      <c r="H1978">
        <v>1</v>
      </c>
      <c r="I1978">
        <v>0.52194890000000005</v>
      </c>
      <c r="J1978">
        <v>2011</v>
      </c>
      <c r="K1978">
        <v>10</v>
      </c>
      <c r="L1978">
        <v>10</v>
      </c>
      <c r="M1978" t="s">
        <v>92</v>
      </c>
      <c r="N1978">
        <v>0</v>
      </c>
      <c r="O1978">
        <v>0</v>
      </c>
    </row>
    <row r="1979" spans="1:15" x14ac:dyDescent="0.3">
      <c r="A1979">
        <v>2074</v>
      </c>
      <c r="B1979" s="34">
        <v>40827</v>
      </c>
      <c r="C1979">
        <v>1.3634900000000001</v>
      </c>
      <c r="D1979">
        <v>0</v>
      </c>
      <c r="F1979">
        <v>0.40197999999999801</v>
      </c>
      <c r="G1979">
        <v>28.953693884764999</v>
      </c>
      <c r="H1979">
        <v>0</v>
      </c>
      <c r="I1979">
        <v>0.52169719999999997</v>
      </c>
      <c r="J1979">
        <v>2011</v>
      </c>
      <c r="K1979">
        <v>10</v>
      </c>
      <c r="L1979">
        <v>11</v>
      </c>
      <c r="M1979" t="s">
        <v>93</v>
      </c>
      <c r="N1979">
        <v>0</v>
      </c>
      <c r="O1979">
        <v>0</v>
      </c>
    </row>
    <row r="1980" spans="1:15" x14ac:dyDescent="0.3">
      <c r="A1980">
        <v>2075</v>
      </c>
      <c r="B1980" s="34">
        <v>40828</v>
      </c>
      <c r="C1980">
        <v>1.3648899999999999</v>
      </c>
      <c r="D1980">
        <v>0</v>
      </c>
      <c r="F1980">
        <v>0.40197999999999801</v>
      </c>
      <c r="G1980">
        <v>28.953693884764999</v>
      </c>
      <c r="H1980">
        <v>0</v>
      </c>
      <c r="I1980">
        <v>0.52144579999999996</v>
      </c>
      <c r="J1980">
        <v>2011</v>
      </c>
      <c r="K1980">
        <v>10</v>
      </c>
      <c r="L1980">
        <v>12</v>
      </c>
      <c r="M1980" t="s">
        <v>89</v>
      </c>
      <c r="N1980">
        <v>0</v>
      </c>
      <c r="O1980">
        <v>0</v>
      </c>
    </row>
    <row r="1981" spans="1:15" x14ac:dyDescent="0.3">
      <c r="A1981">
        <v>2076</v>
      </c>
      <c r="B1981" s="34">
        <v>40829</v>
      </c>
      <c r="C1981">
        <v>1.3775900000000001</v>
      </c>
      <c r="D1981">
        <v>0</v>
      </c>
      <c r="F1981">
        <v>0.40197999999999801</v>
      </c>
      <c r="G1981">
        <v>28.953693884764999</v>
      </c>
      <c r="H1981">
        <v>0</v>
      </c>
      <c r="I1981">
        <v>0.52119459999999995</v>
      </c>
      <c r="J1981">
        <v>2011</v>
      </c>
      <c r="K1981">
        <v>10</v>
      </c>
      <c r="L1981">
        <v>13</v>
      </c>
      <c r="M1981" t="s">
        <v>90</v>
      </c>
      <c r="N1981">
        <v>0</v>
      </c>
      <c r="O1981">
        <v>0</v>
      </c>
    </row>
    <row r="1982" spans="1:15" x14ac:dyDescent="0.3">
      <c r="A1982">
        <v>2077</v>
      </c>
      <c r="B1982" s="34">
        <v>40830</v>
      </c>
      <c r="C1982">
        <v>1.3771599999999999</v>
      </c>
      <c r="D1982">
        <v>0</v>
      </c>
      <c r="F1982">
        <v>0.40197999999999801</v>
      </c>
      <c r="G1982">
        <v>28.953693884764999</v>
      </c>
      <c r="H1982">
        <v>1</v>
      </c>
      <c r="I1982">
        <v>0.52142509999999997</v>
      </c>
      <c r="J1982">
        <v>2011</v>
      </c>
      <c r="K1982">
        <v>10</v>
      </c>
      <c r="L1982">
        <v>14</v>
      </c>
      <c r="M1982" t="s">
        <v>91</v>
      </c>
      <c r="N1982">
        <v>0</v>
      </c>
      <c r="O1982">
        <v>0</v>
      </c>
    </row>
    <row r="1983" spans="1:15" x14ac:dyDescent="0.3">
      <c r="A1983">
        <v>2078</v>
      </c>
      <c r="B1983" s="34">
        <v>40833</v>
      </c>
      <c r="C1983">
        <v>1.3877999999999999</v>
      </c>
      <c r="D1983">
        <v>0</v>
      </c>
      <c r="F1983">
        <v>0.40197999999999801</v>
      </c>
      <c r="G1983">
        <v>28.953693884764999</v>
      </c>
      <c r="H1983">
        <v>0</v>
      </c>
      <c r="I1983">
        <v>0.52117420000000003</v>
      </c>
      <c r="J1983">
        <v>2011</v>
      </c>
      <c r="K1983">
        <v>10</v>
      </c>
      <c r="L1983">
        <v>17</v>
      </c>
      <c r="M1983" t="s">
        <v>92</v>
      </c>
      <c r="N1983">
        <v>0</v>
      </c>
      <c r="O1983">
        <v>0</v>
      </c>
    </row>
    <row r="1984" spans="1:15" x14ac:dyDescent="0.3">
      <c r="A1984">
        <v>2079</v>
      </c>
      <c r="B1984" s="34">
        <v>40834</v>
      </c>
      <c r="C1984">
        <v>1.3734599999999999</v>
      </c>
      <c r="D1984">
        <v>0</v>
      </c>
      <c r="F1984">
        <v>0.40197999999999801</v>
      </c>
      <c r="G1984">
        <v>28.953693884764999</v>
      </c>
      <c r="H1984">
        <v>1</v>
      </c>
      <c r="I1984">
        <v>0.52140450000000005</v>
      </c>
      <c r="J1984">
        <v>2011</v>
      </c>
      <c r="K1984">
        <v>10</v>
      </c>
      <c r="L1984">
        <v>18</v>
      </c>
      <c r="M1984" t="s">
        <v>93</v>
      </c>
      <c r="N1984">
        <v>0</v>
      </c>
      <c r="O1984">
        <v>0</v>
      </c>
    </row>
    <row r="1985" spans="1:15" x14ac:dyDescent="0.3">
      <c r="A1985">
        <v>2080</v>
      </c>
      <c r="B1985" s="34">
        <v>40835</v>
      </c>
      <c r="C1985">
        <v>1.37331</v>
      </c>
      <c r="D1985">
        <v>0</v>
      </c>
      <c r="F1985">
        <v>0.40197999999999801</v>
      </c>
      <c r="G1985">
        <v>28.953693884764999</v>
      </c>
      <c r="H1985">
        <v>0</v>
      </c>
      <c r="I1985">
        <v>0.52115389999999995</v>
      </c>
      <c r="J1985">
        <v>2011</v>
      </c>
      <c r="K1985">
        <v>10</v>
      </c>
      <c r="L1985">
        <v>19</v>
      </c>
      <c r="M1985" t="s">
        <v>89</v>
      </c>
      <c r="N1985">
        <v>0</v>
      </c>
      <c r="O1985">
        <v>0</v>
      </c>
    </row>
    <row r="1986" spans="1:15" x14ac:dyDescent="0.3">
      <c r="A1986">
        <v>2081</v>
      </c>
      <c r="B1986" s="34">
        <v>40836</v>
      </c>
      <c r="C1986">
        <v>1.3757900000000001</v>
      </c>
      <c r="D1986">
        <v>0</v>
      </c>
      <c r="F1986">
        <v>0.40197999999999801</v>
      </c>
      <c r="G1986">
        <v>28.953693884764999</v>
      </c>
      <c r="H1986">
        <v>1</v>
      </c>
      <c r="I1986">
        <v>0.52138390000000001</v>
      </c>
      <c r="J1986">
        <v>2011</v>
      </c>
      <c r="K1986">
        <v>10</v>
      </c>
      <c r="L1986">
        <v>20</v>
      </c>
      <c r="M1986" t="s">
        <v>90</v>
      </c>
      <c r="N1986">
        <v>0</v>
      </c>
      <c r="O1986">
        <v>0</v>
      </c>
    </row>
    <row r="1987" spans="1:15" x14ac:dyDescent="0.3">
      <c r="A1987">
        <v>2082</v>
      </c>
      <c r="B1987" s="34">
        <v>40837</v>
      </c>
      <c r="C1987">
        <v>1.3775900000000001</v>
      </c>
      <c r="D1987">
        <v>0</v>
      </c>
      <c r="F1987">
        <v>0.40197999999999801</v>
      </c>
      <c r="G1987">
        <v>28.953693884764999</v>
      </c>
      <c r="H1987">
        <v>1</v>
      </c>
      <c r="I1987">
        <v>0.52161380000000002</v>
      </c>
      <c r="J1987">
        <v>2011</v>
      </c>
      <c r="K1987">
        <v>10</v>
      </c>
      <c r="L1987">
        <v>21</v>
      </c>
      <c r="M1987" t="s">
        <v>91</v>
      </c>
      <c r="N1987">
        <v>0</v>
      </c>
      <c r="O1987">
        <v>0</v>
      </c>
    </row>
    <row r="1988" spans="1:15" x14ac:dyDescent="0.3">
      <c r="A1988">
        <v>2083</v>
      </c>
      <c r="B1988" s="34">
        <v>40840</v>
      </c>
      <c r="C1988">
        <v>1.38917</v>
      </c>
      <c r="D1988">
        <v>0</v>
      </c>
      <c r="F1988">
        <v>0.40197999999999801</v>
      </c>
      <c r="G1988">
        <v>28.953693884764999</v>
      </c>
      <c r="H1988">
        <v>0</v>
      </c>
      <c r="I1988">
        <v>0.52136340000000003</v>
      </c>
      <c r="J1988">
        <v>2011</v>
      </c>
      <c r="K1988">
        <v>10</v>
      </c>
      <c r="L1988">
        <v>24</v>
      </c>
      <c r="M1988" t="s">
        <v>92</v>
      </c>
      <c r="N1988">
        <v>0</v>
      </c>
      <c r="O1988">
        <v>0</v>
      </c>
    </row>
    <row r="1989" spans="1:15" x14ac:dyDescent="0.3">
      <c r="A1989">
        <v>2084</v>
      </c>
      <c r="B1989" s="34">
        <v>40841</v>
      </c>
      <c r="C1989">
        <v>1.39314</v>
      </c>
      <c r="D1989">
        <v>0</v>
      </c>
      <c r="F1989">
        <v>0.40197999999999801</v>
      </c>
      <c r="G1989">
        <v>28.953693884764999</v>
      </c>
      <c r="H1989">
        <v>0</v>
      </c>
      <c r="I1989">
        <v>0.52111320000000005</v>
      </c>
      <c r="J1989">
        <v>2011</v>
      </c>
      <c r="K1989">
        <v>10</v>
      </c>
      <c r="L1989">
        <v>25</v>
      </c>
      <c r="M1989" t="s">
        <v>93</v>
      </c>
      <c r="N1989">
        <v>0</v>
      </c>
      <c r="O1989">
        <v>0</v>
      </c>
    </row>
    <row r="1990" spans="1:15" x14ac:dyDescent="0.3">
      <c r="A1990">
        <v>2085</v>
      </c>
      <c r="B1990" s="34">
        <v>40842</v>
      </c>
      <c r="C1990">
        <v>1.39079</v>
      </c>
      <c r="D1990">
        <v>0</v>
      </c>
      <c r="F1990">
        <v>0.40197999999999801</v>
      </c>
      <c r="G1990">
        <v>28.953693884764999</v>
      </c>
      <c r="H1990">
        <v>1</v>
      </c>
      <c r="I1990">
        <v>0.52134290000000005</v>
      </c>
      <c r="J1990">
        <v>2011</v>
      </c>
      <c r="K1990">
        <v>10</v>
      </c>
      <c r="L1990">
        <v>26</v>
      </c>
      <c r="M1990" t="s">
        <v>89</v>
      </c>
      <c r="N1990">
        <v>0</v>
      </c>
      <c r="O1990">
        <v>0</v>
      </c>
    </row>
    <row r="1991" spans="1:15" x14ac:dyDescent="0.3">
      <c r="A1991">
        <v>2086</v>
      </c>
      <c r="B1991" s="34">
        <v>40843</v>
      </c>
      <c r="C1991">
        <v>1.38941</v>
      </c>
      <c r="D1991">
        <v>0</v>
      </c>
      <c r="F1991">
        <v>0.40197999999999801</v>
      </c>
      <c r="G1991">
        <v>28.953693884764999</v>
      </c>
      <c r="H1991">
        <v>1</v>
      </c>
      <c r="I1991">
        <v>0.52157240000000005</v>
      </c>
      <c r="J1991">
        <v>2011</v>
      </c>
      <c r="K1991">
        <v>10</v>
      </c>
      <c r="L1991">
        <v>27</v>
      </c>
      <c r="M1991" t="s">
        <v>90</v>
      </c>
      <c r="N1991">
        <v>0</v>
      </c>
      <c r="O1991">
        <v>0</v>
      </c>
    </row>
    <row r="1992" spans="1:15" x14ac:dyDescent="0.3">
      <c r="A1992">
        <v>2087</v>
      </c>
      <c r="B1992" s="34">
        <v>40844</v>
      </c>
      <c r="C1992">
        <v>1.4184399999999999</v>
      </c>
      <c r="D1992">
        <v>0</v>
      </c>
      <c r="F1992">
        <v>0.40197999999999801</v>
      </c>
      <c r="G1992">
        <v>28.953693884764999</v>
      </c>
      <c r="H1992">
        <v>0</v>
      </c>
      <c r="I1992">
        <v>0.52132250000000002</v>
      </c>
      <c r="J1992">
        <v>2011</v>
      </c>
      <c r="K1992">
        <v>10</v>
      </c>
      <c r="L1992">
        <v>28</v>
      </c>
      <c r="M1992" t="s">
        <v>91</v>
      </c>
      <c r="N1992">
        <v>0</v>
      </c>
      <c r="O1992">
        <v>0</v>
      </c>
    </row>
    <row r="1993" spans="1:15" x14ac:dyDescent="0.3">
      <c r="A1993">
        <v>2088</v>
      </c>
      <c r="B1993" s="34">
        <v>40847</v>
      </c>
      <c r="C1993">
        <v>1.4145300000000001</v>
      </c>
      <c r="D1993">
        <v>0</v>
      </c>
      <c r="F1993">
        <v>0.40197999999999801</v>
      </c>
      <c r="G1993">
        <v>28.953693884764999</v>
      </c>
      <c r="H1993">
        <v>1</v>
      </c>
      <c r="I1993">
        <v>0.52155169999999995</v>
      </c>
      <c r="J1993">
        <v>2011</v>
      </c>
      <c r="K1993">
        <v>10</v>
      </c>
      <c r="L1993">
        <v>31</v>
      </c>
      <c r="M1993" t="s">
        <v>92</v>
      </c>
      <c r="N1993">
        <v>0</v>
      </c>
      <c r="O1993">
        <v>0</v>
      </c>
    </row>
    <row r="1994" spans="1:15" x14ac:dyDescent="0.3">
      <c r="A1994">
        <v>2089</v>
      </c>
      <c r="B1994" s="34">
        <v>40848</v>
      </c>
      <c r="C1994">
        <v>1.3859399999999999</v>
      </c>
      <c r="D1994">
        <v>0</v>
      </c>
      <c r="F1994">
        <v>0.40197999999999801</v>
      </c>
      <c r="G1994">
        <v>28.953693884764999</v>
      </c>
      <c r="H1994">
        <v>1</v>
      </c>
      <c r="I1994">
        <v>0.52178069999999999</v>
      </c>
      <c r="J1994">
        <v>2011</v>
      </c>
      <c r="K1994">
        <v>11</v>
      </c>
      <c r="L1994">
        <v>1</v>
      </c>
      <c r="M1994" t="s">
        <v>93</v>
      </c>
      <c r="N1994">
        <v>0</v>
      </c>
      <c r="O1994">
        <v>0</v>
      </c>
    </row>
    <row r="1995" spans="1:15" x14ac:dyDescent="0.3">
      <c r="A1995">
        <v>2090</v>
      </c>
      <c r="B1995" s="34">
        <v>40849</v>
      </c>
      <c r="C1995">
        <v>1.3695999999999999</v>
      </c>
      <c r="D1995">
        <v>0</v>
      </c>
      <c r="F1995">
        <v>0.40197999999999801</v>
      </c>
      <c r="G1995">
        <v>28.953693884764999</v>
      </c>
      <c r="H1995">
        <v>0</v>
      </c>
      <c r="I1995">
        <v>0.52153110000000003</v>
      </c>
      <c r="J1995">
        <v>2011</v>
      </c>
      <c r="K1995">
        <v>11</v>
      </c>
      <c r="L1995">
        <v>2</v>
      </c>
      <c r="M1995" t="s">
        <v>89</v>
      </c>
      <c r="N1995">
        <v>0</v>
      </c>
      <c r="O1995">
        <v>0</v>
      </c>
    </row>
    <row r="1996" spans="1:15" x14ac:dyDescent="0.3">
      <c r="A1996">
        <v>2091</v>
      </c>
      <c r="B1996" s="34">
        <v>40850</v>
      </c>
      <c r="C1996">
        <v>1.37473</v>
      </c>
      <c r="D1996">
        <v>0</v>
      </c>
      <c r="F1996">
        <v>0.40197999999999801</v>
      </c>
      <c r="G1996">
        <v>28.953693884764999</v>
      </c>
      <c r="H1996">
        <v>1</v>
      </c>
      <c r="I1996">
        <v>0.52175990000000005</v>
      </c>
      <c r="J1996">
        <v>2011</v>
      </c>
      <c r="K1996">
        <v>11</v>
      </c>
      <c r="L1996">
        <v>3</v>
      </c>
      <c r="M1996" t="s">
        <v>90</v>
      </c>
      <c r="N1996">
        <v>0</v>
      </c>
      <c r="O1996">
        <v>0</v>
      </c>
    </row>
    <row r="1997" spans="1:15" x14ac:dyDescent="0.3">
      <c r="A1997">
        <v>2092</v>
      </c>
      <c r="B1997" s="34">
        <v>40851</v>
      </c>
      <c r="C1997">
        <v>1.3812800000000001</v>
      </c>
      <c r="D1997">
        <v>0</v>
      </c>
      <c r="F1997">
        <v>0.40197999999999801</v>
      </c>
      <c r="G1997">
        <v>28.953693884764999</v>
      </c>
      <c r="H1997">
        <v>1</v>
      </c>
      <c r="I1997">
        <v>0.52198849999999997</v>
      </c>
      <c r="J1997">
        <v>2011</v>
      </c>
      <c r="K1997">
        <v>11</v>
      </c>
      <c r="L1997">
        <v>4</v>
      </c>
      <c r="M1997" t="s">
        <v>91</v>
      </c>
      <c r="N1997">
        <v>0</v>
      </c>
      <c r="O1997">
        <v>0</v>
      </c>
    </row>
    <row r="1998" spans="1:15" x14ac:dyDescent="0.3">
      <c r="A1998">
        <v>2093</v>
      </c>
      <c r="B1998" s="34">
        <v>40854</v>
      </c>
      <c r="C1998">
        <v>1.3789800000000001</v>
      </c>
      <c r="D1998">
        <v>0</v>
      </c>
      <c r="F1998">
        <v>0.40197999999999801</v>
      </c>
      <c r="G1998">
        <v>28.953693884764999</v>
      </c>
      <c r="H1998">
        <v>1</v>
      </c>
      <c r="I1998">
        <v>0.52221689999999998</v>
      </c>
      <c r="J1998">
        <v>2011</v>
      </c>
      <c r="K1998">
        <v>11</v>
      </c>
      <c r="L1998">
        <v>7</v>
      </c>
      <c r="M1998" t="s">
        <v>92</v>
      </c>
      <c r="N1998">
        <v>0</v>
      </c>
      <c r="O1998">
        <v>0</v>
      </c>
    </row>
    <row r="1999" spans="1:15" x14ac:dyDescent="0.3">
      <c r="A1999">
        <v>2094</v>
      </c>
      <c r="B1999" s="34">
        <v>40855</v>
      </c>
      <c r="C1999">
        <v>1.37643</v>
      </c>
      <c r="D1999">
        <v>0</v>
      </c>
      <c r="F1999">
        <v>0.40197999999999801</v>
      </c>
      <c r="G1999">
        <v>28.953693884764999</v>
      </c>
      <c r="H1999">
        <v>1</v>
      </c>
      <c r="I1999">
        <v>0.5224451</v>
      </c>
      <c r="J1999">
        <v>2011</v>
      </c>
      <c r="K1999">
        <v>11</v>
      </c>
      <c r="L1999">
        <v>8</v>
      </c>
      <c r="M1999" t="s">
        <v>93</v>
      </c>
      <c r="N1999">
        <v>0</v>
      </c>
      <c r="O1999">
        <v>0</v>
      </c>
    </row>
    <row r="2000" spans="1:15" x14ac:dyDescent="0.3">
      <c r="A2000">
        <v>2095</v>
      </c>
      <c r="B2000" s="34">
        <v>40856</v>
      </c>
      <c r="C2000">
        <v>1.38287</v>
      </c>
      <c r="D2000">
        <v>0</v>
      </c>
      <c r="F2000">
        <v>0.40197999999999801</v>
      </c>
      <c r="G2000">
        <v>28.953693884764999</v>
      </c>
      <c r="H2000">
        <v>1</v>
      </c>
      <c r="I2000">
        <v>0.52267300000000005</v>
      </c>
      <c r="J2000">
        <v>2011</v>
      </c>
      <c r="K2000">
        <v>11</v>
      </c>
      <c r="L2000">
        <v>9</v>
      </c>
      <c r="M2000" t="s">
        <v>89</v>
      </c>
      <c r="N2000">
        <v>0</v>
      </c>
      <c r="O2000">
        <v>0</v>
      </c>
    </row>
    <row r="2001" spans="1:15" x14ac:dyDescent="0.3">
      <c r="A2001">
        <v>2096</v>
      </c>
      <c r="B2001" s="34">
        <v>40857</v>
      </c>
      <c r="C2001">
        <v>1.3522700000000001</v>
      </c>
      <c r="D2001">
        <v>0</v>
      </c>
      <c r="F2001">
        <v>0.40197999999999801</v>
      </c>
      <c r="G2001">
        <v>28.953693884764999</v>
      </c>
      <c r="H2001">
        <v>1</v>
      </c>
      <c r="I2001">
        <v>0.52290080000000005</v>
      </c>
      <c r="J2001">
        <v>2011</v>
      </c>
      <c r="K2001">
        <v>11</v>
      </c>
      <c r="L2001">
        <v>10</v>
      </c>
      <c r="M2001" t="s">
        <v>90</v>
      </c>
      <c r="N2001">
        <v>0</v>
      </c>
      <c r="O2001">
        <v>0</v>
      </c>
    </row>
    <row r="2002" spans="1:15" x14ac:dyDescent="0.3">
      <c r="A2002">
        <v>2097</v>
      </c>
      <c r="B2002" s="34">
        <v>40858</v>
      </c>
      <c r="C2002">
        <v>1.3608199999999999</v>
      </c>
      <c r="D2002">
        <v>0</v>
      </c>
      <c r="F2002">
        <v>0.40197999999999801</v>
      </c>
      <c r="G2002">
        <v>28.953693884764999</v>
      </c>
      <c r="H2002">
        <v>1</v>
      </c>
      <c r="I2002">
        <v>0.52312829999999999</v>
      </c>
      <c r="J2002">
        <v>2011</v>
      </c>
      <c r="K2002">
        <v>11</v>
      </c>
      <c r="L2002">
        <v>11</v>
      </c>
      <c r="M2002" t="s">
        <v>91</v>
      </c>
      <c r="N2002">
        <v>0</v>
      </c>
      <c r="O2002">
        <v>0</v>
      </c>
    </row>
    <row r="2003" spans="1:15" x14ac:dyDescent="0.3">
      <c r="A2003">
        <v>2098</v>
      </c>
      <c r="B2003" s="34">
        <v>40861</v>
      </c>
      <c r="C2003">
        <v>1.3767199999999999</v>
      </c>
      <c r="D2003">
        <v>0</v>
      </c>
      <c r="F2003">
        <v>0.40197999999999801</v>
      </c>
      <c r="G2003">
        <v>28.953693884764999</v>
      </c>
      <c r="H2003">
        <v>1</v>
      </c>
      <c r="I2003">
        <v>0.52335560000000003</v>
      </c>
      <c r="J2003">
        <v>2011</v>
      </c>
      <c r="K2003">
        <v>11</v>
      </c>
      <c r="L2003">
        <v>14</v>
      </c>
      <c r="M2003" t="s">
        <v>92</v>
      </c>
      <c r="N2003">
        <v>0</v>
      </c>
      <c r="O2003">
        <v>0</v>
      </c>
    </row>
    <row r="2004" spans="1:15" x14ac:dyDescent="0.3">
      <c r="A2004">
        <v>2099</v>
      </c>
      <c r="B2004" s="34">
        <v>40862</v>
      </c>
      <c r="C2004">
        <v>1.3621000000000001</v>
      </c>
      <c r="D2004">
        <v>0</v>
      </c>
      <c r="F2004">
        <v>0.40197999999999801</v>
      </c>
      <c r="G2004">
        <v>28.953693884764999</v>
      </c>
      <c r="H2004">
        <v>1</v>
      </c>
      <c r="I2004">
        <v>0.52358260000000001</v>
      </c>
      <c r="J2004">
        <v>2011</v>
      </c>
      <c r="K2004">
        <v>11</v>
      </c>
      <c r="L2004">
        <v>15</v>
      </c>
      <c r="M2004" t="s">
        <v>93</v>
      </c>
      <c r="N2004">
        <v>0</v>
      </c>
      <c r="O2004">
        <v>0</v>
      </c>
    </row>
    <row r="2005" spans="1:15" x14ac:dyDescent="0.3">
      <c r="A2005">
        <v>2100</v>
      </c>
      <c r="B2005" s="34">
        <v>40863</v>
      </c>
      <c r="C2005">
        <v>1.3525199999999999</v>
      </c>
      <c r="D2005">
        <v>0</v>
      </c>
      <c r="F2005">
        <v>0.40197999999999801</v>
      </c>
      <c r="G2005">
        <v>28.953693884764999</v>
      </c>
      <c r="H2005">
        <v>0</v>
      </c>
      <c r="I2005">
        <v>0.5233333</v>
      </c>
      <c r="J2005">
        <v>2011</v>
      </c>
      <c r="K2005">
        <v>11</v>
      </c>
      <c r="L2005">
        <v>16</v>
      </c>
      <c r="M2005" t="s">
        <v>89</v>
      </c>
      <c r="N2005">
        <v>0</v>
      </c>
      <c r="O2005">
        <v>0</v>
      </c>
    </row>
    <row r="2006" spans="1:15" x14ac:dyDescent="0.3">
      <c r="A2006">
        <v>2101</v>
      </c>
      <c r="B2006" s="34">
        <v>40864</v>
      </c>
      <c r="C2006">
        <v>1.3454699999999999</v>
      </c>
      <c r="D2006">
        <v>0</v>
      </c>
      <c r="F2006">
        <v>0.40197999999999801</v>
      </c>
      <c r="G2006">
        <v>28.953693884764999</v>
      </c>
      <c r="H2006">
        <v>0</v>
      </c>
      <c r="I2006">
        <v>0.5230842</v>
      </c>
      <c r="J2006">
        <v>2011</v>
      </c>
      <c r="K2006">
        <v>11</v>
      </c>
      <c r="L2006">
        <v>17</v>
      </c>
      <c r="M2006" t="s">
        <v>90</v>
      </c>
      <c r="N2006">
        <v>0</v>
      </c>
      <c r="O2006">
        <v>0</v>
      </c>
    </row>
    <row r="2007" spans="1:15" x14ac:dyDescent="0.3">
      <c r="A2007">
        <v>2102</v>
      </c>
      <c r="B2007" s="34">
        <v>40865</v>
      </c>
      <c r="C2007">
        <v>1.3468800000000001</v>
      </c>
      <c r="D2007">
        <v>0</v>
      </c>
      <c r="F2007">
        <v>0.40197999999999801</v>
      </c>
      <c r="G2007">
        <v>28.953693884764999</v>
      </c>
      <c r="H2007">
        <v>1</v>
      </c>
      <c r="I2007">
        <v>0.52331110000000003</v>
      </c>
      <c r="J2007">
        <v>2011</v>
      </c>
      <c r="K2007">
        <v>11</v>
      </c>
      <c r="L2007">
        <v>18</v>
      </c>
      <c r="M2007" t="s">
        <v>91</v>
      </c>
      <c r="N2007">
        <v>0</v>
      </c>
      <c r="O2007">
        <v>0</v>
      </c>
    </row>
    <row r="2008" spans="1:15" x14ac:dyDescent="0.3">
      <c r="A2008">
        <v>2103</v>
      </c>
      <c r="B2008" s="34">
        <v>40868</v>
      </c>
      <c r="C2008">
        <v>1.35222</v>
      </c>
      <c r="D2008">
        <v>0</v>
      </c>
      <c r="F2008">
        <v>0.40197999999999801</v>
      </c>
      <c r="G2008">
        <v>28.953693884764999</v>
      </c>
      <c r="H2008">
        <v>1</v>
      </c>
      <c r="I2008">
        <v>0.52353780000000005</v>
      </c>
      <c r="J2008">
        <v>2011</v>
      </c>
      <c r="K2008">
        <v>11</v>
      </c>
      <c r="L2008">
        <v>21</v>
      </c>
      <c r="M2008" t="s">
        <v>92</v>
      </c>
      <c r="N2008">
        <v>0</v>
      </c>
      <c r="O2008">
        <v>0</v>
      </c>
    </row>
    <row r="2009" spans="1:15" x14ac:dyDescent="0.3">
      <c r="A2009">
        <v>2104</v>
      </c>
      <c r="B2009" s="34">
        <v>40869</v>
      </c>
      <c r="C2009">
        <v>1.3485499999999999</v>
      </c>
      <c r="D2009">
        <v>0</v>
      </c>
      <c r="F2009">
        <v>0.40197999999999801</v>
      </c>
      <c r="G2009">
        <v>28.953693884764999</v>
      </c>
      <c r="H2009">
        <v>1</v>
      </c>
      <c r="I2009">
        <v>0.52376429999999996</v>
      </c>
      <c r="J2009">
        <v>2011</v>
      </c>
      <c r="K2009">
        <v>11</v>
      </c>
      <c r="L2009">
        <v>22</v>
      </c>
      <c r="M2009" t="s">
        <v>93</v>
      </c>
      <c r="N2009">
        <v>0</v>
      </c>
      <c r="O2009">
        <v>0</v>
      </c>
    </row>
    <row r="2010" spans="1:15" x14ac:dyDescent="0.3">
      <c r="A2010">
        <v>2105</v>
      </c>
      <c r="B2010" s="34">
        <v>40870</v>
      </c>
      <c r="C2010">
        <v>1.3515699999999999</v>
      </c>
      <c r="D2010">
        <v>0</v>
      </c>
      <c r="F2010">
        <v>0.40197999999999801</v>
      </c>
      <c r="G2010">
        <v>28.953693884764999</v>
      </c>
      <c r="H2010">
        <v>1</v>
      </c>
      <c r="I2010">
        <v>0.52399050000000003</v>
      </c>
      <c r="J2010">
        <v>2011</v>
      </c>
      <c r="K2010">
        <v>11</v>
      </c>
      <c r="L2010">
        <v>23</v>
      </c>
      <c r="M2010" t="s">
        <v>89</v>
      </c>
      <c r="N2010">
        <v>0</v>
      </c>
      <c r="O2010">
        <v>0</v>
      </c>
    </row>
    <row r="2011" spans="1:15" x14ac:dyDescent="0.3">
      <c r="A2011">
        <v>2106</v>
      </c>
      <c r="B2011" s="34">
        <v>40871</v>
      </c>
      <c r="C2011">
        <v>1.33464</v>
      </c>
      <c r="D2011">
        <v>0</v>
      </c>
      <c r="F2011">
        <v>0.40197999999999801</v>
      </c>
      <c r="G2011">
        <v>28.953693884764999</v>
      </c>
      <c r="H2011">
        <v>1</v>
      </c>
      <c r="I2011">
        <v>0.52421649999999997</v>
      </c>
      <c r="J2011">
        <v>2011</v>
      </c>
      <c r="K2011">
        <v>11</v>
      </c>
      <c r="L2011">
        <v>24</v>
      </c>
      <c r="M2011" t="s">
        <v>90</v>
      </c>
      <c r="N2011">
        <v>0</v>
      </c>
      <c r="O2011">
        <v>0</v>
      </c>
    </row>
    <row r="2012" spans="1:15" x14ac:dyDescent="0.3">
      <c r="A2012">
        <v>2107</v>
      </c>
      <c r="B2012" s="34">
        <v>40872</v>
      </c>
      <c r="C2012">
        <v>1.3340000000000001</v>
      </c>
      <c r="D2012">
        <v>0</v>
      </c>
      <c r="F2012">
        <v>0.40197999999999801</v>
      </c>
      <c r="G2012">
        <v>28.953693884764999</v>
      </c>
      <c r="H2012">
        <v>0</v>
      </c>
      <c r="I2012">
        <v>0.52396770000000004</v>
      </c>
      <c r="J2012">
        <v>2011</v>
      </c>
      <c r="K2012">
        <v>11</v>
      </c>
      <c r="L2012">
        <v>25</v>
      </c>
      <c r="M2012" t="s">
        <v>91</v>
      </c>
      <c r="N2012">
        <v>0</v>
      </c>
      <c r="O2012">
        <v>0</v>
      </c>
    </row>
    <row r="2013" spans="1:15" x14ac:dyDescent="0.3">
      <c r="A2013">
        <v>2108</v>
      </c>
      <c r="B2013" s="34">
        <v>40875</v>
      </c>
      <c r="C2013">
        <v>1.32375</v>
      </c>
      <c r="D2013">
        <v>0</v>
      </c>
      <c r="F2013">
        <v>0.40197999999999801</v>
      </c>
      <c r="G2013">
        <v>28.953693884764999</v>
      </c>
      <c r="H2013">
        <v>0</v>
      </c>
      <c r="I2013">
        <v>0.52371920000000005</v>
      </c>
      <c r="J2013">
        <v>2011</v>
      </c>
      <c r="K2013">
        <v>11</v>
      </c>
      <c r="L2013">
        <v>28</v>
      </c>
      <c r="M2013" t="s">
        <v>92</v>
      </c>
      <c r="N2013">
        <v>0</v>
      </c>
      <c r="O2013">
        <v>0</v>
      </c>
    </row>
    <row r="2014" spans="1:15" x14ac:dyDescent="0.3">
      <c r="A2014">
        <v>2109</v>
      </c>
      <c r="B2014" s="34">
        <v>40876</v>
      </c>
      <c r="C2014">
        <v>1.33121</v>
      </c>
      <c r="D2014">
        <v>0</v>
      </c>
      <c r="F2014">
        <v>0.40197999999999801</v>
      </c>
      <c r="G2014">
        <v>28.953693884764999</v>
      </c>
      <c r="H2014">
        <v>1</v>
      </c>
      <c r="I2014">
        <v>0.52394499999999999</v>
      </c>
      <c r="J2014">
        <v>2011</v>
      </c>
      <c r="K2014">
        <v>11</v>
      </c>
      <c r="L2014">
        <v>29</v>
      </c>
      <c r="M2014" t="s">
        <v>93</v>
      </c>
      <c r="N2014">
        <v>0</v>
      </c>
      <c r="O2014">
        <v>0</v>
      </c>
    </row>
    <row r="2015" spans="1:15" x14ac:dyDescent="0.3">
      <c r="A2015">
        <v>2110</v>
      </c>
      <c r="B2015" s="34">
        <v>40877</v>
      </c>
      <c r="C2015">
        <v>1.33321</v>
      </c>
      <c r="D2015">
        <v>0</v>
      </c>
      <c r="F2015">
        <v>0.40197999999999801</v>
      </c>
      <c r="G2015">
        <v>28.953693884764999</v>
      </c>
      <c r="H2015">
        <v>0</v>
      </c>
      <c r="I2015">
        <v>0.52369670000000001</v>
      </c>
      <c r="J2015">
        <v>2011</v>
      </c>
      <c r="K2015">
        <v>11</v>
      </c>
      <c r="L2015">
        <v>30</v>
      </c>
      <c r="M2015" t="s">
        <v>89</v>
      </c>
      <c r="N2015">
        <v>0</v>
      </c>
      <c r="O2015">
        <v>0</v>
      </c>
    </row>
    <row r="2016" spans="1:15" x14ac:dyDescent="0.3">
      <c r="A2016">
        <v>2111</v>
      </c>
      <c r="B2016" s="34">
        <v>40878</v>
      </c>
      <c r="C2016">
        <v>1.34392</v>
      </c>
      <c r="D2016">
        <v>0</v>
      </c>
      <c r="F2016">
        <v>0.40197999999999801</v>
      </c>
      <c r="G2016">
        <v>28.953693884764999</v>
      </c>
      <c r="H2016">
        <v>0</v>
      </c>
      <c r="I2016">
        <v>0.52344860000000004</v>
      </c>
      <c r="J2016">
        <v>2011</v>
      </c>
      <c r="K2016">
        <v>12</v>
      </c>
      <c r="L2016">
        <v>1</v>
      </c>
      <c r="M2016" t="s">
        <v>90</v>
      </c>
      <c r="N2016">
        <v>0</v>
      </c>
      <c r="O2016">
        <v>0</v>
      </c>
    </row>
    <row r="2017" spans="1:15" x14ac:dyDescent="0.3">
      <c r="A2017">
        <v>2112</v>
      </c>
      <c r="B2017" s="34">
        <v>40879</v>
      </c>
      <c r="C2017">
        <v>1.34599</v>
      </c>
      <c r="D2017">
        <v>0</v>
      </c>
      <c r="F2017">
        <v>0.40197999999999801</v>
      </c>
      <c r="G2017">
        <v>28.953693884764999</v>
      </c>
      <c r="H2017">
        <v>0</v>
      </c>
      <c r="I2017">
        <v>0.52320080000000002</v>
      </c>
      <c r="J2017">
        <v>2011</v>
      </c>
      <c r="K2017">
        <v>12</v>
      </c>
      <c r="L2017">
        <v>2</v>
      </c>
      <c r="M2017" t="s">
        <v>91</v>
      </c>
      <c r="N2017">
        <v>0</v>
      </c>
      <c r="O2017">
        <v>0</v>
      </c>
    </row>
    <row r="2018" spans="1:15" x14ac:dyDescent="0.3">
      <c r="A2018">
        <v>2113</v>
      </c>
      <c r="B2018" s="34">
        <v>40882</v>
      </c>
      <c r="C2018">
        <v>1.3389800000000001</v>
      </c>
      <c r="D2018">
        <v>0</v>
      </c>
      <c r="F2018">
        <v>0.40197999999999801</v>
      </c>
      <c r="G2018">
        <v>28.953693884764999</v>
      </c>
      <c r="H2018">
        <v>1</v>
      </c>
      <c r="I2018">
        <v>0.52342639999999996</v>
      </c>
      <c r="J2018">
        <v>2011</v>
      </c>
      <c r="K2018">
        <v>12</v>
      </c>
      <c r="L2018">
        <v>5</v>
      </c>
      <c r="M2018" t="s">
        <v>92</v>
      </c>
      <c r="N2018">
        <v>0</v>
      </c>
      <c r="O2018">
        <v>0</v>
      </c>
    </row>
    <row r="2019" spans="1:15" x14ac:dyDescent="0.3">
      <c r="A2019">
        <v>2114</v>
      </c>
      <c r="B2019" s="34">
        <v>40883</v>
      </c>
      <c r="C2019">
        <v>1.3394299999999999</v>
      </c>
      <c r="D2019">
        <v>0</v>
      </c>
      <c r="F2019">
        <v>0.40197999999999801</v>
      </c>
      <c r="G2019">
        <v>28.953693884764999</v>
      </c>
      <c r="H2019">
        <v>1</v>
      </c>
      <c r="I2019">
        <v>0.5236518</v>
      </c>
      <c r="J2019">
        <v>2011</v>
      </c>
      <c r="K2019">
        <v>12</v>
      </c>
      <c r="L2019">
        <v>6</v>
      </c>
      <c r="M2019" t="s">
        <v>93</v>
      </c>
      <c r="N2019">
        <v>0</v>
      </c>
      <c r="O2019">
        <v>0</v>
      </c>
    </row>
    <row r="2020" spans="1:15" x14ac:dyDescent="0.3">
      <c r="A2020">
        <v>2115</v>
      </c>
      <c r="B2020" s="34">
        <v>40884</v>
      </c>
      <c r="C2020">
        <v>1.3402099999999999</v>
      </c>
      <c r="D2020">
        <v>0</v>
      </c>
      <c r="F2020">
        <v>0.40197999999999801</v>
      </c>
      <c r="G2020">
        <v>28.953693884764999</v>
      </c>
      <c r="H2020">
        <v>1</v>
      </c>
      <c r="I2020">
        <v>0.52387709999999998</v>
      </c>
      <c r="J2020">
        <v>2011</v>
      </c>
      <c r="K2020">
        <v>12</v>
      </c>
      <c r="L2020">
        <v>7</v>
      </c>
      <c r="M2020" t="s">
        <v>89</v>
      </c>
      <c r="N2020">
        <v>0</v>
      </c>
      <c r="O2020">
        <v>0</v>
      </c>
    </row>
    <row r="2021" spans="1:15" x14ac:dyDescent="0.3">
      <c r="A2021">
        <v>2116</v>
      </c>
      <c r="B2021" s="34">
        <v>40885</v>
      </c>
      <c r="C2021">
        <v>1.34158</v>
      </c>
      <c r="D2021">
        <v>0</v>
      </c>
      <c r="F2021">
        <v>0.40197999999999801</v>
      </c>
      <c r="G2021">
        <v>28.953693884764999</v>
      </c>
      <c r="H2021">
        <v>0</v>
      </c>
      <c r="I2021">
        <v>0.52362949999999997</v>
      </c>
      <c r="J2021">
        <v>2011</v>
      </c>
      <c r="K2021">
        <v>12</v>
      </c>
      <c r="L2021">
        <v>8</v>
      </c>
      <c r="M2021" t="s">
        <v>90</v>
      </c>
      <c r="N2021">
        <v>0</v>
      </c>
      <c r="O2021">
        <v>0</v>
      </c>
    </row>
    <row r="2022" spans="1:15" x14ac:dyDescent="0.3">
      <c r="A2022">
        <v>2117</v>
      </c>
      <c r="B2022" s="34">
        <v>40886</v>
      </c>
      <c r="C2022">
        <v>1.33433</v>
      </c>
      <c r="D2022">
        <v>0</v>
      </c>
      <c r="F2022">
        <v>0.40197999999999801</v>
      </c>
      <c r="G2022">
        <v>28.953693884764999</v>
      </c>
      <c r="H2022">
        <v>1</v>
      </c>
      <c r="I2022">
        <v>0.5238545</v>
      </c>
      <c r="J2022">
        <v>2011</v>
      </c>
      <c r="K2022">
        <v>12</v>
      </c>
      <c r="L2022">
        <v>9</v>
      </c>
      <c r="M2022" t="s">
        <v>91</v>
      </c>
      <c r="N2022">
        <v>0</v>
      </c>
      <c r="O2022">
        <v>0</v>
      </c>
    </row>
    <row r="2023" spans="1:15" x14ac:dyDescent="0.3">
      <c r="A2023">
        <v>2118</v>
      </c>
      <c r="B2023" s="34">
        <v>40889</v>
      </c>
      <c r="C2023">
        <v>1.3384199999999999</v>
      </c>
      <c r="D2023">
        <v>0</v>
      </c>
      <c r="F2023">
        <v>0.40197999999999801</v>
      </c>
      <c r="G2023">
        <v>28.953693884764999</v>
      </c>
      <c r="H2023">
        <v>1</v>
      </c>
      <c r="I2023">
        <v>0.52407930000000003</v>
      </c>
      <c r="J2023">
        <v>2011</v>
      </c>
      <c r="K2023">
        <v>12</v>
      </c>
      <c r="L2023">
        <v>12</v>
      </c>
      <c r="M2023" t="s">
        <v>92</v>
      </c>
      <c r="N2023">
        <v>0</v>
      </c>
      <c r="O2023">
        <v>0</v>
      </c>
    </row>
    <row r="2024" spans="1:15" x14ac:dyDescent="0.3">
      <c r="A2024">
        <v>2119</v>
      </c>
      <c r="B2024" s="34">
        <v>40890</v>
      </c>
      <c r="C2024">
        <v>1.3166500000000001</v>
      </c>
      <c r="D2024">
        <v>0</v>
      </c>
      <c r="F2024">
        <v>0.40197999999999801</v>
      </c>
      <c r="G2024">
        <v>28.953693884764999</v>
      </c>
      <c r="H2024">
        <v>1</v>
      </c>
      <c r="I2024">
        <v>0.52430390000000004</v>
      </c>
      <c r="J2024">
        <v>2011</v>
      </c>
      <c r="K2024">
        <v>12</v>
      </c>
      <c r="L2024">
        <v>13</v>
      </c>
      <c r="M2024" t="s">
        <v>93</v>
      </c>
      <c r="N2024">
        <v>0</v>
      </c>
      <c r="O2024">
        <v>0</v>
      </c>
    </row>
    <row r="2025" spans="1:15" x14ac:dyDescent="0.3">
      <c r="A2025">
        <v>2120</v>
      </c>
      <c r="B2025" s="34">
        <v>40891</v>
      </c>
      <c r="C2025">
        <v>1.30335</v>
      </c>
      <c r="D2025">
        <v>0</v>
      </c>
      <c r="F2025">
        <v>0.40197999999999801</v>
      </c>
      <c r="G2025">
        <v>28.953693884764999</v>
      </c>
      <c r="H2025">
        <v>0</v>
      </c>
      <c r="I2025">
        <v>0.52405659999999998</v>
      </c>
      <c r="J2025">
        <v>2011</v>
      </c>
      <c r="K2025">
        <v>12</v>
      </c>
      <c r="L2025">
        <v>14</v>
      </c>
      <c r="M2025" t="s">
        <v>89</v>
      </c>
      <c r="N2025">
        <v>0</v>
      </c>
      <c r="O2025">
        <v>0</v>
      </c>
    </row>
    <row r="2026" spans="1:15" x14ac:dyDescent="0.3">
      <c r="A2026">
        <v>2121</v>
      </c>
      <c r="B2026" s="34">
        <v>40892</v>
      </c>
      <c r="C2026">
        <v>1.2982899999999999</v>
      </c>
      <c r="D2026">
        <v>0</v>
      </c>
      <c r="F2026">
        <v>0.40197999999999801</v>
      </c>
      <c r="G2026">
        <v>28.953693884764999</v>
      </c>
      <c r="H2026">
        <v>0</v>
      </c>
      <c r="I2026">
        <v>0.52380959999999999</v>
      </c>
      <c r="J2026">
        <v>2011</v>
      </c>
      <c r="K2026">
        <v>12</v>
      </c>
      <c r="L2026">
        <v>15</v>
      </c>
      <c r="M2026" t="s">
        <v>90</v>
      </c>
      <c r="N2026">
        <v>0</v>
      </c>
      <c r="O2026">
        <v>0</v>
      </c>
    </row>
    <row r="2027" spans="1:15" x14ac:dyDescent="0.3">
      <c r="A2027">
        <v>2122</v>
      </c>
      <c r="B2027" s="34">
        <v>40893</v>
      </c>
      <c r="C2027">
        <v>1.3019700000000001</v>
      </c>
      <c r="D2027">
        <v>0</v>
      </c>
      <c r="F2027">
        <v>0.40197999999999801</v>
      </c>
      <c r="G2027">
        <v>28.953693884764999</v>
      </c>
      <c r="H2027">
        <v>1</v>
      </c>
      <c r="I2027">
        <v>0.52403390000000005</v>
      </c>
      <c r="J2027">
        <v>2011</v>
      </c>
      <c r="K2027">
        <v>12</v>
      </c>
      <c r="L2027">
        <v>16</v>
      </c>
      <c r="M2027" t="s">
        <v>91</v>
      </c>
      <c r="N2027">
        <v>0</v>
      </c>
      <c r="O2027">
        <v>0</v>
      </c>
    </row>
    <row r="2028" spans="1:15" x14ac:dyDescent="0.3">
      <c r="A2028">
        <v>2123</v>
      </c>
      <c r="B2028" s="34">
        <v>40896</v>
      </c>
      <c r="C2028">
        <v>1.30419</v>
      </c>
      <c r="D2028">
        <v>0</v>
      </c>
      <c r="F2028">
        <v>0.40197999999999801</v>
      </c>
      <c r="G2028">
        <v>28.953693884764999</v>
      </c>
      <c r="H2028">
        <v>0</v>
      </c>
      <c r="I2028">
        <v>0.52378709999999995</v>
      </c>
      <c r="J2028">
        <v>2011</v>
      </c>
      <c r="K2028">
        <v>12</v>
      </c>
      <c r="L2028">
        <v>19</v>
      </c>
      <c r="M2028" t="s">
        <v>92</v>
      </c>
      <c r="N2028">
        <v>0</v>
      </c>
      <c r="O2028">
        <v>0</v>
      </c>
    </row>
    <row r="2029" spans="1:15" x14ac:dyDescent="0.3">
      <c r="A2029">
        <v>2124</v>
      </c>
      <c r="B2029" s="34">
        <v>40897</v>
      </c>
      <c r="C2029">
        <v>1.2996099999999999</v>
      </c>
      <c r="D2029">
        <v>0</v>
      </c>
      <c r="F2029">
        <v>0.40197999999999801</v>
      </c>
      <c r="G2029">
        <v>28.953693884764999</v>
      </c>
      <c r="H2029">
        <v>1</v>
      </c>
      <c r="I2029">
        <v>0.52401129999999996</v>
      </c>
      <c r="J2029">
        <v>2011</v>
      </c>
      <c r="K2029">
        <v>12</v>
      </c>
      <c r="L2029">
        <v>20</v>
      </c>
      <c r="M2029" t="s">
        <v>93</v>
      </c>
      <c r="N2029">
        <v>0</v>
      </c>
      <c r="O2029">
        <v>0</v>
      </c>
    </row>
    <row r="2030" spans="1:15" x14ac:dyDescent="0.3">
      <c r="A2030">
        <v>2125</v>
      </c>
      <c r="B2030" s="34">
        <v>40898</v>
      </c>
      <c r="C2030">
        <v>1.3080499999999999</v>
      </c>
      <c r="D2030">
        <v>0</v>
      </c>
      <c r="F2030">
        <v>0.40197999999999801</v>
      </c>
      <c r="G2030">
        <v>28.953693884764999</v>
      </c>
      <c r="H2030">
        <v>1</v>
      </c>
      <c r="I2030">
        <v>0.52423529999999996</v>
      </c>
      <c r="J2030">
        <v>2011</v>
      </c>
      <c r="K2030">
        <v>12</v>
      </c>
      <c r="L2030">
        <v>21</v>
      </c>
      <c r="M2030" t="s">
        <v>89</v>
      </c>
      <c r="N2030">
        <v>0</v>
      </c>
      <c r="O2030">
        <v>0</v>
      </c>
    </row>
    <row r="2031" spans="1:15" x14ac:dyDescent="0.3">
      <c r="A2031">
        <v>2126</v>
      </c>
      <c r="B2031" s="34">
        <v>40899</v>
      </c>
      <c r="C2031">
        <v>1.3043800000000001</v>
      </c>
      <c r="D2031">
        <v>0</v>
      </c>
      <c r="F2031">
        <v>0.40197999999999801</v>
      </c>
      <c r="G2031">
        <v>28.953693884764999</v>
      </c>
      <c r="H2031">
        <v>1</v>
      </c>
      <c r="I2031">
        <v>0.52445909999999996</v>
      </c>
      <c r="J2031">
        <v>2011</v>
      </c>
      <c r="K2031">
        <v>12</v>
      </c>
      <c r="L2031">
        <v>22</v>
      </c>
      <c r="M2031" t="s">
        <v>90</v>
      </c>
      <c r="N2031">
        <v>0</v>
      </c>
      <c r="O2031">
        <v>0</v>
      </c>
    </row>
    <row r="2032" spans="1:15" x14ac:dyDescent="0.3">
      <c r="A2032">
        <v>2127</v>
      </c>
      <c r="B2032" s="34">
        <v>40900</v>
      </c>
      <c r="C2032">
        <v>1.30507</v>
      </c>
      <c r="D2032">
        <v>0</v>
      </c>
      <c r="F2032">
        <v>0.40197999999999801</v>
      </c>
      <c r="G2032">
        <v>28.953693884764999</v>
      </c>
      <c r="H2032">
        <v>0</v>
      </c>
      <c r="I2032">
        <v>0.52421249999999997</v>
      </c>
      <c r="J2032">
        <v>2011</v>
      </c>
      <c r="K2032">
        <v>12</v>
      </c>
      <c r="L2032">
        <v>23</v>
      </c>
      <c r="M2032" t="s">
        <v>91</v>
      </c>
      <c r="N2032">
        <v>0</v>
      </c>
      <c r="O2032">
        <v>0</v>
      </c>
    </row>
    <row r="2033" spans="1:15" x14ac:dyDescent="0.3">
      <c r="A2033">
        <v>2128</v>
      </c>
      <c r="B2033" s="34">
        <v>40903</v>
      </c>
      <c r="C2033">
        <v>1.3045100000000001</v>
      </c>
      <c r="D2033">
        <v>0</v>
      </c>
      <c r="F2033">
        <v>0.40197999999999801</v>
      </c>
      <c r="G2033">
        <v>28.953693884764999</v>
      </c>
      <c r="H2033">
        <v>1</v>
      </c>
      <c r="I2033">
        <v>0.52443609999999996</v>
      </c>
      <c r="J2033">
        <v>2011</v>
      </c>
      <c r="K2033">
        <v>12</v>
      </c>
      <c r="L2033">
        <v>26</v>
      </c>
      <c r="M2033" t="s">
        <v>92</v>
      </c>
      <c r="N2033">
        <v>0</v>
      </c>
      <c r="O2033">
        <v>0</v>
      </c>
    </row>
    <row r="2034" spans="1:15" x14ac:dyDescent="0.3">
      <c r="A2034">
        <v>2129</v>
      </c>
      <c r="B2034" s="34">
        <v>40904</v>
      </c>
      <c r="C2034">
        <v>1.3053999999999999</v>
      </c>
      <c r="D2034">
        <v>0</v>
      </c>
      <c r="F2034">
        <v>0.40197999999999801</v>
      </c>
      <c r="G2034">
        <v>28.953693884764999</v>
      </c>
      <c r="H2034">
        <v>0</v>
      </c>
      <c r="I2034">
        <v>0.52418980000000004</v>
      </c>
      <c r="J2034">
        <v>2011</v>
      </c>
      <c r="K2034">
        <v>12</v>
      </c>
      <c r="L2034">
        <v>27</v>
      </c>
      <c r="M2034" t="s">
        <v>93</v>
      </c>
      <c r="N2034">
        <v>0</v>
      </c>
      <c r="O2034">
        <v>0</v>
      </c>
    </row>
    <row r="2035" spans="1:15" x14ac:dyDescent="0.3">
      <c r="A2035">
        <v>2130</v>
      </c>
      <c r="B2035" s="34">
        <v>40905</v>
      </c>
      <c r="C2035">
        <v>1.3067599999999999</v>
      </c>
      <c r="D2035">
        <v>-1</v>
      </c>
      <c r="F2035">
        <v>0.41511999999999699</v>
      </c>
      <c r="G2035">
        <v>26.631318487098</v>
      </c>
      <c r="H2035">
        <v>0</v>
      </c>
      <c r="I2035">
        <v>0.52394370000000001</v>
      </c>
      <c r="J2035">
        <v>2011</v>
      </c>
      <c r="K2035">
        <v>12</v>
      </c>
      <c r="L2035">
        <v>28</v>
      </c>
      <c r="M2035" t="s">
        <v>89</v>
      </c>
      <c r="N2035">
        <v>0</v>
      </c>
      <c r="O2035">
        <v>0</v>
      </c>
    </row>
    <row r="2036" spans="1:15" x14ac:dyDescent="0.3">
      <c r="A2036">
        <v>2131</v>
      </c>
      <c r="B2036" s="34">
        <v>40906</v>
      </c>
      <c r="C2036">
        <v>1.29362</v>
      </c>
      <c r="D2036">
        <v>0</v>
      </c>
      <c r="F2036">
        <v>0.41511999999999699</v>
      </c>
      <c r="G2036">
        <v>26.631318487098</v>
      </c>
      <c r="H2036">
        <v>1</v>
      </c>
      <c r="I2036">
        <v>0.5241671</v>
      </c>
      <c r="J2036">
        <v>2011</v>
      </c>
      <c r="K2036">
        <v>12</v>
      </c>
      <c r="L2036">
        <v>29</v>
      </c>
      <c r="M2036" t="s">
        <v>90</v>
      </c>
      <c r="N2036">
        <v>0</v>
      </c>
      <c r="O2036">
        <v>0</v>
      </c>
    </row>
    <row r="2037" spans="1:15" x14ac:dyDescent="0.3">
      <c r="A2037">
        <v>2132</v>
      </c>
      <c r="B2037" s="34">
        <v>40907</v>
      </c>
      <c r="C2037">
        <v>1.29505</v>
      </c>
      <c r="D2037">
        <v>0</v>
      </c>
      <c r="F2037">
        <v>0.41511999999999699</v>
      </c>
      <c r="G2037">
        <v>26.631318487098</v>
      </c>
      <c r="H2037">
        <v>1</v>
      </c>
      <c r="I2037">
        <v>0.52439020000000003</v>
      </c>
      <c r="J2037">
        <v>2011</v>
      </c>
      <c r="K2037">
        <v>12</v>
      </c>
      <c r="L2037">
        <v>30</v>
      </c>
      <c r="M2037" t="s">
        <v>91</v>
      </c>
      <c r="N2037">
        <v>0</v>
      </c>
      <c r="O2037">
        <v>0</v>
      </c>
    </row>
    <row r="2038" spans="1:15" x14ac:dyDescent="0.3">
      <c r="A2038">
        <v>2133</v>
      </c>
      <c r="B2038" s="34">
        <v>40910</v>
      </c>
      <c r="C2038">
        <v>1.2946</v>
      </c>
      <c r="D2038">
        <v>0</v>
      </c>
      <c r="F2038">
        <v>0.41511999999999699</v>
      </c>
      <c r="G2038">
        <v>26.631318487098</v>
      </c>
      <c r="H2038">
        <v>0</v>
      </c>
      <c r="I2038">
        <v>0.52414439999999995</v>
      </c>
      <c r="J2038">
        <v>2012</v>
      </c>
      <c r="K2038">
        <v>1</v>
      </c>
      <c r="L2038">
        <v>2</v>
      </c>
      <c r="M2038" t="s">
        <v>92</v>
      </c>
      <c r="N2038">
        <v>0</v>
      </c>
      <c r="O2038">
        <v>0</v>
      </c>
    </row>
    <row r="2039" spans="1:15" x14ac:dyDescent="0.3">
      <c r="A2039">
        <v>2134</v>
      </c>
      <c r="B2039" s="34">
        <v>40911</v>
      </c>
      <c r="C2039">
        <v>1.29338</v>
      </c>
      <c r="D2039">
        <v>-1</v>
      </c>
      <c r="F2039">
        <v>0.40340999999999699</v>
      </c>
      <c r="G2039">
        <v>28.700954400848499</v>
      </c>
      <c r="H2039">
        <v>0.5</v>
      </c>
      <c r="I2039">
        <v>0.52413310000000002</v>
      </c>
      <c r="J2039">
        <v>2012</v>
      </c>
      <c r="K2039">
        <v>1</v>
      </c>
      <c r="L2039">
        <v>3</v>
      </c>
      <c r="M2039" t="s">
        <v>93</v>
      </c>
      <c r="N2039">
        <v>0</v>
      </c>
      <c r="O2039">
        <v>0</v>
      </c>
    </row>
    <row r="2040" spans="1:15" x14ac:dyDescent="0.3">
      <c r="A2040">
        <v>2135</v>
      </c>
      <c r="B2040" s="34">
        <v>40912</v>
      </c>
      <c r="C2040">
        <v>1.3050900000000001</v>
      </c>
      <c r="D2040">
        <v>0</v>
      </c>
      <c r="F2040">
        <v>0.40340999999999699</v>
      </c>
      <c r="G2040">
        <v>28.700954400848499</v>
      </c>
      <c r="H2040">
        <v>1</v>
      </c>
      <c r="I2040">
        <v>0.52435589999999999</v>
      </c>
      <c r="J2040">
        <v>2012</v>
      </c>
      <c r="K2040">
        <v>1</v>
      </c>
      <c r="L2040">
        <v>4</v>
      </c>
      <c r="M2040" t="s">
        <v>89</v>
      </c>
      <c r="N2040">
        <v>0</v>
      </c>
      <c r="O2040">
        <v>0</v>
      </c>
    </row>
    <row r="2041" spans="1:15" x14ac:dyDescent="0.3">
      <c r="A2041">
        <v>2136</v>
      </c>
      <c r="B2041" s="34">
        <v>40913</v>
      </c>
      <c r="C2041">
        <v>1.2936099999999999</v>
      </c>
      <c r="D2041">
        <v>0</v>
      </c>
      <c r="F2041">
        <v>0.40340999999999699</v>
      </c>
      <c r="G2041">
        <v>28.700954400848499</v>
      </c>
      <c r="H2041">
        <v>1</v>
      </c>
      <c r="I2041">
        <v>0.52457860000000001</v>
      </c>
      <c r="J2041">
        <v>2012</v>
      </c>
      <c r="K2041">
        <v>1</v>
      </c>
      <c r="L2041">
        <v>5</v>
      </c>
      <c r="M2041" t="s">
        <v>90</v>
      </c>
      <c r="N2041">
        <v>0</v>
      </c>
      <c r="O2041">
        <v>0</v>
      </c>
    </row>
    <row r="2042" spans="1:15" x14ac:dyDescent="0.3">
      <c r="A2042">
        <v>2137</v>
      </c>
      <c r="B2042" s="34">
        <v>40914</v>
      </c>
      <c r="C2042">
        <v>1.27904</v>
      </c>
      <c r="D2042">
        <v>0</v>
      </c>
      <c r="F2042">
        <v>0.40340999999999699</v>
      </c>
      <c r="G2042">
        <v>28.700954400848499</v>
      </c>
      <c r="H2042">
        <v>0</v>
      </c>
      <c r="I2042">
        <v>0.52433320000000005</v>
      </c>
      <c r="J2042">
        <v>2012</v>
      </c>
      <c r="K2042">
        <v>1</v>
      </c>
      <c r="L2042">
        <v>6</v>
      </c>
      <c r="M2042" t="s">
        <v>91</v>
      </c>
      <c r="N2042">
        <v>0</v>
      </c>
      <c r="O2042">
        <v>0</v>
      </c>
    </row>
    <row r="2043" spans="1:15" x14ac:dyDescent="0.3">
      <c r="A2043">
        <v>2138</v>
      </c>
      <c r="B2043" s="34">
        <v>40917</v>
      </c>
      <c r="C2043">
        <v>1.2718799999999999</v>
      </c>
      <c r="D2043">
        <v>0</v>
      </c>
      <c r="F2043">
        <v>0.40340999999999699</v>
      </c>
      <c r="G2043">
        <v>28.700954400848499</v>
      </c>
      <c r="H2043">
        <v>0</v>
      </c>
      <c r="I2043">
        <v>0.52408790000000005</v>
      </c>
      <c r="J2043">
        <v>2012</v>
      </c>
      <c r="K2043">
        <v>1</v>
      </c>
      <c r="L2043">
        <v>9</v>
      </c>
      <c r="M2043" t="s">
        <v>92</v>
      </c>
      <c r="N2043">
        <v>0</v>
      </c>
      <c r="O2043">
        <v>0</v>
      </c>
    </row>
    <row r="2044" spans="1:15" x14ac:dyDescent="0.3">
      <c r="A2044">
        <v>2139</v>
      </c>
      <c r="B2044" s="34">
        <v>40918</v>
      </c>
      <c r="C2044">
        <v>1.2768600000000001</v>
      </c>
      <c r="D2044">
        <v>0</v>
      </c>
      <c r="F2044">
        <v>0.40340999999999699</v>
      </c>
      <c r="G2044">
        <v>28.700954400848499</v>
      </c>
      <c r="H2044">
        <v>1</v>
      </c>
      <c r="I2044">
        <v>0.52431039999999995</v>
      </c>
      <c r="J2044">
        <v>2012</v>
      </c>
      <c r="K2044">
        <v>1</v>
      </c>
      <c r="L2044">
        <v>10</v>
      </c>
      <c r="M2044" t="s">
        <v>93</v>
      </c>
      <c r="N2044">
        <v>0</v>
      </c>
      <c r="O2044">
        <v>0</v>
      </c>
    </row>
    <row r="2045" spans="1:15" x14ac:dyDescent="0.3">
      <c r="A2045">
        <v>2140</v>
      </c>
      <c r="B2045" s="34">
        <v>40919</v>
      </c>
      <c r="C2045">
        <v>1.27708</v>
      </c>
      <c r="D2045">
        <v>0</v>
      </c>
      <c r="F2045">
        <v>0.40340999999999699</v>
      </c>
      <c r="G2045">
        <v>28.700954400848499</v>
      </c>
      <c r="H2045">
        <v>1</v>
      </c>
      <c r="I2045">
        <v>0.52453269999999996</v>
      </c>
      <c r="J2045">
        <v>2012</v>
      </c>
      <c r="K2045">
        <v>1</v>
      </c>
      <c r="L2045">
        <v>11</v>
      </c>
      <c r="M2045" t="s">
        <v>89</v>
      </c>
      <c r="N2045">
        <v>0</v>
      </c>
      <c r="O2045">
        <v>0</v>
      </c>
    </row>
    <row r="2046" spans="1:15" x14ac:dyDescent="0.3">
      <c r="A2046">
        <v>2141</v>
      </c>
      <c r="B2046" s="34">
        <v>40920</v>
      </c>
      <c r="C2046">
        <v>1.27075</v>
      </c>
      <c r="D2046">
        <v>0</v>
      </c>
      <c r="F2046">
        <v>0.40340999999999699</v>
      </c>
      <c r="G2046">
        <v>28.700954400848499</v>
      </c>
      <c r="H2046">
        <v>0</v>
      </c>
      <c r="I2046">
        <v>0.52428770000000002</v>
      </c>
      <c r="J2046">
        <v>2012</v>
      </c>
      <c r="K2046">
        <v>1</v>
      </c>
      <c r="L2046">
        <v>12</v>
      </c>
      <c r="M2046" t="s">
        <v>90</v>
      </c>
      <c r="N2046">
        <v>0</v>
      </c>
      <c r="O2046">
        <v>0</v>
      </c>
    </row>
    <row r="2047" spans="1:15" x14ac:dyDescent="0.3">
      <c r="A2047">
        <v>2142</v>
      </c>
      <c r="B2047" s="34">
        <v>40921</v>
      </c>
      <c r="C2047">
        <v>1.2813600000000001</v>
      </c>
      <c r="D2047">
        <v>0</v>
      </c>
      <c r="F2047">
        <v>0.40340999999999699</v>
      </c>
      <c r="G2047">
        <v>28.700954400848499</v>
      </c>
      <c r="H2047">
        <v>1</v>
      </c>
      <c r="I2047">
        <v>0.52450980000000003</v>
      </c>
      <c r="J2047">
        <v>2012</v>
      </c>
      <c r="K2047">
        <v>1</v>
      </c>
      <c r="L2047">
        <v>13</v>
      </c>
      <c r="M2047" t="s">
        <v>91</v>
      </c>
      <c r="N2047">
        <v>0</v>
      </c>
      <c r="O2047">
        <v>0</v>
      </c>
    </row>
    <row r="2048" spans="1:15" x14ac:dyDescent="0.3">
      <c r="A2048">
        <v>2143</v>
      </c>
      <c r="B2048" s="34">
        <v>40924</v>
      </c>
      <c r="C2048">
        <v>1.2675399999999999</v>
      </c>
      <c r="D2048">
        <v>0</v>
      </c>
      <c r="F2048">
        <v>0.40340999999999699</v>
      </c>
      <c r="G2048">
        <v>28.700954400848499</v>
      </c>
      <c r="H2048">
        <v>1</v>
      </c>
      <c r="I2048">
        <v>0.52473170000000002</v>
      </c>
      <c r="J2048">
        <v>2012</v>
      </c>
      <c r="K2048">
        <v>1</v>
      </c>
      <c r="L2048">
        <v>16</v>
      </c>
      <c r="M2048" t="s">
        <v>92</v>
      </c>
      <c r="N2048">
        <v>0</v>
      </c>
      <c r="O2048">
        <v>0</v>
      </c>
    </row>
    <row r="2049" spans="1:15" x14ac:dyDescent="0.3">
      <c r="A2049">
        <v>2144</v>
      </c>
      <c r="B2049" s="34">
        <v>40925</v>
      </c>
      <c r="C2049">
        <v>1.2649999999999999</v>
      </c>
      <c r="D2049">
        <v>0</v>
      </c>
      <c r="F2049">
        <v>0.40340999999999699</v>
      </c>
      <c r="G2049">
        <v>28.700954400848499</v>
      </c>
      <c r="H2049">
        <v>0</v>
      </c>
      <c r="I2049">
        <v>0.52448700000000004</v>
      </c>
      <c r="J2049">
        <v>2012</v>
      </c>
      <c r="K2049">
        <v>1</v>
      </c>
      <c r="L2049">
        <v>17</v>
      </c>
      <c r="M2049" t="s">
        <v>93</v>
      </c>
      <c r="N2049">
        <v>0</v>
      </c>
      <c r="O2049">
        <v>0</v>
      </c>
    </row>
    <row r="2050" spans="1:15" x14ac:dyDescent="0.3">
      <c r="A2050">
        <v>2145</v>
      </c>
      <c r="B2050" s="34">
        <v>40926</v>
      </c>
      <c r="C2050">
        <v>1.2740100000000001</v>
      </c>
      <c r="D2050">
        <v>0</v>
      </c>
      <c r="F2050">
        <v>0.40340999999999699</v>
      </c>
      <c r="G2050">
        <v>28.700954400848499</v>
      </c>
      <c r="H2050">
        <v>1</v>
      </c>
      <c r="I2050">
        <v>0.52470859999999997</v>
      </c>
      <c r="J2050">
        <v>2012</v>
      </c>
      <c r="K2050">
        <v>1</v>
      </c>
      <c r="L2050">
        <v>18</v>
      </c>
      <c r="M2050" t="s">
        <v>89</v>
      </c>
      <c r="N2050">
        <v>0</v>
      </c>
      <c r="O2050">
        <v>0</v>
      </c>
    </row>
    <row r="2051" spans="1:15" x14ac:dyDescent="0.3">
      <c r="A2051">
        <v>2146</v>
      </c>
      <c r="B2051" s="34">
        <v>40927</v>
      </c>
      <c r="C2051">
        <v>1.2853000000000001</v>
      </c>
      <c r="D2051">
        <v>0</v>
      </c>
      <c r="F2051">
        <v>0.40340999999999699</v>
      </c>
      <c r="G2051">
        <v>28.700954400848499</v>
      </c>
      <c r="H2051">
        <v>0</v>
      </c>
      <c r="I2051">
        <v>0.52446409999999999</v>
      </c>
      <c r="J2051">
        <v>2012</v>
      </c>
      <c r="K2051">
        <v>1</v>
      </c>
      <c r="L2051">
        <v>19</v>
      </c>
      <c r="M2051" t="s">
        <v>90</v>
      </c>
      <c r="N2051">
        <v>0</v>
      </c>
      <c r="O2051">
        <v>0</v>
      </c>
    </row>
    <row r="2052" spans="1:15" x14ac:dyDescent="0.3">
      <c r="A2052">
        <v>2147</v>
      </c>
      <c r="B2052" s="34">
        <v>40928</v>
      </c>
      <c r="C2052">
        <v>1.2966599999999999</v>
      </c>
      <c r="D2052">
        <v>0</v>
      </c>
      <c r="F2052">
        <v>0.40340999999999699</v>
      </c>
      <c r="G2052">
        <v>28.700954400848499</v>
      </c>
      <c r="H2052">
        <v>0</v>
      </c>
      <c r="I2052">
        <v>0.52421989999999996</v>
      </c>
      <c r="J2052">
        <v>2012</v>
      </c>
      <c r="K2052">
        <v>1</v>
      </c>
      <c r="L2052">
        <v>20</v>
      </c>
      <c r="M2052" t="s">
        <v>91</v>
      </c>
      <c r="N2052">
        <v>0</v>
      </c>
      <c r="O2052">
        <v>0</v>
      </c>
    </row>
    <row r="2053" spans="1:15" x14ac:dyDescent="0.3">
      <c r="A2053">
        <v>2148</v>
      </c>
      <c r="B2053" s="34">
        <v>40931</v>
      </c>
      <c r="C2053">
        <v>1.29298</v>
      </c>
      <c r="D2053">
        <v>0</v>
      </c>
      <c r="F2053">
        <v>0.40340999999999699</v>
      </c>
      <c r="G2053">
        <v>28.700954400848499</v>
      </c>
      <c r="H2053">
        <v>1</v>
      </c>
      <c r="I2053">
        <v>0.52444139999999995</v>
      </c>
      <c r="J2053">
        <v>2012</v>
      </c>
      <c r="K2053">
        <v>1</v>
      </c>
      <c r="L2053">
        <v>23</v>
      </c>
      <c r="M2053" t="s">
        <v>92</v>
      </c>
      <c r="N2053">
        <v>0</v>
      </c>
      <c r="O2053">
        <v>0</v>
      </c>
    </row>
    <row r="2054" spans="1:15" x14ac:dyDescent="0.3">
      <c r="A2054">
        <v>2149</v>
      </c>
      <c r="B2054" s="34">
        <v>40932</v>
      </c>
      <c r="C2054">
        <v>1.3012999999999999</v>
      </c>
      <c r="D2054">
        <v>0</v>
      </c>
      <c r="F2054">
        <v>0.40340999999999699</v>
      </c>
      <c r="G2054">
        <v>28.700954400848499</v>
      </c>
      <c r="H2054">
        <v>0</v>
      </c>
      <c r="I2054">
        <v>0.52419729999999998</v>
      </c>
      <c r="J2054">
        <v>2012</v>
      </c>
      <c r="K2054">
        <v>1</v>
      </c>
      <c r="L2054">
        <v>24</v>
      </c>
      <c r="M2054" t="s">
        <v>93</v>
      </c>
      <c r="N2054">
        <v>0</v>
      </c>
      <c r="O2054">
        <v>0</v>
      </c>
    </row>
    <row r="2055" spans="1:15" x14ac:dyDescent="0.3">
      <c r="A2055">
        <v>2150</v>
      </c>
      <c r="B2055" s="34">
        <v>40933</v>
      </c>
      <c r="C2055">
        <v>1.3030299999999999</v>
      </c>
      <c r="D2055">
        <v>0</v>
      </c>
      <c r="F2055">
        <v>0.40340999999999699</v>
      </c>
      <c r="G2055">
        <v>28.700954400848499</v>
      </c>
      <c r="H2055">
        <v>0</v>
      </c>
      <c r="I2055">
        <v>0.52395349999999996</v>
      </c>
      <c r="J2055">
        <v>2012</v>
      </c>
      <c r="K2055">
        <v>1</v>
      </c>
      <c r="L2055">
        <v>25</v>
      </c>
      <c r="M2055" t="s">
        <v>89</v>
      </c>
      <c r="N2055">
        <v>0</v>
      </c>
      <c r="O2055">
        <v>0</v>
      </c>
    </row>
    <row r="2056" spans="1:15" x14ac:dyDescent="0.3">
      <c r="A2056">
        <v>2151</v>
      </c>
      <c r="B2056" s="34">
        <v>40934</v>
      </c>
      <c r="C2056">
        <v>1.3098700000000001</v>
      </c>
      <c r="D2056">
        <v>0</v>
      </c>
      <c r="F2056">
        <v>0.40340999999999699</v>
      </c>
      <c r="G2056">
        <v>28.700954400848499</v>
      </c>
      <c r="H2056">
        <v>0</v>
      </c>
      <c r="I2056">
        <v>0.52370989999999995</v>
      </c>
      <c r="J2056">
        <v>2012</v>
      </c>
      <c r="K2056">
        <v>1</v>
      </c>
      <c r="L2056">
        <v>26</v>
      </c>
      <c r="M2056" t="s">
        <v>90</v>
      </c>
      <c r="N2056">
        <v>0</v>
      </c>
      <c r="O2056">
        <v>0</v>
      </c>
    </row>
    <row r="2057" spans="1:15" x14ac:dyDescent="0.3">
      <c r="A2057">
        <v>2152</v>
      </c>
      <c r="B2057" s="34">
        <v>40935</v>
      </c>
      <c r="C2057">
        <v>1.3104499999999999</v>
      </c>
      <c r="D2057">
        <v>0</v>
      </c>
      <c r="F2057">
        <v>0.40340999999999699</v>
      </c>
      <c r="G2057">
        <v>28.700954400848499</v>
      </c>
      <c r="H2057">
        <v>0</v>
      </c>
      <c r="I2057">
        <v>0.52346649999999995</v>
      </c>
      <c r="J2057">
        <v>2012</v>
      </c>
      <c r="K2057">
        <v>1</v>
      </c>
      <c r="L2057">
        <v>27</v>
      </c>
      <c r="M2057" t="s">
        <v>91</v>
      </c>
      <c r="N2057">
        <v>0</v>
      </c>
      <c r="O2057">
        <v>0</v>
      </c>
    </row>
    <row r="2058" spans="1:15" x14ac:dyDescent="0.3">
      <c r="A2058">
        <v>2153</v>
      </c>
      <c r="B2058" s="34">
        <v>40938</v>
      </c>
      <c r="C2058">
        <v>1.32189</v>
      </c>
      <c r="D2058">
        <v>0</v>
      </c>
      <c r="F2058">
        <v>0.40340999999999699</v>
      </c>
      <c r="G2058">
        <v>28.700954400848499</v>
      </c>
      <c r="H2058">
        <v>0</v>
      </c>
      <c r="I2058">
        <v>0.52322340000000001</v>
      </c>
      <c r="J2058">
        <v>2012</v>
      </c>
      <c r="K2058">
        <v>1</v>
      </c>
      <c r="L2058">
        <v>30</v>
      </c>
      <c r="M2058" t="s">
        <v>92</v>
      </c>
      <c r="N2058">
        <v>0</v>
      </c>
      <c r="O2058">
        <v>0</v>
      </c>
    </row>
    <row r="2059" spans="1:15" x14ac:dyDescent="0.3">
      <c r="A2059">
        <v>2154</v>
      </c>
      <c r="B2059" s="34">
        <v>40939</v>
      </c>
      <c r="C2059">
        <v>1.31403</v>
      </c>
      <c r="D2059">
        <v>0</v>
      </c>
      <c r="F2059">
        <v>0.40340999999999699</v>
      </c>
      <c r="G2059">
        <v>28.700954400848499</v>
      </c>
      <c r="H2059">
        <v>1</v>
      </c>
      <c r="I2059">
        <v>0.52344480000000004</v>
      </c>
      <c r="J2059">
        <v>2012</v>
      </c>
      <c r="K2059">
        <v>1</v>
      </c>
      <c r="L2059">
        <v>31</v>
      </c>
      <c r="M2059" t="s">
        <v>93</v>
      </c>
      <c r="N2059">
        <v>0</v>
      </c>
      <c r="O2059">
        <v>0</v>
      </c>
    </row>
    <row r="2060" spans="1:15" x14ac:dyDescent="0.3">
      <c r="A2060">
        <v>2155</v>
      </c>
      <c r="B2060" s="34">
        <v>40940</v>
      </c>
      <c r="C2060">
        <v>1.3087899999999999</v>
      </c>
      <c r="D2060">
        <v>0</v>
      </c>
      <c r="F2060">
        <v>0.40340999999999699</v>
      </c>
      <c r="G2060">
        <v>28.700954400848499</v>
      </c>
      <c r="H2060">
        <v>1</v>
      </c>
      <c r="I2060">
        <v>0.52366590000000002</v>
      </c>
      <c r="J2060">
        <v>2012</v>
      </c>
      <c r="K2060">
        <v>2</v>
      </c>
      <c r="L2060">
        <v>1</v>
      </c>
      <c r="M2060" t="s">
        <v>89</v>
      </c>
      <c r="N2060">
        <v>0</v>
      </c>
      <c r="O2060">
        <v>0</v>
      </c>
    </row>
    <row r="2061" spans="1:15" x14ac:dyDescent="0.3">
      <c r="A2061">
        <v>2156</v>
      </c>
      <c r="B2061" s="34">
        <v>40941</v>
      </c>
      <c r="C2061">
        <v>1.31698</v>
      </c>
      <c r="D2061">
        <v>0</v>
      </c>
      <c r="F2061">
        <v>0.40340999999999699</v>
      </c>
      <c r="G2061">
        <v>28.700954400848499</v>
      </c>
      <c r="H2061">
        <v>1</v>
      </c>
      <c r="I2061">
        <v>0.52388679999999999</v>
      </c>
      <c r="J2061">
        <v>2012</v>
      </c>
      <c r="K2061">
        <v>2</v>
      </c>
      <c r="L2061">
        <v>2</v>
      </c>
      <c r="M2061" t="s">
        <v>90</v>
      </c>
      <c r="N2061">
        <v>0</v>
      </c>
      <c r="O2061">
        <v>0</v>
      </c>
    </row>
    <row r="2062" spans="1:15" x14ac:dyDescent="0.3">
      <c r="A2062">
        <v>2157</v>
      </c>
      <c r="B2062" s="34">
        <v>40942</v>
      </c>
      <c r="C2062">
        <v>1.31446</v>
      </c>
      <c r="D2062">
        <v>0</v>
      </c>
      <c r="F2062">
        <v>0.40340999999999699</v>
      </c>
      <c r="G2062">
        <v>28.700954400848499</v>
      </c>
      <c r="H2062">
        <v>1</v>
      </c>
      <c r="I2062">
        <v>0.52410760000000001</v>
      </c>
      <c r="J2062">
        <v>2012</v>
      </c>
      <c r="K2062">
        <v>2</v>
      </c>
      <c r="L2062">
        <v>3</v>
      </c>
      <c r="M2062" t="s">
        <v>91</v>
      </c>
      <c r="N2062">
        <v>0</v>
      </c>
      <c r="O2062">
        <v>0</v>
      </c>
    </row>
    <row r="2063" spans="1:15" x14ac:dyDescent="0.3">
      <c r="A2063">
        <v>2158</v>
      </c>
      <c r="B2063" s="34">
        <v>40945</v>
      </c>
      <c r="C2063">
        <v>1.3156099999999999</v>
      </c>
      <c r="D2063">
        <v>0</v>
      </c>
      <c r="F2063">
        <v>0.40340999999999699</v>
      </c>
      <c r="G2063">
        <v>28.700954400848499</v>
      </c>
      <c r="H2063">
        <v>0</v>
      </c>
      <c r="I2063">
        <v>0.52386469999999996</v>
      </c>
      <c r="J2063">
        <v>2012</v>
      </c>
      <c r="K2063">
        <v>2</v>
      </c>
      <c r="L2063">
        <v>6</v>
      </c>
      <c r="M2063" t="s">
        <v>92</v>
      </c>
      <c r="N2063">
        <v>0</v>
      </c>
      <c r="O2063">
        <v>0</v>
      </c>
    </row>
    <row r="2064" spans="1:15" x14ac:dyDescent="0.3">
      <c r="A2064">
        <v>2159</v>
      </c>
      <c r="B2064" s="34">
        <v>40946</v>
      </c>
      <c r="C2064">
        <v>1.3123</v>
      </c>
      <c r="D2064">
        <v>0</v>
      </c>
      <c r="F2064">
        <v>0.40340999999999699</v>
      </c>
      <c r="G2064">
        <v>28.700954400848499</v>
      </c>
      <c r="H2064">
        <v>1</v>
      </c>
      <c r="I2064">
        <v>0.52408520000000003</v>
      </c>
      <c r="J2064">
        <v>2012</v>
      </c>
      <c r="K2064">
        <v>2</v>
      </c>
      <c r="L2064">
        <v>7</v>
      </c>
      <c r="M2064" t="s">
        <v>93</v>
      </c>
      <c r="N2064">
        <v>0</v>
      </c>
      <c r="O2064">
        <v>0</v>
      </c>
    </row>
    <row r="2065" spans="1:15" x14ac:dyDescent="0.3">
      <c r="A2065">
        <v>2160</v>
      </c>
      <c r="B2065" s="34">
        <v>40947</v>
      </c>
      <c r="C2065">
        <v>1.32613</v>
      </c>
      <c r="D2065">
        <v>0</v>
      </c>
      <c r="F2065">
        <v>0.40340999999999699</v>
      </c>
      <c r="G2065">
        <v>28.700954400848499</v>
      </c>
      <c r="H2065">
        <v>1</v>
      </c>
      <c r="I2065">
        <v>0.52430560000000004</v>
      </c>
      <c r="J2065">
        <v>2012</v>
      </c>
      <c r="K2065">
        <v>2</v>
      </c>
      <c r="L2065">
        <v>8</v>
      </c>
      <c r="M2065" t="s">
        <v>89</v>
      </c>
      <c r="N2065">
        <v>0</v>
      </c>
      <c r="O2065">
        <v>0</v>
      </c>
    </row>
    <row r="2066" spans="1:15" x14ac:dyDescent="0.3">
      <c r="A2066">
        <v>2161</v>
      </c>
      <c r="B2066" s="34">
        <v>40948</v>
      </c>
      <c r="C2066">
        <v>1.32508</v>
      </c>
      <c r="D2066">
        <v>0</v>
      </c>
      <c r="F2066">
        <v>0.40340999999999699</v>
      </c>
      <c r="G2066">
        <v>28.700954400848499</v>
      </c>
      <c r="H2066">
        <v>1</v>
      </c>
      <c r="I2066">
        <v>0.52452569999999998</v>
      </c>
      <c r="J2066">
        <v>2012</v>
      </c>
      <c r="K2066">
        <v>2</v>
      </c>
      <c r="L2066">
        <v>9</v>
      </c>
      <c r="M2066" t="s">
        <v>90</v>
      </c>
      <c r="N2066">
        <v>0</v>
      </c>
      <c r="O2066">
        <v>0</v>
      </c>
    </row>
    <row r="2067" spans="1:15" x14ac:dyDescent="0.3">
      <c r="A2067">
        <v>2162</v>
      </c>
      <c r="B2067" s="34">
        <v>40949</v>
      </c>
      <c r="C2067">
        <v>1.32847</v>
      </c>
      <c r="D2067">
        <v>0</v>
      </c>
      <c r="F2067">
        <v>0.40340999999999699</v>
      </c>
      <c r="G2067">
        <v>28.700954400848499</v>
      </c>
      <c r="H2067">
        <v>0</v>
      </c>
      <c r="I2067">
        <v>0.5242831</v>
      </c>
      <c r="J2067">
        <v>2012</v>
      </c>
      <c r="K2067">
        <v>2</v>
      </c>
      <c r="L2067">
        <v>10</v>
      </c>
      <c r="M2067" t="s">
        <v>91</v>
      </c>
      <c r="N2067">
        <v>0</v>
      </c>
      <c r="O2067">
        <v>0</v>
      </c>
    </row>
    <row r="2068" spans="1:15" x14ac:dyDescent="0.3">
      <c r="A2068">
        <v>2163</v>
      </c>
      <c r="B2068" s="34">
        <v>40952</v>
      </c>
      <c r="C2068">
        <v>1.3195699999999999</v>
      </c>
      <c r="D2068">
        <v>0</v>
      </c>
      <c r="F2068">
        <v>0.40340999999999699</v>
      </c>
      <c r="G2068">
        <v>28.700954400848499</v>
      </c>
      <c r="H2068">
        <v>1</v>
      </c>
      <c r="I2068">
        <v>0.52450300000000005</v>
      </c>
      <c r="J2068">
        <v>2012</v>
      </c>
      <c r="K2068">
        <v>2</v>
      </c>
      <c r="L2068">
        <v>13</v>
      </c>
      <c r="M2068" t="s">
        <v>92</v>
      </c>
      <c r="N2068">
        <v>0</v>
      </c>
      <c r="O2068">
        <v>0</v>
      </c>
    </row>
    <row r="2069" spans="1:15" x14ac:dyDescent="0.3">
      <c r="A2069">
        <v>2164</v>
      </c>
      <c r="B2069" s="34">
        <v>40953</v>
      </c>
      <c r="C2069">
        <v>1.31731</v>
      </c>
      <c r="D2069">
        <v>0</v>
      </c>
      <c r="F2069">
        <v>0.40340999999999699</v>
      </c>
      <c r="G2069">
        <v>28.700954400848499</v>
      </c>
      <c r="H2069">
        <v>0</v>
      </c>
      <c r="I2069">
        <v>0.52426059999999997</v>
      </c>
      <c r="J2069">
        <v>2012</v>
      </c>
      <c r="K2069">
        <v>2</v>
      </c>
      <c r="L2069">
        <v>14</v>
      </c>
      <c r="M2069" t="s">
        <v>93</v>
      </c>
      <c r="N2069">
        <v>0</v>
      </c>
      <c r="O2069">
        <v>0</v>
      </c>
    </row>
    <row r="2070" spans="1:15" x14ac:dyDescent="0.3">
      <c r="A2070">
        <v>2165</v>
      </c>
      <c r="B2070" s="34">
        <v>40954</v>
      </c>
      <c r="C2070">
        <v>1.3127800000000001</v>
      </c>
      <c r="D2070">
        <v>0</v>
      </c>
      <c r="F2070">
        <v>0.40340999999999699</v>
      </c>
      <c r="G2070">
        <v>28.700954400848499</v>
      </c>
      <c r="H2070">
        <v>0</v>
      </c>
      <c r="I2070">
        <v>0.52401850000000005</v>
      </c>
      <c r="J2070">
        <v>2012</v>
      </c>
      <c r="K2070">
        <v>2</v>
      </c>
      <c r="L2070">
        <v>15</v>
      </c>
      <c r="M2070" t="s">
        <v>89</v>
      </c>
      <c r="N2070">
        <v>0</v>
      </c>
      <c r="O2070">
        <v>0</v>
      </c>
    </row>
    <row r="2071" spans="1:15" x14ac:dyDescent="0.3">
      <c r="A2071">
        <v>2166</v>
      </c>
      <c r="B2071" s="34">
        <v>40955</v>
      </c>
      <c r="C2071">
        <v>1.30592</v>
      </c>
      <c r="D2071">
        <v>0</v>
      </c>
      <c r="F2071">
        <v>0.40340999999999699</v>
      </c>
      <c r="G2071">
        <v>28.700954400848499</v>
      </c>
      <c r="H2071">
        <v>0</v>
      </c>
      <c r="I2071">
        <v>0.52377649999999998</v>
      </c>
      <c r="J2071">
        <v>2012</v>
      </c>
      <c r="K2071">
        <v>2</v>
      </c>
      <c r="L2071">
        <v>16</v>
      </c>
      <c r="M2071" t="s">
        <v>90</v>
      </c>
      <c r="N2071">
        <v>0</v>
      </c>
      <c r="O2071">
        <v>0</v>
      </c>
    </row>
    <row r="2072" spans="1:15" x14ac:dyDescent="0.3">
      <c r="A2072">
        <v>2167</v>
      </c>
      <c r="B2072" s="34">
        <v>40956</v>
      </c>
      <c r="C2072">
        <v>1.3130299999999999</v>
      </c>
      <c r="D2072">
        <v>0</v>
      </c>
      <c r="F2072">
        <v>0.40340999999999699</v>
      </c>
      <c r="G2072">
        <v>28.700954400848499</v>
      </c>
      <c r="H2072">
        <v>1</v>
      </c>
      <c r="I2072">
        <v>0.52399629999999997</v>
      </c>
      <c r="J2072">
        <v>2012</v>
      </c>
      <c r="K2072">
        <v>2</v>
      </c>
      <c r="L2072">
        <v>17</v>
      </c>
      <c r="M2072" t="s">
        <v>91</v>
      </c>
      <c r="N2072">
        <v>0</v>
      </c>
      <c r="O2072">
        <v>0</v>
      </c>
    </row>
    <row r="2073" spans="1:15" x14ac:dyDescent="0.3">
      <c r="A2073">
        <v>2168</v>
      </c>
      <c r="B2073" s="34">
        <v>40959</v>
      </c>
      <c r="C2073">
        <v>1.3141799999999999</v>
      </c>
      <c r="D2073">
        <v>0</v>
      </c>
      <c r="F2073">
        <v>0.40340999999999699</v>
      </c>
      <c r="G2073">
        <v>28.700954400848499</v>
      </c>
      <c r="H2073">
        <v>0</v>
      </c>
      <c r="I2073">
        <v>0.52375459999999996</v>
      </c>
      <c r="J2073">
        <v>2012</v>
      </c>
      <c r="K2073">
        <v>2</v>
      </c>
      <c r="L2073">
        <v>20</v>
      </c>
      <c r="M2073" t="s">
        <v>92</v>
      </c>
      <c r="N2073">
        <v>0</v>
      </c>
      <c r="O2073">
        <v>0</v>
      </c>
    </row>
    <row r="2074" spans="1:15" x14ac:dyDescent="0.3">
      <c r="A2074">
        <v>2169</v>
      </c>
      <c r="B2074" s="34">
        <v>40960</v>
      </c>
      <c r="C2074">
        <v>1.3233200000000001</v>
      </c>
      <c r="D2074">
        <v>0</v>
      </c>
      <c r="F2074">
        <v>0.40340999999999699</v>
      </c>
      <c r="G2074">
        <v>28.700954400848499</v>
      </c>
      <c r="H2074">
        <v>0</v>
      </c>
      <c r="I2074">
        <v>0.52351309999999995</v>
      </c>
      <c r="J2074">
        <v>2012</v>
      </c>
      <c r="K2074">
        <v>2</v>
      </c>
      <c r="L2074">
        <v>21</v>
      </c>
      <c r="M2074" t="s">
        <v>93</v>
      </c>
      <c r="N2074">
        <v>0</v>
      </c>
      <c r="O2074">
        <v>0</v>
      </c>
    </row>
    <row r="2075" spans="1:15" x14ac:dyDescent="0.3">
      <c r="A2075">
        <v>2170</v>
      </c>
      <c r="B2075" s="34">
        <v>40961</v>
      </c>
      <c r="C2075">
        <v>1.3231999999999999</v>
      </c>
      <c r="D2075">
        <v>0</v>
      </c>
      <c r="F2075">
        <v>0.40340999999999699</v>
      </c>
      <c r="G2075">
        <v>28.700954400848499</v>
      </c>
      <c r="H2075">
        <v>1</v>
      </c>
      <c r="I2075">
        <v>0.52373270000000005</v>
      </c>
      <c r="J2075">
        <v>2012</v>
      </c>
      <c r="K2075">
        <v>2</v>
      </c>
      <c r="L2075">
        <v>22</v>
      </c>
      <c r="M2075" t="s">
        <v>89</v>
      </c>
      <c r="N2075">
        <v>0</v>
      </c>
      <c r="O2075">
        <v>0</v>
      </c>
    </row>
    <row r="2076" spans="1:15" x14ac:dyDescent="0.3">
      <c r="A2076">
        <v>2171</v>
      </c>
      <c r="B2076" s="34">
        <v>40962</v>
      </c>
      <c r="C2076">
        <v>1.3247599999999999</v>
      </c>
      <c r="D2076">
        <v>1</v>
      </c>
      <c r="E2076" t="s">
        <v>400</v>
      </c>
      <c r="F2076">
        <v>0.41602999999999701</v>
      </c>
      <c r="G2076">
        <v>26.470484270060201</v>
      </c>
      <c r="H2076">
        <v>0</v>
      </c>
      <c r="I2076">
        <v>0.5234915</v>
      </c>
      <c r="J2076">
        <v>2012</v>
      </c>
      <c r="K2076">
        <v>2</v>
      </c>
      <c r="L2076">
        <v>23</v>
      </c>
      <c r="M2076" t="s">
        <v>90</v>
      </c>
      <c r="N2076">
        <v>0</v>
      </c>
      <c r="O2076">
        <v>0</v>
      </c>
    </row>
    <row r="2077" spans="1:15" x14ac:dyDescent="0.3">
      <c r="A2077">
        <v>2172</v>
      </c>
      <c r="B2077" s="34">
        <v>40963</v>
      </c>
      <c r="C2077">
        <v>1.33738</v>
      </c>
      <c r="D2077">
        <v>0</v>
      </c>
      <c r="F2077">
        <v>0.41602999999999701</v>
      </c>
      <c r="G2077">
        <v>26.470484270060201</v>
      </c>
      <c r="H2077">
        <v>0</v>
      </c>
      <c r="I2077">
        <v>0.52325049999999995</v>
      </c>
      <c r="J2077">
        <v>2012</v>
      </c>
      <c r="K2077">
        <v>2</v>
      </c>
      <c r="L2077">
        <v>24</v>
      </c>
      <c r="M2077" t="s">
        <v>91</v>
      </c>
      <c r="N2077">
        <v>0</v>
      </c>
      <c r="O2077">
        <v>0</v>
      </c>
    </row>
    <row r="2078" spans="1:15" x14ac:dyDescent="0.3">
      <c r="A2078">
        <v>2173</v>
      </c>
      <c r="B2078" s="34">
        <v>40966</v>
      </c>
      <c r="C2078">
        <v>1.3447800000000001</v>
      </c>
      <c r="D2078">
        <v>0</v>
      </c>
      <c r="F2078">
        <v>0.41602999999999701</v>
      </c>
      <c r="G2078">
        <v>26.470484270060201</v>
      </c>
      <c r="H2078">
        <v>0</v>
      </c>
      <c r="I2078">
        <v>0.52300970000000002</v>
      </c>
      <c r="J2078">
        <v>2012</v>
      </c>
      <c r="K2078">
        <v>2</v>
      </c>
      <c r="L2078">
        <v>27</v>
      </c>
      <c r="M2078" t="s">
        <v>92</v>
      </c>
      <c r="N2078">
        <v>0</v>
      </c>
      <c r="O2078">
        <v>0</v>
      </c>
    </row>
    <row r="2079" spans="1:15" x14ac:dyDescent="0.3">
      <c r="A2079">
        <v>2174</v>
      </c>
      <c r="B2079" s="34">
        <v>40967</v>
      </c>
      <c r="C2079">
        <v>1.3393900000000001</v>
      </c>
      <c r="D2079">
        <v>0</v>
      </c>
      <c r="F2079">
        <v>0.41602999999999701</v>
      </c>
      <c r="G2079">
        <v>26.470484270060201</v>
      </c>
      <c r="H2079">
        <v>1</v>
      </c>
      <c r="I2079">
        <v>0.5232291</v>
      </c>
      <c r="J2079">
        <v>2012</v>
      </c>
      <c r="K2079">
        <v>2</v>
      </c>
      <c r="L2079">
        <v>28</v>
      </c>
      <c r="M2079" t="s">
        <v>93</v>
      </c>
      <c r="N2079">
        <v>0</v>
      </c>
      <c r="O2079">
        <v>0</v>
      </c>
    </row>
    <row r="2080" spans="1:15" x14ac:dyDescent="0.3">
      <c r="A2080">
        <v>2175</v>
      </c>
      <c r="B2080" s="34">
        <v>40968</v>
      </c>
      <c r="C2080">
        <v>1.3458300000000001</v>
      </c>
      <c r="D2080">
        <v>0</v>
      </c>
      <c r="F2080">
        <v>0.41602999999999701</v>
      </c>
      <c r="G2080">
        <v>26.470484270060201</v>
      </c>
      <c r="H2080">
        <v>0</v>
      </c>
      <c r="I2080">
        <v>0.52298849999999997</v>
      </c>
      <c r="J2080">
        <v>2012</v>
      </c>
      <c r="K2080">
        <v>2</v>
      </c>
      <c r="L2080">
        <v>29</v>
      </c>
      <c r="M2080" t="s">
        <v>89</v>
      </c>
      <c r="N2080">
        <v>0</v>
      </c>
      <c r="O2080">
        <v>0</v>
      </c>
    </row>
    <row r="2081" spans="1:15" x14ac:dyDescent="0.3">
      <c r="A2081">
        <v>2176</v>
      </c>
      <c r="B2081" s="34">
        <v>40969</v>
      </c>
      <c r="C2081">
        <v>1.3323199999999999</v>
      </c>
      <c r="D2081">
        <v>0</v>
      </c>
      <c r="F2081">
        <v>0.41602999999999701</v>
      </c>
      <c r="G2081">
        <v>26.470484270060201</v>
      </c>
      <c r="H2081">
        <v>1</v>
      </c>
      <c r="I2081">
        <v>0.52320770000000005</v>
      </c>
      <c r="J2081">
        <v>2012</v>
      </c>
      <c r="K2081">
        <v>3</v>
      </c>
      <c r="L2081">
        <v>1</v>
      </c>
      <c r="M2081" t="s">
        <v>90</v>
      </c>
      <c r="N2081">
        <v>0</v>
      </c>
      <c r="O2081">
        <v>0</v>
      </c>
    </row>
    <row r="2082" spans="1:15" x14ac:dyDescent="0.3">
      <c r="A2082">
        <v>2177</v>
      </c>
      <c r="B2082" s="34">
        <v>40970</v>
      </c>
      <c r="C2082">
        <v>1.33161</v>
      </c>
      <c r="D2082">
        <v>0</v>
      </c>
      <c r="F2082">
        <v>0.41602999999999701</v>
      </c>
      <c r="G2082">
        <v>26.470484270060201</v>
      </c>
      <c r="H2082">
        <v>0</v>
      </c>
      <c r="I2082">
        <v>0.52296739999999997</v>
      </c>
      <c r="J2082">
        <v>2012</v>
      </c>
      <c r="K2082">
        <v>3</v>
      </c>
      <c r="L2082">
        <v>2</v>
      </c>
      <c r="M2082" t="s">
        <v>91</v>
      </c>
      <c r="N2082">
        <v>0</v>
      </c>
      <c r="O2082">
        <v>0</v>
      </c>
    </row>
    <row r="2083" spans="1:15" x14ac:dyDescent="0.3">
      <c r="A2083">
        <v>2178</v>
      </c>
      <c r="B2083" s="34">
        <v>40973</v>
      </c>
      <c r="C2083">
        <v>1.31979</v>
      </c>
      <c r="D2083">
        <v>0</v>
      </c>
      <c r="F2083">
        <v>0.41602999999999701</v>
      </c>
      <c r="G2083">
        <v>26.470484270060201</v>
      </c>
      <c r="H2083">
        <v>0</v>
      </c>
      <c r="I2083">
        <v>0.52272730000000001</v>
      </c>
      <c r="J2083">
        <v>2012</v>
      </c>
      <c r="K2083">
        <v>3</v>
      </c>
      <c r="L2083">
        <v>5</v>
      </c>
      <c r="M2083" t="s">
        <v>92</v>
      </c>
      <c r="N2083">
        <v>0</v>
      </c>
      <c r="O2083">
        <v>0</v>
      </c>
    </row>
    <row r="2084" spans="1:15" x14ac:dyDescent="0.3">
      <c r="A2084">
        <v>2179</v>
      </c>
      <c r="B2084" s="34">
        <v>40974</v>
      </c>
      <c r="C2084">
        <v>1.32158</v>
      </c>
      <c r="D2084">
        <v>0</v>
      </c>
      <c r="F2084">
        <v>0.41602999999999701</v>
      </c>
      <c r="G2084">
        <v>26.470484270060201</v>
      </c>
      <c r="H2084">
        <v>1</v>
      </c>
      <c r="I2084">
        <v>0.52294629999999998</v>
      </c>
      <c r="J2084">
        <v>2012</v>
      </c>
      <c r="K2084">
        <v>3</v>
      </c>
      <c r="L2084">
        <v>6</v>
      </c>
      <c r="M2084" t="s">
        <v>93</v>
      </c>
      <c r="N2084">
        <v>0</v>
      </c>
      <c r="O2084">
        <v>0</v>
      </c>
    </row>
    <row r="2085" spans="1:15" x14ac:dyDescent="0.3">
      <c r="A2085">
        <v>2180</v>
      </c>
      <c r="B2085" s="34">
        <v>40975</v>
      </c>
      <c r="C2085">
        <v>1.31134</v>
      </c>
      <c r="D2085">
        <v>0</v>
      </c>
      <c r="F2085">
        <v>0.41602999999999701</v>
      </c>
      <c r="G2085">
        <v>26.470484270060201</v>
      </c>
      <c r="H2085">
        <v>1</v>
      </c>
      <c r="I2085">
        <v>0.5231652</v>
      </c>
      <c r="J2085">
        <v>2012</v>
      </c>
      <c r="K2085">
        <v>3</v>
      </c>
      <c r="L2085">
        <v>7</v>
      </c>
      <c r="M2085" t="s">
        <v>89</v>
      </c>
      <c r="N2085">
        <v>0</v>
      </c>
      <c r="O2085">
        <v>0</v>
      </c>
    </row>
    <row r="2086" spans="1:15" x14ac:dyDescent="0.3">
      <c r="A2086">
        <v>2181</v>
      </c>
      <c r="B2086" s="34">
        <v>40976</v>
      </c>
      <c r="C2086">
        <v>1.3150299999999999</v>
      </c>
      <c r="D2086">
        <v>0</v>
      </c>
      <c r="F2086">
        <v>0.41602999999999701</v>
      </c>
      <c r="G2086">
        <v>26.470484270060201</v>
      </c>
      <c r="H2086">
        <v>1</v>
      </c>
      <c r="I2086">
        <v>0.52338379999999995</v>
      </c>
      <c r="J2086">
        <v>2012</v>
      </c>
      <c r="K2086">
        <v>3</v>
      </c>
      <c r="L2086">
        <v>8</v>
      </c>
      <c r="M2086" t="s">
        <v>90</v>
      </c>
      <c r="N2086">
        <v>0</v>
      </c>
      <c r="O2086">
        <v>0</v>
      </c>
    </row>
    <row r="2087" spans="1:15" x14ac:dyDescent="0.3">
      <c r="A2087">
        <v>2182</v>
      </c>
      <c r="B2087" s="34">
        <v>40977</v>
      </c>
      <c r="C2087">
        <v>1.3275999999999999</v>
      </c>
      <c r="D2087">
        <v>0</v>
      </c>
      <c r="F2087">
        <v>0.41602999999999701</v>
      </c>
      <c r="G2087">
        <v>26.470484270060201</v>
      </c>
      <c r="H2087">
        <v>1</v>
      </c>
      <c r="I2087">
        <v>0.52360220000000002</v>
      </c>
      <c r="J2087">
        <v>2012</v>
      </c>
      <c r="K2087">
        <v>3</v>
      </c>
      <c r="L2087">
        <v>9</v>
      </c>
      <c r="M2087" t="s">
        <v>91</v>
      </c>
      <c r="N2087">
        <v>0</v>
      </c>
      <c r="O2087">
        <v>0</v>
      </c>
    </row>
    <row r="2088" spans="1:15" x14ac:dyDescent="0.3">
      <c r="A2088">
        <v>2183</v>
      </c>
      <c r="B2088" s="34">
        <v>40980</v>
      </c>
      <c r="C2088">
        <v>1.3122100000000001</v>
      </c>
      <c r="D2088">
        <v>0</v>
      </c>
      <c r="F2088">
        <v>0.41602999999999701</v>
      </c>
      <c r="G2088">
        <v>26.470484270060201</v>
      </c>
      <c r="H2088">
        <v>1</v>
      </c>
      <c r="I2088">
        <v>0.52382050000000002</v>
      </c>
      <c r="J2088">
        <v>2012</v>
      </c>
      <c r="K2088">
        <v>3</v>
      </c>
      <c r="L2088">
        <v>12</v>
      </c>
      <c r="M2088" t="s">
        <v>92</v>
      </c>
      <c r="N2088">
        <v>0</v>
      </c>
      <c r="O2088">
        <v>0</v>
      </c>
    </row>
    <row r="2089" spans="1:15" x14ac:dyDescent="0.3">
      <c r="A2089">
        <v>2184</v>
      </c>
      <c r="B2089" s="34">
        <v>40981</v>
      </c>
      <c r="C2089">
        <v>1.3154699999999999</v>
      </c>
      <c r="D2089">
        <v>0</v>
      </c>
      <c r="F2089">
        <v>0.41602999999999701</v>
      </c>
      <c r="G2089">
        <v>26.470484270060201</v>
      </c>
      <c r="H2089">
        <v>1</v>
      </c>
      <c r="I2089">
        <v>0.52403840000000002</v>
      </c>
      <c r="J2089">
        <v>2012</v>
      </c>
      <c r="K2089">
        <v>3</v>
      </c>
      <c r="L2089">
        <v>13</v>
      </c>
      <c r="M2089" t="s">
        <v>93</v>
      </c>
      <c r="N2089">
        <v>0</v>
      </c>
      <c r="O2089">
        <v>0</v>
      </c>
    </row>
    <row r="2090" spans="1:15" x14ac:dyDescent="0.3">
      <c r="A2090">
        <v>2185</v>
      </c>
      <c r="B2090" s="34">
        <v>40982</v>
      </c>
      <c r="C2090">
        <v>1.30816</v>
      </c>
      <c r="D2090">
        <v>0</v>
      </c>
      <c r="F2090">
        <v>0.41602999999999701</v>
      </c>
      <c r="G2090">
        <v>26.470484270060201</v>
      </c>
      <c r="H2090">
        <v>1</v>
      </c>
      <c r="I2090">
        <v>0.52425630000000001</v>
      </c>
      <c r="J2090">
        <v>2012</v>
      </c>
      <c r="K2090">
        <v>3</v>
      </c>
      <c r="L2090">
        <v>14</v>
      </c>
      <c r="M2090" t="s">
        <v>89</v>
      </c>
      <c r="N2090">
        <v>0</v>
      </c>
      <c r="O2090">
        <v>0</v>
      </c>
    </row>
    <row r="2091" spans="1:15" x14ac:dyDescent="0.3">
      <c r="A2091">
        <v>2186</v>
      </c>
      <c r="B2091" s="34">
        <v>40983</v>
      </c>
      <c r="C2091">
        <v>1.3029900000000001</v>
      </c>
      <c r="D2091">
        <v>0</v>
      </c>
      <c r="F2091">
        <v>0.41602999999999701</v>
      </c>
      <c r="G2091">
        <v>26.470484270060201</v>
      </c>
      <c r="H2091">
        <v>0</v>
      </c>
      <c r="I2091">
        <v>0.52401640000000005</v>
      </c>
      <c r="J2091">
        <v>2012</v>
      </c>
      <c r="K2091">
        <v>3</v>
      </c>
      <c r="L2091">
        <v>15</v>
      </c>
      <c r="M2091" t="s">
        <v>90</v>
      </c>
      <c r="N2091">
        <v>0</v>
      </c>
      <c r="O2091">
        <v>0</v>
      </c>
    </row>
    <row r="2092" spans="1:15" x14ac:dyDescent="0.3">
      <c r="A2092">
        <v>2187</v>
      </c>
      <c r="B2092" s="34">
        <v>40984</v>
      </c>
      <c r="C2092">
        <v>1.30715</v>
      </c>
      <c r="D2092">
        <v>0</v>
      </c>
      <c r="F2092">
        <v>0.41602999999999701</v>
      </c>
      <c r="G2092">
        <v>26.470484270060201</v>
      </c>
      <c r="H2092">
        <v>1</v>
      </c>
      <c r="I2092">
        <v>0.52423410000000004</v>
      </c>
      <c r="J2092">
        <v>2012</v>
      </c>
      <c r="K2092">
        <v>3</v>
      </c>
      <c r="L2092">
        <v>16</v>
      </c>
      <c r="M2092" t="s">
        <v>91</v>
      </c>
      <c r="N2092">
        <v>0</v>
      </c>
      <c r="O2092">
        <v>0</v>
      </c>
    </row>
    <row r="2093" spans="1:15" x14ac:dyDescent="0.3">
      <c r="A2093">
        <v>2188</v>
      </c>
      <c r="B2093" s="34">
        <v>40987</v>
      </c>
      <c r="C2093">
        <v>1.31735</v>
      </c>
      <c r="D2093">
        <v>0</v>
      </c>
      <c r="F2093">
        <v>0.41602999999999701</v>
      </c>
      <c r="G2093">
        <v>26.470484270060201</v>
      </c>
      <c r="H2093">
        <v>0</v>
      </c>
      <c r="I2093">
        <v>0.52399450000000003</v>
      </c>
      <c r="J2093">
        <v>2012</v>
      </c>
      <c r="K2093">
        <v>3</v>
      </c>
      <c r="L2093">
        <v>19</v>
      </c>
      <c r="M2093" t="s">
        <v>92</v>
      </c>
      <c r="N2093">
        <v>0</v>
      </c>
      <c r="O2093">
        <v>0</v>
      </c>
    </row>
    <row r="2094" spans="1:15" x14ac:dyDescent="0.3">
      <c r="A2094">
        <v>2189</v>
      </c>
      <c r="B2094" s="34">
        <v>40988</v>
      </c>
      <c r="C2094">
        <v>1.32345</v>
      </c>
      <c r="D2094">
        <v>0</v>
      </c>
      <c r="F2094">
        <v>0.41602999999999701</v>
      </c>
      <c r="G2094">
        <v>26.470484270060201</v>
      </c>
      <c r="H2094">
        <v>0</v>
      </c>
      <c r="I2094">
        <v>0.52375510000000003</v>
      </c>
      <c r="J2094">
        <v>2012</v>
      </c>
      <c r="K2094">
        <v>3</v>
      </c>
      <c r="L2094">
        <v>20</v>
      </c>
      <c r="M2094" t="s">
        <v>93</v>
      </c>
      <c r="N2094">
        <v>0</v>
      </c>
      <c r="O2094">
        <v>0</v>
      </c>
    </row>
    <row r="2095" spans="1:15" x14ac:dyDescent="0.3">
      <c r="A2095">
        <v>2190</v>
      </c>
      <c r="B2095" s="34">
        <v>40989</v>
      </c>
      <c r="C2095">
        <v>1.3229</v>
      </c>
      <c r="D2095">
        <v>0</v>
      </c>
      <c r="F2095">
        <v>0.41602999999999701</v>
      </c>
      <c r="G2095">
        <v>26.470484270060201</v>
      </c>
      <c r="H2095">
        <v>1</v>
      </c>
      <c r="I2095">
        <v>0.52397260000000001</v>
      </c>
      <c r="J2095">
        <v>2012</v>
      </c>
      <c r="K2095">
        <v>3</v>
      </c>
      <c r="L2095">
        <v>21</v>
      </c>
      <c r="M2095" t="s">
        <v>89</v>
      </c>
      <c r="N2095">
        <v>0</v>
      </c>
      <c r="O2095">
        <v>0</v>
      </c>
    </row>
    <row r="2096" spans="1:15" x14ac:dyDescent="0.3">
      <c r="A2096">
        <v>2191</v>
      </c>
      <c r="B2096" s="34">
        <v>40990</v>
      </c>
      <c r="C2096">
        <v>1.32121</v>
      </c>
      <c r="D2096">
        <v>3</v>
      </c>
      <c r="E2096" t="s">
        <v>401</v>
      </c>
      <c r="F2096">
        <v>0.41461999999999799</v>
      </c>
      <c r="G2096">
        <v>26.719688936019899</v>
      </c>
      <c r="H2096">
        <v>1</v>
      </c>
      <c r="I2096">
        <v>0.52418989999999999</v>
      </c>
      <c r="J2096">
        <v>2012</v>
      </c>
      <c r="K2096">
        <v>3</v>
      </c>
      <c r="L2096">
        <v>22</v>
      </c>
      <c r="M2096" t="s">
        <v>90</v>
      </c>
      <c r="N2096">
        <v>0</v>
      </c>
      <c r="O2096">
        <v>0</v>
      </c>
    </row>
    <row r="2097" spans="1:15" x14ac:dyDescent="0.3">
      <c r="A2097">
        <v>2192</v>
      </c>
      <c r="B2097" s="34">
        <v>40991</v>
      </c>
      <c r="C2097">
        <v>1.3198000000000001</v>
      </c>
      <c r="D2097">
        <v>0</v>
      </c>
      <c r="F2097">
        <v>0.41461999999999799</v>
      </c>
      <c r="G2097">
        <v>26.719688936019899</v>
      </c>
      <c r="H2097">
        <v>1</v>
      </c>
      <c r="I2097">
        <v>0.52440690000000001</v>
      </c>
      <c r="J2097">
        <v>2012</v>
      </c>
      <c r="K2097">
        <v>3</v>
      </c>
      <c r="L2097">
        <v>23</v>
      </c>
      <c r="M2097" t="s">
        <v>91</v>
      </c>
      <c r="N2097">
        <v>0</v>
      </c>
      <c r="O2097">
        <v>0</v>
      </c>
    </row>
    <row r="2098" spans="1:15" x14ac:dyDescent="0.3">
      <c r="A2098">
        <v>2193</v>
      </c>
      <c r="B2098" s="34">
        <v>40994</v>
      </c>
      <c r="C2098">
        <v>1.3269</v>
      </c>
      <c r="D2098">
        <v>-2</v>
      </c>
      <c r="F2098">
        <v>0.40590999999999799</v>
      </c>
      <c r="G2098">
        <v>28.259102156238999</v>
      </c>
      <c r="H2098">
        <v>0</v>
      </c>
      <c r="I2098">
        <v>0.52416779999999996</v>
      </c>
      <c r="J2098">
        <v>2012</v>
      </c>
      <c r="K2098">
        <v>3</v>
      </c>
      <c r="L2098">
        <v>26</v>
      </c>
      <c r="M2098" t="s">
        <v>92</v>
      </c>
      <c r="N2098">
        <v>0</v>
      </c>
      <c r="O2098">
        <v>0</v>
      </c>
    </row>
    <row r="2099" spans="1:15" x14ac:dyDescent="0.3">
      <c r="A2099">
        <v>2194</v>
      </c>
      <c r="B2099" s="34">
        <v>40995</v>
      </c>
      <c r="C2099">
        <v>1.33561</v>
      </c>
      <c r="D2099">
        <v>0</v>
      </c>
      <c r="F2099">
        <v>0.40590999999999799</v>
      </c>
      <c r="G2099">
        <v>28.259102156238999</v>
      </c>
      <c r="H2099">
        <v>0</v>
      </c>
      <c r="I2099">
        <v>0.52392890000000003</v>
      </c>
      <c r="J2099">
        <v>2012</v>
      </c>
      <c r="K2099">
        <v>3</v>
      </c>
      <c r="L2099">
        <v>27</v>
      </c>
      <c r="M2099" t="s">
        <v>93</v>
      </c>
      <c r="N2099">
        <v>0</v>
      </c>
      <c r="O2099">
        <v>0</v>
      </c>
    </row>
    <row r="2100" spans="1:15" x14ac:dyDescent="0.3">
      <c r="A2100">
        <v>2195</v>
      </c>
      <c r="B2100" s="34">
        <v>40996</v>
      </c>
      <c r="C2100">
        <v>1.3318099999999999</v>
      </c>
      <c r="D2100">
        <v>0</v>
      </c>
      <c r="F2100">
        <v>0.40590999999999799</v>
      </c>
      <c r="G2100">
        <v>28.259102156238999</v>
      </c>
      <c r="H2100">
        <v>1</v>
      </c>
      <c r="I2100">
        <v>0.5241458</v>
      </c>
      <c r="J2100">
        <v>2012</v>
      </c>
      <c r="K2100">
        <v>3</v>
      </c>
      <c r="L2100">
        <v>28</v>
      </c>
      <c r="M2100" t="s">
        <v>89</v>
      </c>
      <c r="N2100">
        <v>0</v>
      </c>
      <c r="O2100">
        <v>0</v>
      </c>
    </row>
    <row r="2101" spans="1:15" x14ac:dyDescent="0.3">
      <c r="A2101">
        <v>2196</v>
      </c>
      <c r="B2101" s="34">
        <v>40997</v>
      </c>
      <c r="C2101">
        <v>1.3314600000000001</v>
      </c>
      <c r="D2101">
        <v>0</v>
      </c>
      <c r="F2101">
        <v>0.40590999999999799</v>
      </c>
      <c r="G2101">
        <v>28.259102156238999</v>
      </c>
      <c r="H2101">
        <v>1</v>
      </c>
      <c r="I2101">
        <v>0.52436249999999995</v>
      </c>
      <c r="J2101">
        <v>2012</v>
      </c>
      <c r="K2101">
        <v>3</v>
      </c>
      <c r="L2101">
        <v>29</v>
      </c>
      <c r="M2101" t="s">
        <v>90</v>
      </c>
      <c r="N2101">
        <v>0</v>
      </c>
      <c r="O2101">
        <v>0</v>
      </c>
    </row>
    <row r="2102" spans="1:15" x14ac:dyDescent="0.3">
      <c r="A2102">
        <v>2197</v>
      </c>
      <c r="B2102" s="34">
        <v>40998</v>
      </c>
      <c r="C2102">
        <v>1.3298700000000001</v>
      </c>
      <c r="D2102">
        <v>0</v>
      </c>
      <c r="F2102">
        <v>0.40590999999999799</v>
      </c>
      <c r="G2102">
        <v>28.259102156238999</v>
      </c>
      <c r="H2102">
        <v>1</v>
      </c>
      <c r="I2102">
        <v>0.52457900000000002</v>
      </c>
      <c r="J2102">
        <v>2012</v>
      </c>
      <c r="K2102">
        <v>3</v>
      </c>
      <c r="L2102">
        <v>30</v>
      </c>
      <c r="M2102" t="s">
        <v>91</v>
      </c>
      <c r="N2102">
        <v>0</v>
      </c>
      <c r="O2102">
        <v>0</v>
      </c>
    </row>
    <row r="2103" spans="1:15" x14ac:dyDescent="0.3">
      <c r="A2103">
        <v>2198</v>
      </c>
      <c r="B2103" s="34">
        <v>41001</v>
      </c>
      <c r="C2103">
        <v>1.3340799999999999</v>
      </c>
      <c r="D2103">
        <v>0</v>
      </c>
      <c r="F2103">
        <v>0.40590999999999799</v>
      </c>
      <c r="G2103">
        <v>28.259102156238999</v>
      </c>
      <c r="H2103">
        <v>1</v>
      </c>
      <c r="I2103">
        <v>0.52479529999999996</v>
      </c>
      <c r="J2103">
        <v>2012</v>
      </c>
      <c r="K2103">
        <v>4</v>
      </c>
      <c r="L2103">
        <v>2</v>
      </c>
      <c r="M2103" t="s">
        <v>92</v>
      </c>
      <c r="N2103">
        <v>0</v>
      </c>
      <c r="O2103">
        <v>0</v>
      </c>
    </row>
    <row r="2104" spans="1:15" x14ac:dyDescent="0.3">
      <c r="A2104">
        <v>2199</v>
      </c>
      <c r="B2104" s="34">
        <v>41002</v>
      </c>
      <c r="C2104">
        <v>1.3316699999999999</v>
      </c>
      <c r="D2104">
        <v>0</v>
      </c>
      <c r="F2104">
        <v>0.40590999999999799</v>
      </c>
      <c r="G2104">
        <v>28.259102156238999</v>
      </c>
      <c r="H2104">
        <v>1</v>
      </c>
      <c r="I2104">
        <v>0.52501140000000002</v>
      </c>
      <c r="J2104">
        <v>2012</v>
      </c>
      <c r="K2104">
        <v>4</v>
      </c>
      <c r="L2104">
        <v>3</v>
      </c>
      <c r="M2104" t="s">
        <v>93</v>
      </c>
      <c r="N2104">
        <v>0</v>
      </c>
      <c r="O2104">
        <v>0</v>
      </c>
    </row>
    <row r="2105" spans="1:15" x14ac:dyDescent="0.3">
      <c r="A2105">
        <v>2200</v>
      </c>
      <c r="B2105" s="34">
        <v>41003</v>
      </c>
      <c r="C2105">
        <v>1.3234699999999999</v>
      </c>
      <c r="D2105">
        <v>0</v>
      </c>
      <c r="F2105">
        <v>0.40590999999999799</v>
      </c>
      <c r="G2105">
        <v>28.259102156238999</v>
      </c>
      <c r="H2105">
        <v>0</v>
      </c>
      <c r="I2105">
        <v>0.52477269999999998</v>
      </c>
      <c r="J2105">
        <v>2012</v>
      </c>
      <c r="K2105">
        <v>4</v>
      </c>
      <c r="L2105">
        <v>4</v>
      </c>
      <c r="M2105" t="s">
        <v>89</v>
      </c>
      <c r="N2105">
        <v>0</v>
      </c>
      <c r="O2105">
        <v>0</v>
      </c>
    </row>
    <row r="2106" spans="1:15" x14ac:dyDescent="0.3">
      <c r="A2106">
        <v>2201</v>
      </c>
      <c r="B2106" s="34">
        <v>41004</v>
      </c>
      <c r="C2106">
        <v>1.31393</v>
      </c>
      <c r="D2106">
        <v>0</v>
      </c>
      <c r="F2106">
        <v>0.40590999999999799</v>
      </c>
      <c r="G2106">
        <v>28.259102156238999</v>
      </c>
      <c r="H2106">
        <v>0</v>
      </c>
      <c r="I2106">
        <v>0.52453430000000001</v>
      </c>
      <c r="J2106">
        <v>2012</v>
      </c>
      <c r="K2106">
        <v>4</v>
      </c>
      <c r="L2106">
        <v>5</v>
      </c>
      <c r="M2106" t="s">
        <v>90</v>
      </c>
      <c r="N2106">
        <v>0</v>
      </c>
      <c r="O2106">
        <v>0</v>
      </c>
    </row>
    <row r="2107" spans="1:15" x14ac:dyDescent="0.3">
      <c r="A2107">
        <v>2202</v>
      </c>
      <c r="B2107" s="34">
        <v>41005</v>
      </c>
      <c r="C2107">
        <v>1.3063499999999999</v>
      </c>
      <c r="D2107">
        <v>0</v>
      </c>
      <c r="F2107">
        <v>0.40590999999999799</v>
      </c>
      <c r="G2107">
        <v>28.259102156238999</v>
      </c>
      <c r="H2107">
        <v>0</v>
      </c>
      <c r="I2107">
        <v>0.52429610000000004</v>
      </c>
      <c r="J2107">
        <v>2012</v>
      </c>
      <c r="K2107">
        <v>4</v>
      </c>
      <c r="L2107">
        <v>6</v>
      </c>
      <c r="M2107" t="s">
        <v>91</v>
      </c>
      <c r="N2107">
        <v>0</v>
      </c>
      <c r="O2107">
        <v>0</v>
      </c>
    </row>
    <row r="2108" spans="1:15" x14ac:dyDescent="0.3">
      <c r="A2108">
        <v>2203</v>
      </c>
      <c r="B2108" s="34">
        <v>41008</v>
      </c>
      <c r="C2108">
        <v>1.30911</v>
      </c>
      <c r="D2108">
        <v>0</v>
      </c>
      <c r="F2108">
        <v>0.40590999999999799</v>
      </c>
      <c r="G2108">
        <v>28.259102156238999</v>
      </c>
      <c r="H2108">
        <v>1</v>
      </c>
      <c r="I2108">
        <v>0.52451210000000004</v>
      </c>
      <c r="J2108">
        <v>2012</v>
      </c>
      <c r="K2108">
        <v>4</v>
      </c>
      <c r="L2108">
        <v>9</v>
      </c>
      <c r="M2108" t="s">
        <v>92</v>
      </c>
      <c r="N2108">
        <v>0</v>
      </c>
      <c r="O2108">
        <v>0</v>
      </c>
    </row>
    <row r="2109" spans="1:15" x14ac:dyDescent="0.3">
      <c r="A2109">
        <v>2204</v>
      </c>
      <c r="B2109" s="34">
        <v>41009</v>
      </c>
      <c r="C2109">
        <v>1.31088</v>
      </c>
      <c r="D2109">
        <v>0</v>
      </c>
      <c r="F2109">
        <v>0.40590999999999799</v>
      </c>
      <c r="G2109">
        <v>28.259102156238999</v>
      </c>
      <c r="H2109">
        <v>0</v>
      </c>
      <c r="I2109">
        <v>0.52427409999999997</v>
      </c>
      <c r="J2109">
        <v>2012</v>
      </c>
      <c r="K2109">
        <v>4</v>
      </c>
      <c r="L2109">
        <v>10</v>
      </c>
      <c r="M2109" t="s">
        <v>93</v>
      </c>
      <c r="N2109">
        <v>0</v>
      </c>
      <c r="O2109">
        <v>0</v>
      </c>
    </row>
    <row r="2110" spans="1:15" x14ac:dyDescent="0.3">
      <c r="A2110">
        <v>2205</v>
      </c>
      <c r="B2110" s="34">
        <v>41010</v>
      </c>
      <c r="C2110">
        <v>1.3081499999999999</v>
      </c>
      <c r="D2110">
        <v>0</v>
      </c>
      <c r="F2110">
        <v>0.40590999999999799</v>
      </c>
      <c r="G2110">
        <v>28.259102156238999</v>
      </c>
      <c r="H2110">
        <v>1</v>
      </c>
      <c r="I2110">
        <v>0.52448980000000001</v>
      </c>
      <c r="J2110">
        <v>2012</v>
      </c>
      <c r="K2110">
        <v>4</v>
      </c>
      <c r="L2110">
        <v>11</v>
      </c>
      <c r="M2110" t="s">
        <v>89</v>
      </c>
      <c r="N2110">
        <v>0</v>
      </c>
      <c r="O2110">
        <v>0</v>
      </c>
    </row>
    <row r="2111" spans="1:15" x14ac:dyDescent="0.3">
      <c r="A2111">
        <v>2206</v>
      </c>
      <c r="B2111" s="34">
        <v>41011</v>
      </c>
      <c r="C2111">
        <v>1.3109599999999999</v>
      </c>
      <c r="D2111">
        <v>0</v>
      </c>
      <c r="F2111">
        <v>0.40590999999999799</v>
      </c>
      <c r="G2111">
        <v>28.259102156238999</v>
      </c>
      <c r="H2111">
        <v>1</v>
      </c>
      <c r="I2111">
        <v>0.52470539999999999</v>
      </c>
      <c r="J2111">
        <v>2012</v>
      </c>
      <c r="K2111">
        <v>4</v>
      </c>
      <c r="L2111">
        <v>12</v>
      </c>
      <c r="M2111" t="s">
        <v>90</v>
      </c>
      <c r="N2111">
        <v>0</v>
      </c>
      <c r="O2111">
        <v>0</v>
      </c>
    </row>
    <row r="2112" spans="1:15" x14ac:dyDescent="0.3">
      <c r="A2112">
        <v>2207</v>
      </c>
      <c r="B2112" s="34">
        <v>41012</v>
      </c>
      <c r="C2112">
        <v>1.31864</v>
      </c>
      <c r="D2112">
        <v>0</v>
      </c>
      <c r="F2112">
        <v>0.40590999999999799</v>
      </c>
      <c r="G2112">
        <v>28.259102156238999</v>
      </c>
      <c r="H2112">
        <v>0</v>
      </c>
      <c r="I2112">
        <v>0.52446760000000003</v>
      </c>
      <c r="J2112">
        <v>2012</v>
      </c>
      <c r="K2112">
        <v>4</v>
      </c>
      <c r="L2112">
        <v>13</v>
      </c>
      <c r="M2112" t="s">
        <v>91</v>
      </c>
      <c r="N2112">
        <v>0</v>
      </c>
      <c r="O2112">
        <v>0</v>
      </c>
    </row>
    <row r="2113" spans="1:15" x14ac:dyDescent="0.3">
      <c r="A2113">
        <v>2208</v>
      </c>
      <c r="B2113" s="34">
        <v>41015</v>
      </c>
      <c r="C2113">
        <v>1.3076399999999999</v>
      </c>
      <c r="D2113">
        <v>0</v>
      </c>
      <c r="F2113">
        <v>0.40590999999999799</v>
      </c>
      <c r="G2113">
        <v>28.259102156238999</v>
      </c>
      <c r="H2113">
        <v>1</v>
      </c>
      <c r="I2113">
        <v>0.52468300000000001</v>
      </c>
      <c r="J2113">
        <v>2012</v>
      </c>
      <c r="K2113">
        <v>4</v>
      </c>
      <c r="L2113">
        <v>16</v>
      </c>
      <c r="M2113" t="s">
        <v>92</v>
      </c>
      <c r="N2113">
        <v>0</v>
      </c>
      <c r="O2113">
        <v>0</v>
      </c>
    </row>
    <row r="2114" spans="1:15" x14ac:dyDescent="0.3">
      <c r="A2114">
        <v>2209</v>
      </c>
      <c r="B2114" s="34">
        <v>41016</v>
      </c>
      <c r="C2114">
        <v>1.3131299999999999</v>
      </c>
      <c r="D2114">
        <v>0</v>
      </c>
      <c r="F2114">
        <v>0.40590999999999799</v>
      </c>
      <c r="G2114">
        <v>28.259102156238999</v>
      </c>
      <c r="H2114">
        <v>1</v>
      </c>
      <c r="I2114">
        <v>0.52489819999999998</v>
      </c>
      <c r="J2114">
        <v>2012</v>
      </c>
      <c r="K2114">
        <v>4</v>
      </c>
      <c r="L2114">
        <v>17</v>
      </c>
      <c r="M2114" t="s">
        <v>93</v>
      </c>
      <c r="N2114">
        <v>0</v>
      </c>
      <c r="O2114">
        <v>0</v>
      </c>
    </row>
    <row r="2115" spans="1:15" x14ac:dyDescent="0.3">
      <c r="A2115">
        <v>2210</v>
      </c>
      <c r="B2115" s="34">
        <v>41017</v>
      </c>
      <c r="C2115">
        <v>1.31271</v>
      </c>
      <c r="D2115">
        <v>0</v>
      </c>
      <c r="F2115">
        <v>0.40590999999999799</v>
      </c>
      <c r="G2115">
        <v>28.259102156238999</v>
      </c>
      <c r="H2115">
        <v>1</v>
      </c>
      <c r="I2115">
        <v>0.5251131</v>
      </c>
      <c r="J2115">
        <v>2012</v>
      </c>
      <c r="K2115">
        <v>4</v>
      </c>
      <c r="L2115">
        <v>18</v>
      </c>
      <c r="M2115" t="s">
        <v>89</v>
      </c>
      <c r="N2115">
        <v>0</v>
      </c>
      <c r="O2115">
        <v>0</v>
      </c>
    </row>
    <row r="2116" spans="1:15" x14ac:dyDescent="0.3">
      <c r="A2116">
        <v>2211</v>
      </c>
      <c r="B2116" s="34">
        <v>41018</v>
      </c>
      <c r="C2116">
        <v>1.3118099999999999</v>
      </c>
      <c r="D2116">
        <v>0</v>
      </c>
      <c r="F2116">
        <v>0.40590999999999799</v>
      </c>
      <c r="G2116">
        <v>28.259102156238999</v>
      </c>
      <c r="H2116">
        <v>1</v>
      </c>
      <c r="I2116">
        <v>0.52532789999999996</v>
      </c>
      <c r="J2116">
        <v>2012</v>
      </c>
      <c r="K2116">
        <v>4</v>
      </c>
      <c r="L2116">
        <v>19</v>
      </c>
      <c r="M2116" t="s">
        <v>90</v>
      </c>
      <c r="N2116">
        <v>0</v>
      </c>
      <c r="O2116">
        <v>0</v>
      </c>
    </row>
    <row r="2117" spans="1:15" x14ac:dyDescent="0.3">
      <c r="A2117">
        <v>2212</v>
      </c>
      <c r="B2117" s="34">
        <v>41019</v>
      </c>
      <c r="C2117">
        <v>1.3134300000000001</v>
      </c>
      <c r="D2117">
        <v>0</v>
      </c>
      <c r="F2117">
        <v>0.40590999999999799</v>
      </c>
      <c r="G2117">
        <v>28.259102156238999</v>
      </c>
      <c r="H2117">
        <v>1</v>
      </c>
      <c r="I2117">
        <v>0.52554250000000002</v>
      </c>
      <c r="J2117">
        <v>2012</v>
      </c>
      <c r="K2117">
        <v>4</v>
      </c>
      <c r="L2117">
        <v>20</v>
      </c>
      <c r="M2117" t="s">
        <v>91</v>
      </c>
      <c r="N2117">
        <v>0</v>
      </c>
      <c r="O2117">
        <v>0</v>
      </c>
    </row>
    <row r="2118" spans="1:15" x14ac:dyDescent="0.3">
      <c r="A2118">
        <v>2213</v>
      </c>
      <c r="B2118" s="34">
        <v>41022</v>
      </c>
      <c r="C2118">
        <v>1.3217000000000001</v>
      </c>
      <c r="D2118">
        <v>0</v>
      </c>
      <c r="F2118">
        <v>0.40590999999999799</v>
      </c>
      <c r="G2118">
        <v>28.259102156238999</v>
      </c>
      <c r="H2118">
        <v>0</v>
      </c>
      <c r="I2118">
        <v>0.52530500000000002</v>
      </c>
      <c r="J2118">
        <v>2012</v>
      </c>
      <c r="K2118">
        <v>4</v>
      </c>
      <c r="L2118">
        <v>23</v>
      </c>
      <c r="M2118" t="s">
        <v>92</v>
      </c>
      <c r="N2118">
        <v>0</v>
      </c>
      <c r="O2118">
        <v>0</v>
      </c>
    </row>
    <row r="2119" spans="1:15" x14ac:dyDescent="0.3">
      <c r="A2119">
        <v>2214</v>
      </c>
      <c r="B2119" s="34">
        <v>41023</v>
      </c>
      <c r="C2119">
        <v>1.3155399999999999</v>
      </c>
      <c r="D2119">
        <v>0</v>
      </c>
      <c r="F2119">
        <v>0.40590999999999799</v>
      </c>
      <c r="G2119">
        <v>28.259102156238999</v>
      </c>
      <c r="H2119">
        <v>1</v>
      </c>
      <c r="I2119">
        <v>0.52551939999999997</v>
      </c>
      <c r="J2119">
        <v>2012</v>
      </c>
      <c r="K2119">
        <v>4</v>
      </c>
      <c r="L2119">
        <v>24</v>
      </c>
      <c r="M2119" t="s">
        <v>93</v>
      </c>
      <c r="N2119">
        <v>0</v>
      </c>
      <c r="O2119">
        <v>0</v>
      </c>
    </row>
    <row r="2120" spans="1:15" x14ac:dyDescent="0.3">
      <c r="A2120">
        <v>2215</v>
      </c>
      <c r="B2120" s="34">
        <v>41024</v>
      </c>
      <c r="C2120">
        <v>1.3194399999999999</v>
      </c>
      <c r="D2120">
        <v>0</v>
      </c>
      <c r="F2120">
        <v>0.40590999999999799</v>
      </c>
      <c r="G2120">
        <v>28.259102156238999</v>
      </c>
      <c r="H2120">
        <v>0</v>
      </c>
      <c r="I2120">
        <v>0.52528209999999997</v>
      </c>
      <c r="J2120">
        <v>2012</v>
      </c>
      <c r="K2120">
        <v>4</v>
      </c>
      <c r="L2120">
        <v>25</v>
      </c>
      <c r="M2120" t="s">
        <v>89</v>
      </c>
      <c r="N2120">
        <v>0</v>
      </c>
      <c r="O2120">
        <v>0</v>
      </c>
    </row>
    <row r="2121" spans="1:15" x14ac:dyDescent="0.3">
      <c r="A2121">
        <v>2216</v>
      </c>
      <c r="B2121" s="34">
        <v>41025</v>
      </c>
      <c r="C2121">
        <v>1.3222400000000001</v>
      </c>
      <c r="D2121">
        <v>0</v>
      </c>
      <c r="F2121">
        <v>0.40590999999999799</v>
      </c>
      <c r="G2121">
        <v>28.259102156238999</v>
      </c>
      <c r="H2121">
        <v>0</v>
      </c>
      <c r="I2121">
        <v>0.52504510000000004</v>
      </c>
      <c r="J2121">
        <v>2012</v>
      </c>
      <c r="K2121">
        <v>4</v>
      </c>
      <c r="L2121">
        <v>26</v>
      </c>
      <c r="M2121" t="s">
        <v>90</v>
      </c>
      <c r="N2121">
        <v>0</v>
      </c>
      <c r="O2121">
        <v>0</v>
      </c>
    </row>
    <row r="2122" spans="1:15" x14ac:dyDescent="0.3">
      <c r="A2122">
        <v>2217</v>
      </c>
      <c r="B2122" s="34">
        <v>41026</v>
      </c>
      <c r="C2122">
        <v>1.3191900000000001</v>
      </c>
      <c r="D2122">
        <v>0</v>
      </c>
      <c r="F2122">
        <v>0.40590999999999799</v>
      </c>
      <c r="G2122">
        <v>28.259102156238999</v>
      </c>
      <c r="H2122">
        <v>1</v>
      </c>
      <c r="I2122">
        <v>0.52525940000000004</v>
      </c>
      <c r="J2122">
        <v>2012</v>
      </c>
      <c r="K2122">
        <v>4</v>
      </c>
      <c r="L2122">
        <v>27</v>
      </c>
      <c r="M2122" t="s">
        <v>91</v>
      </c>
      <c r="N2122">
        <v>0</v>
      </c>
      <c r="O2122">
        <v>0</v>
      </c>
    </row>
    <row r="2123" spans="1:15" x14ac:dyDescent="0.3">
      <c r="A2123">
        <v>2218</v>
      </c>
      <c r="B2123" s="34">
        <v>41029</v>
      </c>
      <c r="C2123">
        <v>1.32514</v>
      </c>
      <c r="D2123">
        <v>0</v>
      </c>
      <c r="F2123">
        <v>0.40590999999999799</v>
      </c>
      <c r="G2123">
        <v>28.259102156238999</v>
      </c>
      <c r="H2123">
        <v>0</v>
      </c>
      <c r="I2123">
        <v>0.52502260000000001</v>
      </c>
      <c r="J2123">
        <v>2012</v>
      </c>
      <c r="K2123">
        <v>4</v>
      </c>
      <c r="L2123">
        <v>30</v>
      </c>
      <c r="M2123" t="s">
        <v>92</v>
      </c>
      <c r="N2123">
        <v>0</v>
      </c>
      <c r="O2123">
        <v>0</v>
      </c>
    </row>
    <row r="2124" spans="1:15" x14ac:dyDescent="0.3">
      <c r="A2124">
        <v>2219</v>
      </c>
      <c r="B2124" s="34">
        <v>41030</v>
      </c>
      <c r="C2124">
        <v>1.3241700000000001</v>
      </c>
      <c r="D2124">
        <v>0</v>
      </c>
      <c r="F2124">
        <v>0.40590999999999799</v>
      </c>
      <c r="G2124">
        <v>28.259102156238999</v>
      </c>
      <c r="H2124">
        <v>1</v>
      </c>
      <c r="I2124">
        <v>0.52523660000000005</v>
      </c>
      <c r="J2124">
        <v>2012</v>
      </c>
      <c r="K2124">
        <v>5</v>
      </c>
      <c r="L2124">
        <v>1</v>
      </c>
      <c r="M2124" t="s">
        <v>93</v>
      </c>
      <c r="N2124">
        <v>0</v>
      </c>
      <c r="O2124">
        <v>0</v>
      </c>
    </row>
    <row r="2125" spans="1:15" x14ac:dyDescent="0.3">
      <c r="A2125">
        <v>2220</v>
      </c>
      <c r="B2125" s="34">
        <v>41031</v>
      </c>
      <c r="C2125">
        <v>1.32378</v>
      </c>
      <c r="D2125">
        <v>0</v>
      </c>
      <c r="F2125">
        <v>0.40590999999999799</v>
      </c>
      <c r="G2125">
        <v>28.259102156238999</v>
      </c>
      <c r="H2125">
        <v>1</v>
      </c>
      <c r="I2125">
        <v>0.52545050000000004</v>
      </c>
      <c r="J2125">
        <v>2012</v>
      </c>
      <c r="K2125">
        <v>5</v>
      </c>
      <c r="L2125">
        <v>2</v>
      </c>
      <c r="M2125" t="s">
        <v>89</v>
      </c>
      <c r="N2125">
        <v>0</v>
      </c>
      <c r="O2125">
        <v>0</v>
      </c>
    </row>
    <row r="2126" spans="1:15" x14ac:dyDescent="0.3">
      <c r="A2126">
        <v>2221</v>
      </c>
      <c r="B2126" s="34">
        <v>41032</v>
      </c>
      <c r="C2126">
        <v>1.31538</v>
      </c>
      <c r="D2126">
        <v>0</v>
      </c>
      <c r="F2126">
        <v>0.40590999999999799</v>
      </c>
      <c r="G2126">
        <v>28.259102156238999</v>
      </c>
      <c r="H2126">
        <v>1</v>
      </c>
      <c r="I2126">
        <v>0.52566409999999997</v>
      </c>
      <c r="J2126">
        <v>2012</v>
      </c>
      <c r="K2126">
        <v>5</v>
      </c>
      <c r="L2126">
        <v>3</v>
      </c>
      <c r="M2126" t="s">
        <v>90</v>
      </c>
      <c r="N2126">
        <v>0</v>
      </c>
      <c r="O2126">
        <v>0</v>
      </c>
    </row>
    <row r="2127" spans="1:15" x14ac:dyDescent="0.3">
      <c r="A2127">
        <v>2222</v>
      </c>
      <c r="B2127" s="34">
        <v>41033</v>
      </c>
      <c r="C2127">
        <v>1.3151299999999999</v>
      </c>
      <c r="D2127">
        <v>0</v>
      </c>
      <c r="F2127">
        <v>0.40590999999999799</v>
      </c>
      <c r="G2127">
        <v>28.259102156238999</v>
      </c>
      <c r="H2127">
        <v>0</v>
      </c>
      <c r="I2127">
        <v>0.52542750000000005</v>
      </c>
      <c r="J2127">
        <v>2012</v>
      </c>
      <c r="K2127">
        <v>5</v>
      </c>
      <c r="L2127">
        <v>4</v>
      </c>
      <c r="M2127" t="s">
        <v>91</v>
      </c>
      <c r="N2127">
        <v>0</v>
      </c>
      <c r="O2127">
        <v>0</v>
      </c>
    </row>
    <row r="2128" spans="1:15" x14ac:dyDescent="0.3">
      <c r="A2128">
        <v>2223</v>
      </c>
      <c r="B2128" s="34">
        <v>41036</v>
      </c>
      <c r="C2128">
        <v>1.3083199999999999</v>
      </c>
      <c r="D2128">
        <v>0</v>
      </c>
      <c r="F2128">
        <v>0.40590999999999799</v>
      </c>
      <c r="G2128">
        <v>28.259102156238999</v>
      </c>
      <c r="H2128">
        <v>0</v>
      </c>
      <c r="I2128">
        <v>0.52519119999999997</v>
      </c>
      <c r="J2128">
        <v>2012</v>
      </c>
      <c r="K2128">
        <v>5</v>
      </c>
      <c r="L2128">
        <v>7</v>
      </c>
      <c r="M2128" t="s">
        <v>92</v>
      </c>
      <c r="N2128">
        <v>0</v>
      </c>
      <c r="O2128">
        <v>0</v>
      </c>
    </row>
    <row r="2129" spans="1:15" x14ac:dyDescent="0.3">
      <c r="A2129">
        <v>2224</v>
      </c>
      <c r="B2129" s="34">
        <v>41037</v>
      </c>
      <c r="C2129">
        <v>1.3057300000000001</v>
      </c>
      <c r="D2129">
        <v>0</v>
      </c>
      <c r="F2129">
        <v>0.40590999999999799</v>
      </c>
      <c r="G2129">
        <v>28.259102156238999</v>
      </c>
      <c r="H2129">
        <v>0</v>
      </c>
      <c r="I2129">
        <v>0.52495499999999995</v>
      </c>
      <c r="J2129">
        <v>2012</v>
      </c>
      <c r="K2129">
        <v>5</v>
      </c>
      <c r="L2129">
        <v>8</v>
      </c>
      <c r="M2129" t="s">
        <v>93</v>
      </c>
      <c r="N2129">
        <v>0</v>
      </c>
      <c r="O2129">
        <v>0</v>
      </c>
    </row>
    <row r="2130" spans="1:15" x14ac:dyDescent="0.3">
      <c r="A2130">
        <v>2225</v>
      </c>
      <c r="B2130" s="34">
        <v>41038</v>
      </c>
      <c r="C2130">
        <v>1.2998499999999999</v>
      </c>
      <c r="D2130">
        <v>0</v>
      </c>
      <c r="F2130">
        <v>0.40590999999999799</v>
      </c>
      <c r="G2130">
        <v>28.259102156238999</v>
      </c>
      <c r="H2130">
        <v>0</v>
      </c>
      <c r="I2130">
        <v>0.52471909999999999</v>
      </c>
      <c r="J2130">
        <v>2012</v>
      </c>
      <c r="K2130">
        <v>5</v>
      </c>
      <c r="L2130">
        <v>9</v>
      </c>
      <c r="M2130" t="s">
        <v>89</v>
      </c>
      <c r="N2130">
        <v>0</v>
      </c>
      <c r="O2130">
        <v>0</v>
      </c>
    </row>
    <row r="2131" spans="1:15" x14ac:dyDescent="0.3">
      <c r="A2131">
        <v>2226</v>
      </c>
      <c r="B2131" s="34">
        <v>41039</v>
      </c>
      <c r="C2131">
        <v>1.2934000000000001</v>
      </c>
      <c r="D2131">
        <v>0</v>
      </c>
      <c r="F2131">
        <v>0.40590999999999799</v>
      </c>
      <c r="G2131">
        <v>28.259102156238999</v>
      </c>
      <c r="H2131">
        <v>0</v>
      </c>
      <c r="I2131">
        <v>0.52448340000000004</v>
      </c>
      <c r="J2131">
        <v>2012</v>
      </c>
      <c r="K2131">
        <v>5</v>
      </c>
      <c r="L2131">
        <v>10</v>
      </c>
      <c r="M2131" t="s">
        <v>90</v>
      </c>
      <c r="N2131">
        <v>0</v>
      </c>
      <c r="O2131">
        <v>0</v>
      </c>
    </row>
    <row r="2132" spans="1:15" x14ac:dyDescent="0.3">
      <c r="A2132">
        <v>2227</v>
      </c>
      <c r="B2132" s="34">
        <v>41040</v>
      </c>
      <c r="C2132">
        <v>1.29314</v>
      </c>
      <c r="D2132">
        <v>0</v>
      </c>
      <c r="F2132">
        <v>0.40590999999999799</v>
      </c>
      <c r="G2132">
        <v>28.259102156238999</v>
      </c>
      <c r="H2132">
        <v>0</v>
      </c>
      <c r="I2132">
        <v>0.52424789999999999</v>
      </c>
      <c r="J2132">
        <v>2012</v>
      </c>
      <c r="K2132">
        <v>5</v>
      </c>
      <c r="L2132">
        <v>11</v>
      </c>
      <c r="M2132" t="s">
        <v>91</v>
      </c>
      <c r="N2132">
        <v>0</v>
      </c>
      <c r="O2132">
        <v>0</v>
      </c>
    </row>
    <row r="2133" spans="1:15" x14ac:dyDescent="0.3">
      <c r="A2133">
        <v>2228</v>
      </c>
      <c r="B2133" s="34">
        <v>41043</v>
      </c>
      <c r="C2133">
        <v>1.29162</v>
      </c>
      <c r="D2133">
        <v>0</v>
      </c>
      <c r="F2133">
        <v>0.40590999999999799</v>
      </c>
      <c r="G2133">
        <v>28.259102156238999</v>
      </c>
      <c r="H2133">
        <v>1</v>
      </c>
      <c r="I2133">
        <v>0.52446139999999997</v>
      </c>
      <c r="J2133">
        <v>2012</v>
      </c>
      <c r="K2133">
        <v>5</v>
      </c>
      <c r="L2133">
        <v>14</v>
      </c>
      <c r="M2133" t="s">
        <v>92</v>
      </c>
      <c r="N2133">
        <v>0</v>
      </c>
      <c r="O2133">
        <v>0</v>
      </c>
    </row>
    <row r="2134" spans="1:15" x14ac:dyDescent="0.3">
      <c r="A2134">
        <v>2229</v>
      </c>
      <c r="B2134" s="34">
        <v>41044</v>
      </c>
      <c r="C2134">
        <v>1.2825599999999999</v>
      </c>
      <c r="D2134">
        <v>0</v>
      </c>
      <c r="F2134">
        <v>0.40590999999999799</v>
      </c>
      <c r="G2134">
        <v>28.259102156238999</v>
      </c>
      <c r="H2134">
        <v>1</v>
      </c>
      <c r="I2134">
        <v>0.52467470000000005</v>
      </c>
      <c r="J2134">
        <v>2012</v>
      </c>
      <c r="K2134">
        <v>5</v>
      </c>
      <c r="L2134">
        <v>15</v>
      </c>
      <c r="M2134" t="s">
        <v>93</v>
      </c>
      <c r="N2134">
        <v>0</v>
      </c>
      <c r="O2134">
        <v>0</v>
      </c>
    </row>
    <row r="2135" spans="1:15" x14ac:dyDescent="0.3">
      <c r="A2135">
        <v>2230</v>
      </c>
      <c r="B2135" s="34">
        <v>41045</v>
      </c>
      <c r="C2135">
        <v>1.2733699999999999</v>
      </c>
      <c r="D2135">
        <v>0</v>
      </c>
      <c r="F2135">
        <v>0.40590999999999799</v>
      </c>
      <c r="G2135">
        <v>28.259102156238999</v>
      </c>
      <c r="H2135">
        <v>0</v>
      </c>
      <c r="I2135">
        <v>0.52443949999999995</v>
      </c>
      <c r="J2135">
        <v>2012</v>
      </c>
      <c r="K2135">
        <v>5</v>
      </c>
      <c r="L2135">
        <v>16</v>
      </c>
      <c r="M2135" t="s">
        <v>89</v>
      </c>
      <c r="N2135">
        <v>0</v>
      </c>
      <c r="O2135">
        <v>0</v>
      </c>
    </row>
    <row r="2136" spans="1:15" x14ac:dyDescent="0.3">
      <c r="A2136">
        <v>2231</v>
      </c>
      <c r="B2136" s="34">
        <v>41046</v>
      </c>
      <c r="C2136">
        <v>1.2715799999999999</v>
      </c>
      <c r="D2136">
        <v>0</v>
      </c>
      <c r="F2136">
        <v>0.40590999999999799</v>
      </c>
      <c r="G2136">
        <v>28.259102156238999</v>
      </c>
      <c r="H2136">
        <v>0</v>
      </c>
      <c r="I2136">
        <v>0.52420440000000001</v>
      </c>
      <c r="J2136">
        <v>2012</v>
      </c>
      <c r="K2136">
        <v>5</v>
      </c>
      <c r="L2136">
        <v>17</v>
      </c>
      <c r="M2136" t="s">
        <v>90</v>
      </c>
      <c r="N2136">
        <v>0</v>
      </c>
      <c r="O2136">
        <v>0</v>
      </c>
    </row>
    <row r="2137" spans="1:15" x14ac:dyDescent="0.3">
      <c r="A2137">
        <v>2232</v>
      </c>
      <c r="B2137" s="34">
        <v>41047</v>
      </c>
      <c r="C2137">
        <v>1.2681199999999999</v>
      </c>
      <c r="D2137">
        <v>0</v>
      </c>
      <c r="F2137">
        <v>0.40590999999999799</v>
      </c>
      <c r="G2137">
        <v>28.259102156238999</v>
      </c>
      <c r="H2137">
        <v>1</v>
      </c>
      <c r="I2137">
        <v>0.52441760000000004</v>
      </c>
      <c r="J2137">
        <v>2012</v>
      </c>
      <c r="K2137">
        <v>5</v>
      </c>
      <c r="L2137">
        <v>18</v>
      </c>
      <c r="M2137" t="s">
        <v>91</v>
      </c>
      <c r="N2137">
        <v>0</v>
      </c>
      <c r="O2137">
        <v>0</v>
      </c>
    </row>
    <row r="2138" spans="1:15" x14ac:dyDescent="0.3">
      <c r="A2138">
        <v>2233</v>
      </c>
      <c r="B2138" s="34">
        <v>41050</v>
      </c>
      <c r="C2138">
        <v>1.27783</v>
      </c>
      <c r="D2138">
        <v>0</v>
      </c>
      <c r="F2138">
        <v>0.40590999999999799</v>
      </c>
      <c r="G2138">
        <v>28.259102156238999</v>
      </c>
      <c r="H2138">
        <v>0</v>
      </c>
      <c r="I2138">
        <v>0.5241827</v>
      </c>
      <c r="J2138">
        <v>2012</v>
      </c>
      <c r="K2138">
        <v>5</v>
      </c>
      <c r="L2138">
        <v>21</v>
      </c>
      <c r="M2138" t="s">
        <v>92</v>
      </c>
      <c r="N2138">
        <v>0</v>
      </c>
      <c r="O2138">
        <v>0</v>
      </c>
    </row>
    <row r="2139" spans="1:15" x14ac:dyDescent="0.3">
      <c r="A2139">
        <v>2234</v>
      </c>
      <c r="B2139" s="34">
        <v>41051</v>
      </c>
      <c r="C2139">
        <v>1.2806900000000001</v>
      </c>
      <c r="D2139">
        <v>0</v>
      </c>
      <c r="F2139">
        <v>0.40590999999999799</v>
      </c>
      <c r="G2139">
        <v>28.259102156238999</v>
      </c>
      <c r="H2139">
        <v>0</v>
      </c>
      <c r="I2139">
        <v>0.52394810000000003</v>
      </c>
      <c r="J2139">
        <v>2012</v>
      </c>
      <c r="K2139">
        <v>5</v>
      </c>
      <c r="L2139">
        <v>22</v>
      </c>
      <c r="M2139" t="s">
        <v>93</v>
      </c>
      <c r="N2139">
        <v>0</v>
      </c>
      <c r="O2139">
        <v>0</v>
      </c>
    </row>
    <row r="2140" spans="1:15" x14ac:dyDescent="0.3">
      <c r="A2140">
        <v>2235</v>
      </c>
      <c r="B2140" s="34">
        <v>41052</v>
      </c>
      <c r="C2140">
        <v>1.2679800000000001</v>
      </c>
      <c r="D2140">
        <v>0</v>
      </c>
      <c r="F2140">
        <v>0.40590999999999799</v>
      </c>
      <c r="G2140">
        <v>28.259102156238999</v>
      </c>
      <c r="H2140">
        <v>1</v>
      </c>
      <c r="I2140">
        <v>0.52416110000000005</v>
      </c>
      <c r="J2140">
        <v>2012</v>
      </c>
      <c r="K2140">
        <v>5</v>
      </c>
      <c r="L2140">
        <v>23</v>
      </c>
      <c r="M2140" t="s">
        <v>89</v>
      </c>
      <c r="N2140">
        <v>0</v>
      </c>
      <c r="O2140">
        <v>0</v>
      </c>
    </row>
    <row r="2141" spans="1:15" x14ac:dyDescent="0.3">
      <c r="A2141">
        <v>2236</v>
      </c>
      <c r="B2141" s="34">
        <v>41053</v>
      </c>
      <c r="C2141">
        <v>1.2586299999999999</v>
      </c>
      <c r="D2141">
        <v>0</v>
      </c>
      <c r="F2141">
        <v>0.40590999999999799</v>
      </c>
      <c r="G2141">
        <v>28.259102156238999</v>
      </c>
      <c r="H2141">
        <v>0</v>
      </c>
      <c r="I2141">
        <v>0.52392669999999997</v>
      </c>
      <c r="J2141">
        <v>2012</v>
      </c>
      <c r="K2141">
        <v>5</v>
      </c>
      <c r="L2141">
        <v>24</v>
      </c>
      <c r="M2141" t="s">
        <v>90</v>
      </c>
      <c r="N2141">
        <v>0</v>
      </c>
      <c r="O2141">
        <v>0</v>
      </c>
    </row>
    <row r="2142" spans="1:15" x14ac:dyDescent="0.3">
      <c r="A2142">
        <v>2237</v>
      </c>
      <c r="B2142" s="34">
        <v>41054</v>
      </c>
      <c r="C2142">
        <v>1.2536</v>
      </c>
      <c r="D2142">
        <v>0</v>
      </c>
      <c r="F2142">
        <v>0.40590999999999799</v>
      </c>
      <c r="G2142">
        <v>28.259102156238999</v>
      </c>
      <c r="H2142">
        <v>0</v>
      </c>
      <c r="I2142">
        <v>0.52369239999999995</v>
      </c>
      <c r="J2142">
        <v>2012</v>
      </c>
      <c r="K2142">
        <v>5</v>
      </c>
      <c r="L2142">
        <v>25</v>
      </c>
      <c r="M2142" t="s">
        <v>91</v>
      </c>
      <c r="N2142">
        <v>0</v>
      </c>
      <c r="O2142">
        <v>0</v>
      </c>
    </row>
    <row r="2143" spans="1:15" x14ac:dyDescent="0.3">
      <c r="A2143">
        <v>2238</v>
      </c>
      <c r="B2143" s="34">
        <v>41057</v>
      </c>
      <c r="C2143">
        <v>1.25153</v>
      </c>
      <c r="D2143">
        <v>-1</v>
      </c>
      <c r="F2143">
        <v>0.40349999999999703</v>
      </c>
      <c r="G2143">
        <v>28.685047720042501</v>
      </c>
      <c r="H2143">
        <v>0</v>
      </c>
      <c r="I2143">
        <v>0.52345839999999999</v>
      </c>
      <c r="J2143">
        <v>2012</v>
      </c>
      <c r="K2143">
        <v>5</v>
      </c>
      <c r="L2143">
        <v>28</v>
      </c>
      <c r="M2143" t="s">
        <v>92</v>
      </c>
      <c r="N2143">
        <v>0</v>
      </c>
      <c r="O2143">
        <v>0</v>
      </c>
    </row>
    <row r="2144" spans="1:15" x14ac:dyDescent="0.3">
      <c r="A2144">
        <v>2239</v>
      </c>
      <c r="B2144" s="34">
        <v>41058</v>
      </c>
      <c r="C2144">
        <v>1.2539400000000001</v>
      </c>
      <c r="D2144">
        <v>0</v>
      </c>
      <c r="F2144">
        <v>0.40349999999999703</v>
      </c>
      <c r="G2144">
        <v>28.685047720042501</v>
      </c>
      <c r="H2144">
        <v>0</v>
      </c>
      <c r="I2144">
        <v>0.52322469999999999</v>
      </c>
      <c r="J2144">
        <v>2012</v>
      </c>
      <c r="K2144">
        <v>5</v>
      </c>
      <c r="L2144">
        <v>29</v>
      </c>
      <c r="M2144" t="s">
        <v>93</v>
      </c>
      <c r="N2144">
        <v>0</v>
      </c>
      <c r="O2144">
        <v>0</v>
      </c>
    </row>
    <row r="2145" spans="1:15" x14ac:dyDescent="0.3">
      <c r="A2145">
        <v>2240</v>
      </c>
      <c r="B2145" s="34">
        <v>41059</v>
      </c>
      <c r="C2145">
        <v>1.24864</v>
      </c>
      <c r="D2145">
        <v>0</v>
      </c>
      <c r="F2145">
        <v>0.40349999999999703</v>
      </c>
      <c r="G2145">
        <v>28.685047720042501</v>
      </c>
      <c r="H2145">
        <v>1</v>
      </c>
      <c r="I2145">
        <v>0.5234375</v>
      </c>
      <c r="J2145">
        <v>2012</v>
      </c>
      <c r="K2145">
        <v>5</v>
      </c>
      <c r="L2145">
        <v>30</v>
      </c>
      <c r="M2145" t="s">
        <v>89</v>
      </c>
      <c r="N2145">
        <v>0</v>
      </c>
      <c r="O2145">
        <v>0</v>
      </c>
    </row>
    <row r="2146" spans="1:15" x14ac:dyDescent="0.3">
      <c r="A2146">
        <v>2241</v>
      </c>
      <c r="B2146" s="34">
        <v>41060</v>
      </c>
      <c r="C2146">
        <v>1.23675</v>
      </c>
      <c r="D2146">
        <v>0</v>
      </c>
      <c r="F2146">
        <v>0.40349999999999703</v>
      </c>
      <c r="G2146">
        <v>28.685047720042501</v>
      </c>
      <c r="H2146">
        <v>0</v>
      </c>
      <c r="I2146">
        <v>0.52320390000000006</v>
      </c>
      <c r="J2146">
        <v>2012</v>
      </c>
      <c r="K2146">
        <v>5</v>
      </c>
      <c r="L2146">
        <v>31</v>
      </c>
      <c r="M2146" t="s">
        <v>90</v>
      </c>
      <c r="N2146">
        <v>0</v>
      </c>
      <c r="O2146">
        <v>0</v>
      </c>
    </row>
    <row r="2147" spans="1:15" x14ac:dyDescent="0.3">
      <c r="A2147">
        <v>2242</v>
      </c>
      <c r="B2147" s="34">
        <v>41061</v>
      </c>
      <c r="C2147">
        <v>1.23597</v>
      </c>
      <c r="D2147">
        <v>0</v>
      </c>
      <c r="F2147">
        <v>0.40349999999999703</v>
      </c>
      <c r="G2147">
        <v>28.685047720042501</v>
      </c>
      <c r="H2147">
        <v>0</v>
      </c>
      <c r="I2147">
        <v>0.52297059999999995</v>
      </c>
      <c r="J2147">
        <v>2012</v>
      </c>
      <c r="K2147">
        <v>6</v>
      </c>
      <c r="L2147">
        <v>1</v>
      </c>
      <c r="M2147" t="s">
        <v>91</v>
      </c>
      <c r="N2147">
        <v>0</v>
      </c>
      <c r="O2147">
        <v>0</v>
      </c>
    </row>
    <row r="2148" spans="1:15" x14ac:dyDescent="0.3">
      <c r="A2148">
        <v>2243</v>
      </c>
      <c r="B2148" s="34">
        <v>41064</v>
      </c>
      <c r="C2148">
        <v>1.24325</v>
      </c>
      <c r="D2148">
        <v>0</v>
      </c>
      <c r="F2148">
        <v>0.40349999999999703</v>
      </c>
      <c r="G2148">
        <v>28.685047720042501</v>
      </c>
      <c r="H2148">
        <v>1</v>
      </c>
      <c r="I2148">
        <v>0.52318319999999996</v>
      </c>
      <c r="J2148">
        <v>2012</v>
      </c>
      <c r="K2148">
        <v>6</v>
      </c>
      <c r="L2148">
        <v>4</v>
      </c>
      <c r="M2148" t="s">
        <v>92</v>
      </c>
      <c r="N2148">
        <v>0</v>
      </c>
      <c r="O2148">
        <v>0</v>
      </c>
    </row>
    <row r="2149" spans="1:15" x14ac:dyDescent="0.3">
      <c r="A2149">
        <v>2244</v>
      </c>
      <c r="B2149" s="34">
        <v>41065</v>
      </c>
      <c r="C2149">
        <v>1.24943</v>
      </c>
      <c r="D2149">
        <v>0</v>
      </c>
      <c r="F2149">
        <v>0.40349999999999703</v>
      </c>
      <c r="G2149">
        <v>28.685047720042501</v>
      </c>
      <c r="H2149">
        <v>0</v>
      </c>
      <c r="I2149">
        <v>0.52295009999999997</v>
      </c>
      <c r="J2149">
        <v>2012</v>
      </c>
      <c r="K2149">
        <v>6</v>
      </c>
      <c r="L2149">
        <v>5</v>
      </c>
      <c r="M2149" t="s">
        <v>93</v>
      </c>
      <c r="N2149">
        <v>0</v>
      </c>
      <c r="O2149">
        <v>0</v>
      </c>
    </row>
    <row r="2150" spans="1:15" x14ac:dyDescent="0.3">
      <c r="A2150">
        <v>2245</v>
      </c>
      <c r="B2150" s="34">
        <v>41066</v>
      </c>
      <c r="C2150">
        <v>1.2450699999999999</v>
      </c>
      <c r="D2150">
        <v>0</v>
      </c>
      <c r="F2150">
        <v>0.40349999999999703</v>
      </c>
      <c r="G2150">
        <v>28.685047720042501</v>
      </c>
      <c r="H2150">
        <v>1</v>
      </c>
      <c r="I2150">
        <v>0.52316260000000003</v>
      </c>
      <c r="J2150">
        <v>2012</v>
      </c>
      <c r="K2150">
        <v>6</v>
      </c>
      <c r="L2150">
        <v>6</v>
      </c>
      <c r="M2150" t="s">
        <v>89</v>
      </c>
      <c r="N2150">
        <v>0</v>
      </c>
      <c r="O2150">
        <v>0</v>
      </c>
    </row>
    <row r="2151" spans="1:15" x14ac:dyDescent="0.3">
      <c r="A2151">
        <v>2246</v>
      </c>
      <c r="B2151" s="34">
        <v>41067</v>
      </c>
      <c r="C2151">
        <v>1.2577</v>
      </c>
      <c r="D2151">
        <v>0</v>
      </c>
      <c r="F2151">
        <v>0.40349999999999703</v>
      </c>
      <c r="G2151">
        <v>28.685047720042501</v>
      </c>
      <c r="H2151">
        <v>0</v>
      </c>
      <c r="I2151">
        <v>0.52292970000000005</v>
      </c>
      <c r="J2151">
        <v>2012</v>
      </c>
      <c r="K2151">
        <v>6</v>
      </c>
      <c r="L2151">
        <v>7</v>
      </c>
      <c r="M2151" t="s">
        <v>90</v>
      </c>
      <c r="N2151">
        <v>0</v>
      </c>
      <c r="O2151">
        <v>0</v>
      </c>
    </row>
    <row r="2152" spans="1:15" x14ac:dyDescent="0.3">
      <c r="A2152">
        <v>2247</v>
      </c>
      <c r="B2152" s="34">
        <v>41068</v>
      </c>
      <c r="C2152">
        <v>1.25631</v>
      </c>
      <c r="D2152">
        <v>-1</v>
      </c>
      <c r="F2152">
        <v>0.40820999999999702</v>
      </c>
      <c r="G2152">
        <v>27.852598091198399</v>
      </c>
      <c r="H2152">
        <v>1</v>
      </c>
      <c r="I2152">
        <v>0.523142</v>
      </c>
      <c r="J2152">
        <v>2012</v>
      </c>
      <c r="K2152">
        <v>6</v>
      </c>
      <c r="L2152">
        <v>8</v>
      </c>
      <c r="M2152" t="s">
        <v>91</v>
      </c>
      <c r="N2152">
        <v>0</v>
      </c>
      <c r="O2152">
        <v>0</v>
      </c>
    </row>
    <row r="2153" spans="1:15" x14ac:dyDescent="0.3">
      <c r="A2153">
        <v>2248</v>
      </c>
      <c r="B2153" s="34">
        <v>41071</v>
      </c>
      <c r="C2153">
        <v>1.2516</v>
      </c>
      <c r="D2153">
        <v>0</v>
      </c>
      <c r="F2153">
        <v>0.40820999999999702</v>
      </c>
      <c r="G2153">
        <v>27.852598091198399</v>
      </c>
      <c r="H2153">
        <v>1</v>
      </c>
      <c r="I2153">
        <v>0.52335410000000004</v>
      </c>
      <c r="J2153">
        <v>2012</v>
      </c>
      <c r="K2153">
        <v>6</v>
      </c>
      <c r="L2153">
        <v>11</v>
      </c>
      <c r="M2153" t="s">
        <v>92</v>
      </c>
      <c r="N2153">
        <v>0</v>
      </c>
      <c r="O2153">
        <v>0</v>
      </c>
    </row>
    <row r="2154" spans="1:15" x14ac:dyDescent="0.3">
      <c r="A2154">
        <v>2249</v>
      </c>
      <c r="B2154" s="34">
        <v>41072</v>
      </c>
      <c r="C2154">
        <v>1.2465299999999999</v>
      </c>
      <c r="D2154">
        <v>3</v>
      </c>
      <c r="E2154" t="s">
        <v>402</v>
      </c>
      <c r="F2154">
        <v>0.412129999999998</v>
      </c>
      <c r="G2154">
        <v>27.159773771650801</v>
      </c>
      <c r="H2154">
        <v>1</v>
      </c>
      <c r="I2154">
        <v>0.52356599999999998</v>
      </c>
      <c r="J2154">
        <v>2012</v>
      </c>
      <c r="K2154">
        <v>6</v>
      </c>
      <c r="L2154">
        <v>12</v>
      </c>
      <c r="M2154" t="s">
        <v>93</v>
      </c>
      <c r="N2154">
        <v>0</v>
      </c>
      <c r="O2154">
        <v>0</v>
      </c>
    </row>
    <row r="2155" spans="1:15" x14ac:dyDescent="0.3">
      <c r="A2155">
        <v>2250</v>
      </c>
      <c r="B2155" s="34">
        <v>41073</v>
      </c>
      <c r="C2155">
        <v>1.2504500000000001</v>
      </c>
      <c r="D2155">
        <v>0</v>
      </c>
      <c r="F2155">
        <v>0.412129999999998</v>
      </c>
      <c r="G2155">
        <v>27.159773771650801</v>
      </c>
      <c r="H2155">
        <v>0</v>
      </c>
      <c r="I2155">
        <v>0.5233333</v>
      </c>
      <c r="J2155">
        <v>2012</v>
      </c>
      <c r="K2155">
        <v>6</v>
      </c>
      <c r="L2155">
        <v>13</v>
      </c>
      <c r="M2155" t="s">
        <v>89</v>
      </c>
      <c r="N2155">
        <v>0</v>
      </c>
      <c r="O2155">
        <v>0</v>
      </c>
    </row>
    <row r="2156" spans="1:15" x14ac:dyDescent="0.3">
      <c r="A2156">
        <v>2251</v>
      </c>
      <c r="B2156" s="34">
        <v>41074</v>
      </c>
      <c r="C2156">
        <v>1.2565900000000001</v>
      </c>
      <c r="D2156">
        <v>0</v>
      </c>
      <c r="F2156">
        <v>0.412129999999998</v>
      </c>
      <c r="G2156">
        <v>27.159773771650801</v>
      </c>
      <c r="H2156">
        <v>0</v>
      </c>
      <c r="I2156">
        <v>0.52310089999999998</v>
      </c>
      <c r="J2156">
        <v>2012</v>
      </c>
      <c r="K2156">
        <v>6</v>
      </c>
      <c r="L2156">
        <v>14</v>
      </c>
      <c r="M2156" t="s">
        <v>90</v>
      </c>
      <c r="N2156">
        <v>0</v>
      </c>
      <c r="O2156">
        <v>0</v>
      </c>
    </row>
    <row r="2157" spans="1:15" x14ac:dyDescent="0.3">
      <c r="A2157">
        <v>2252</v>
      </c>
      <c r="B2157" s="34">
        <v>41075</v>
      </c>
      <c r="C2157">
        <v>1.26281</v>
      </c>
      <c r="D2157">
        <v>0</v>
      </c>
      <c r="F2157">
        <v>0.412129999999998</v>
      </c>
      <c r="G2157">
        <v>27.159773771650801</v>
      </c>
      <c r="H2157">
        <v>0</v>
      </c>
      <c r="I2157">
        <v>0.52286860000000002</v>
      </c>
      <c r="J2157">
        <v>2012</v>
      </c>
      <c r="K2157">
        <v>6</v>
      </c>
      <c r="L2157">
        <v>15</v>
      </c>
      <c r="M2157" t="s">
        <v>91</v>
      </c>
      <c r="N2157">
        <v>0</v>
      </c>
      <c r="O2157">
        <v>0</v>
      </c>
    </row>
    <row r="2158" spans="1:15" x14ac:dyDescent="0.3">
      <c r="A2158">
        <v>2253</v>
      </c>
      <c r="B2158" s="34">
        <v>41078</v>
      </c>
      <c r="C2158">
        <v>1.2636099999999999</v>
      </c>
      <c r="D2158">
        <v>0</v>
      </c>
      <c r="F2158">
        <v>0.412129999999998</v>
      </c>
      <c r="G2158">
        <v>27.159773771650801</v>
      </c>
      <c r="H2158">
        <v>0</v>
      </c>
      <c r="I2158">
        <v>0.52263649999999995</v>
      </c>
      <c r="J2158">
        <v>2012</v>
      </c>
      <c r="K2158">
        <v>6</v>
      </c>
      <c r="L2158">
        <v>18</v>
      </c>
      <c r="M2158" t="s">
        <v>92</v>
      </c>
      <c r="N2158">
        <v>0</v>
      </c>
      <c r="O2158">
        <v>0</v>
      </c>
    </row>
    <row r="2159" spans="1:15" x14ac:dyDescent="0.3">
      <c r="A2159">
        <v>2254</v>
      </c>
      <c r="B2159" s="34">
        <v>41079</v>
      </c>
      <c r="C2159">
        <v>1.2576700000000001</v>
      </c>
      <c r="D2159">
        <v>0</v>
      </c>
      <c r="F2159">
        <v>0.412129999999998</v>
      </c>
      <c r="G2159">
        <v>27.159773771650801</v>
      </c>
      <c r="H2159">
        <v>1</v>
      </c>
      <c r="I2159">
        <v>0.52284819999999999</v>
      </c>
      <c r="J2159">
        <v>2012</v>
      </c>
      <c r="K2159">
        <v>6</v>
      </c>
      <c r="L2159">
        <v>19</v>
      </c>
      <c r="M2159" t="s">
        <v>93</v>
      </c>
      <c r="N2159">
        <v>0</v>
      </c>
      <c r="O2159">
        <v>0</v>
      </c>
    </row>
    <row r="2160" spans="1:15" x14ac:dyDescent="0.3">
      <c r="A2160">
        <v>2255</v>
      </c>
      <c r="B2160" s="34">
        <v>41080</v>
      </c>
      <c r="C2160">
        <v>1.26877</v>
      </c>
      <c r="D2160">
        <v>0</v>
      </c>
      <c r="F2160">
        <v>0.412129999999998</v>
      </c>
      <c r="G2160">
        <v>27.159773771650801</v>
      </c>
      <c r="H2160">
        <v>0</v>
      </c>
      <c r="I2160">
        <v>0.52261639999999998</v>
      </c>
      <c r="J2160">
        <v>2012</v>
      </c>
      <c r="K2160">
        <v>6</v>
      </c>
      <c r="L2160">
        <v>20</v>
      </c>
      <c r="M2160" t="s">
        <v>89</v>
      </c>
      <c r="N2160">
        <v>0</v>
      </c>
      <c r="O2160">
        <v>0</v>
      </c>
    </row>
    <row r="2161" spans="1:15" x14ac:dyDescent="0.3">
      <c r="A2161">
        <v>2256</v>
      </c>
      <c r="B2161" s="34">
        <v>41081</v>
      </c>
      <c r="C2161">
        <v>1.2697400000000001</v>
      </c>
      <c r="D2161">
        <v>0</v>
      </c>
      <c r="F2161">
        <v>0.412129999999998</v>
      </c>
      <c r="G2161">
        <v>27.159773771650801</v>
      </c>
      <c r="H2161">
        <v>0</v>
      </c>
      <c r="I2161">
        <v>0.52238479999999998</v>
      </c>
      <c r="J2161">
        <v>2012</v>
      </c>
      <c r="K2161">
        <v>6</v>
      </c>
      <c r="L2161">
        <v>21</v>
      </c>
      <c r="M2161" t="s">
        <v>90</v>
      </c>
      <c r="N2161">
        <v>0</v>
      </c>
      <c r="O2161">
        <v>0</v>
      </c>
    </row>
    <row r="2162" spans="1:15" x14ac:dyDescent="0.3">
      <c r="A2162">
        <v>2257</v>
      </c>
      <c r="B2162" s="34">
        <v>41082</v>
      </c>
      <c r="C2162">
        <v>1.25474</v>
      </c>
      <c r="D2162">
        <v>0</v>
      </c>
      <c r="F2162">
        <v>0.412129999999998</v>
      </c>
      <c r="G2162">
        <v>27.159773771650801</v>
      </c>
      <c r="H2162">
        <v>1</v>
      </c>
      <c r="I2162">
        <v>0.52259639999999996</v>
      </c>
      <c r="J2162">
        <v>2012</v>
      </c>
      <c r="K2162">
        <v>6</v>
      </c>
      <c r="L2162">
        <v>22</v>
      </c>
      <c r="M2162" t="s">
        <v>91</v>
      </c>
      <c r="N2162">
        <v>0</v>
      </c>
      <c r="O2162">
        <v>0</v>
      </c>
    </row>
    <row r="2163" spans="1:15" x14ac:dyDescent="0.3">
      <c r="A2163">
        <v>2258</v>
      </c>
      <c r="B2163" s="34">
        <v>41085</v>
      </c>
      <c r="C2163">
        <v>1.2567699999999999</v>
      </c>
      <c r="D2163">
        <v>0</v>
      </c>
      <c r="F2163">
        <v>0.412129999999998</v>
      </c>
      <c r="G2163">
        <v>27.159773771650801</v>
      </c>
      <c r="H2163">
        <v>1</v>
      </c>
      <c r="I2163">
        <v>0.52280780000000004</v>
      </c>
      <c r="J2163">
        <v>2012</v>
      </c>
      <c r="K2163">
        <v>6</v>
      </c>
      <c r="L2163">
        <v>25</v>
      </c>
      <c r="M2163" t="s">
        <v>92</v>
      </c>
      <c r="N2163">
        <v>0</v>
      </c>
      <c r="O2163">
        <v>0</v>
      </c>
    </row>
    <row r="2164" spans="1:15" x14ac:dyDescent="0.3">
      <c r="A2164">
        <v>2259</v>
      </c>
      <c r="B2164" s="34">
        <v>41086</v>
      </c>
      <c r="C2164">
        <v>1.2500800000000001</v>
      </c>
      <c r="D2164">
        <v>0</v>
      </c>
      <c r="F2164">
        <v>0.412129999999998</v>
      </c>
      <c r="G2164">
        <v>27.159773771650801</v>
      </c>
      <c r="H2164">
        <v>0</v>
      </c>
      <c r="I2164">
        <v>0.52257629999999999</v>
      </c>
      <c r="J2164">
        <v>2012</v>
      </c>
      <c r="K2164">
        <v>6</v>
      </c>
      <c r="L2164">
        <v>26</v>
      </c>
      <c r="M2164" t="s">
        <v>93</v>
      </c>
      <c r="N2164">
        <v>0</v>
      </c>
      <c r="O2164">
        <v>0</v>
      </c>
    </row>
    <row r="2165" spans="1:15" x14ac:dyDescent="0.3">
      <c r="A2165">
        <v>2260</v>
      </c>
      <c r="B2165" s="34">
        <v>41087</v>
      </c>
      <c r="C2165">
        <v>1.2491000000000001</v>
      </c>
      <c r="D2165">
        <v>0</v>
      </c>
      <c r="F2165">
        <v>0.412129999999998</v>
      </c>
      <c r="G2165">
        <v>27.159773771650801</v>
      </c>
      <c r="H2165">
        <v>0</v>
      </c>
      <c r="I2165">
        <v>0.52234510000000001</v>
      </c>
      <c r="J2165">
        <v>2012</v>
      </c>
      <c r="K2165">
        <v>6</v>
      </c>
      <c r="L2165">
        <v>27</v>
      </c>
      <c r="M2165" t="s">
        <v>89</v>
      </c>
      <c r="N2165">
        <v>0</v>
      </c>
      <c r="O2165">
        <v>0</v>
      </c>
    </row>
    <row r="2166" spans="1:15" x14ac:dyDescent="0.3">
      <c r="A2166">
        <v>2261</v>
      </c>
      <c r="B2166" s="34">
        <v>41088</v>
      </c>
      <c r="C2166">
        <v>1.2468600000000001</v>
      </c>
      <c r="D2166">
        <v>-2</v>
      </c>
      <c r="F2166">
        <v>0.414959999999998</v>
      </c>
      <c r="G2166">
        <v>26.659597030752899</v>
      </c>
      <c r="H2166">
        <v>0</v>
      </c>
      <c r="I2166">
        <v>0.52211410000000003</v>
      </c>
      <c r="J2166">
        <v>2012</v>
      </c>
      <c r="K2166">
        <v>6</v>
      </c>
      <c r="L2166">
        <v>28</v>
      </c>
      <c r="M2166" t="s">
        <v>90</v>
      </c>
      <c r="N2166">
        <v>0</v>
      </c>
      <c r="O2166">
        <v>0</v>
      </c>
    </row>
    <row r="2167" spans="1:15" x14ac:dyDescent="0.3">
      <c r="A2167">
        <v>2262</v>
      </c>
      <c r="B2167" s="34">
        <v>41089</v>
      </c>
      <c r="C2167">
        <v>1.24403</v>
      </c>
      <c r="D2167">
        <v>0</v>
      </c>
      <c r="F2167">
        <v>0.414959999999998</v>
      </c>
      <c r="G2167">
        <v>26.659597030752899</v>
      </c>
      <c r="H2167">
        <v>1</v>
      </c>
      <c r="I2167">
        <v>0.52232540000000005</v>
      </c>
      <c r="J2167">
        <v>2012</v>
      </c>
      <c r="K2167">
        <v>6</v>
      </c>
      <c r="L2167">
        <v>29</v>
      </c>
      <c r="M2167" t="s">
        <v>91</v>
      </c>
      <c r="N2167">
        <v>0</v>
      </c>
      <c r="O2167">
        <v>0</v>
      </c>
    </row>
    <row r="2168" spans="1:15" x14ac:dyDescent="0.3">
      <c r="A2168">
        <v>2263</v>
      </c>
      <c r="B2168" s="34">
        <v>41092</v>
      </c>
      <c r="C2168">
        <v>1.2665500000000001</v>
      </c>
      <c r="D2168">
        <v>0</v>
      </c>
      <c r="F2168">
        <v>0.414959999999998</v>
      </c>
      <c r="G2168">
        <v>26.659597030752899</v>
      </c>
      <c r="H2168">
        <v>0</v>
      </c>
      <c r="I2168">
        <v>0.52209450000000002</v>
      </c>
      <c r="J2168">
        <v>2012</v>
      </c>
      <c r="K2168">
        <v>7</v>
      </c>
      <c r="L2168">
        <v>2</v>
      </c>
      <c r="M2168" t="s">
        <v>92</v>
      </c>
      <c r="N2168">
        <v>0</v>
      </c>
      <c r="O2168">
        <v>0</v>
      </c>
    </row>
    <row r="2169" spans="1:15" x14ac:dyDescent="0.3">
      <c r="A2169">
        <v>2264</v>
      </c>
      <c r="B2169" s="34">
        <v>41093</v>
      </c>
      <c r="C2169">
        <v>1.2584599999999999</v>
      </c>
      <c r="D2169">
        <v>0</v>
      </c>
      <c r="F2169">
        <v>0.414959999999998</v>
      </c>
      <c r="G2169">
        <v>26.659597030752899</v>
      </c>
      <c r="H2169">
        <v>1</v>
      </c>
      <c r="I2169">
        <v>0.52230569999999998</v>
      </c>
      <c r="J2169">
        <v>2012</v>
      </c>
      <c r="K2169">
        <v>7</v>
      </c>
      <c r="L2169">
        <v>3</v>
      </c>
      <c r="M2169" t="s">
        <v>93</v>
      </c>
      <c r="N2169">
        <v>0</v>
      </c>
      <c r="O2169">
        <v>0</v>
      </c>
    </row>
    <row r="2170" spans="1:15" x14ac:dyDescent="0.3">
      <c r="A2170">
        <v>2265</v>
      </c>
      <c r="B2170" s="34">
        <v>41094</v>
      </c>
      <c r="C2170">
        <v>1.26058</v>
      </c>
      <c r="D2170">
        <v>0</v>
      </c>
      <c r="F2170">
        <v>0.414959999999998</v>
      </c>
      <c r="G2170">
        <v>26.659597030752899</v>
      </c>
      <c r="H2170">
        <v>0</v>
      </c>
      <c r="I2170">
        <v>0.52207510000000001</v>
      </c>
      <c r="J2170">
        <v>2012</v>
      </c>
      <c r="K2170">
        <v>7</v>
      </c>
      <c r="L2170">
        <v>4</v>
      </c>
      <c r="M2170" t="s">
        <v>89</v>
      </c>
      <c r="N2170">
        <v>0</v>
      </c>
      <c r="O2170">
        <v>0</v>
      </c>
    </row>
    <row r="2171" spans="1:15" x14ac:dyDescent="0.3">
      <c r="A2171">
        <v>2266</v>
      </c>
      <c r="B2171" s="34">
        <v>41095</v>
      </c>
      <c r="C2171">
        <v>1.25261</v>
      </c>
      <c r="D2171">
        <v>0</v>
      </c>
      <c r="F2171">
        <v>0.414959999999998</v>
      </c>
      <c r="G2171">
        <v>26.659597030752899</v>
      </c>
      <c r="H2171">
        <v>1</v>
      </c>
      <c r="I2171">
        <v>0.52228589999999997</v>
      </c>
      <c r="J2171">
        <v>2012</v>
      </c>
      <c r="K2171">
        <v>7</v>
      </c>
      <c r="L2171">
        <v>5</v>
      </c>
      <c r="M2171" t="s">
        <v>90</v>
      </c>
      <c r="N2171">
        <v>0</v>
      </c>
      <c r="O2171">
        <v>0</v>
      </c>
    </row>
    <row r="2172" spans="1:15" x14ac:dyDescent="0.3">
      <c r="A2172">
        <v>2267</v>
      </c>
      <c r="B2172" s="34">
        <v>41096</v>
      </c>
      <c r="C2172">
        <v>1.2390099999999999</v>
      </c>
      <c r="D2172">
        <v>0</v>
      </c>
      <c r="F2172">
        <v>0.414959999999998</v>
      </c>
      <c r="G2172">
        <v>26.659597030752899</v>
      </c>
      <c r="H2172">
        <v>0</v>
      </c>
      <c r="I2172">
        <v>0.52205559999999995</v>
      </c>
      <c r="J2172">
        <v>2012</v>
      </c>
      <c r="K2172">
        <v>7</v>
      </c>
      <c r="L2172">
        <v>6</v>
      </c>
      <c r="M2172" t="s">
        <v>91</v>
      </c>
      <c r="N2172">
        <v>0</v>
      </c>
      <c r="O2172">
        <v>0</v>
      </c>
    </row>
    <row r="2173" spans="1:15" x14ac:dyDescent="0.3">
      <c r="A2173">
        <v>2268</v>
      </c>
      <c r="B2173" s="34">
        <v>41099</v>
      </c>
      <c r="C2173">
        <v>1.22875</v>
      </c>
      <c r="D2173">
        <v>0</v>
      </c>
      <c r="F2173">
        <v>0.414959999999998</v>
      </c>
      <c r="G2173">
        <v>26.659597030752899</v>
      </c>
      <c r="H2173">
        <v>0</v>
      </c>
      <c r="I2173">
        <v>0.52182539999999999</v>
      </c>
      <c r="J2173">
        <v>2012</v>
      </c>
      <c r="K2173">
        <v>7</v>
      </c>
      <c r="L2173">
        <v>9</v>
      </c>
      <c r="M2173" t="s">
        <v>92</v>
      </c>
      <c r="N2173">
        <v>0</v>
      </c>
      <c r="O2173">
        <v>0</v>
      </c>
    </row>
    <row r="2174" spans="1:15" x14ac:dyDescent="0.3">
      <c r="A2174">
        <v>2269</v>
      </c>
      <c r="B2174" s="34">
        <v>41100</v>
      </c>
      <c r="C2174">
        <v>1.2313499999999999</v>
      </c>
      <c r="D2174">
        <v>0</v>
      </c>
      <c r="F2174">
        <v>0.414959999999998</v>
      </c>
      <c r="G2174">
        <v>26.659597030752899</v>
      </c>
      <c r="H2174">
        <v>1</v>
      </c>
      <c r="I2174">
        <v>0.5220361</v>
      </c>
      <c r="J2174">
        <v>2012</v>
      </c>
      <c r="K2174">
        <v>7</v>
      </c>
      <c r="L2174">
        <v>10</v>
      </c>
      <c r="M2174" t="s">
        <v>93</v>
      </c>
      <c r="N2174">
        <v>0</v>
      </c>
      <c r="O2174">
        <v>0</v>
      </c>
    </row>
    <row r="2175" spans="1:15" x14ac:dyDescent="0.3">
      <c r="A2175">
        <v>2270</v>
      </c>
      <c r="B2175" s="34">
        <v>41101</v>
      </c>
      <c r="C2175">
        <v>1.2251000000000001</v>
      </c>
      <c r="D2175">
        <v>0</v>
      </c>
      <c r="F2175">
        <v>0.414959999999998</v>
      </c>
      <c r="G2175">
        <v>26.659597030752899</v>
      </c>
      <c r="H2175">
        <v>1</v>
      </c>
      <c r="I2175">
        <v>0.52224669999999995</v>
      </c>
      <c r="J2175">
        <v>2012</v>
      </c>
      <c r="K2175">
        <v>7</v>
      </c>
      <c r="L2175">
        <v>11</v>
      </c>
      <c r="M2175" t="s">
        <v>89</v>
      </c>
      <c r="N2175">
        <v>0</v>
      </c>
      <c r="O2175">
        <v>0</v>
      </c>
    </row>
    <row r="2176" spans="1:15" x14ac:dyDescent="0.3">
      <c r="A2176">
        <v>2271</v>
      </c>
      <c r="B2176" s="34">
        <v>41102</v>
      </c>
      <c r="C2176">
        <v>1.2242200000000001</v>
      </c>
      <c r="D2176">
        <v>0</v>
      </c>
      <c r="F2176">
        <v>0.414959999999998</v>
      </c>
      <c r="G2176">
        <v>26.659597030752899</v>
      </c>
      <c r="H2176">
        <v>0</v>
      </c>
      <c r="I2176">
        <v>0.5220167</v>
      </c>
      <c r="J2176">
        <v>2012</v>
      </c>
      <c r="K2176">
        <v>7</v>
      </c>
      <c r="L2176">
        <v>12</v>
      </c>
      <c r="M2176" t="s">
        <v>90</v>
      </c>
      <c r="N2176">
        <v>0</v>
      </c>
      <c r="O2176">
        <v>0</v>
      </c>
    </row>
    <row r="2177" spans="1:15" x14ac:dyDescent="0.3">
      <c r="A2177">
        <v>2272</v>
      </c>
      <c r="B2177" s="34">
        <v>41103</v>
      </c>
      <c r="C2177">
        <v>1.2198899999999999</v>
      </c>
      <c r="D2177">
        <v>0</v>
      </c>
      <c r="F2177">
        <v>0.414959999999998</v>
      </c>
      <c r="G2177">
        <v>26.659597030752899</v>
      </c>
      <c r="H2177">
        <v>0</v>
      </c>
      <c r="I2177">
        <v>0.521787</v>
      </c>
      <c r="J2177">
        <v>2012</v>
      </c>
      <c r="K2177">
        <v>7</v>
      </c>
      <c r="L2177">
        <v>13</v>
      </c>
      <c r="M2177" t="s">
        <v>91</v>
      </c>
      <c r="N2177">
        <v>0</v>
      </c>
      <c r="O2177">
        <v>0</v>
      </c>
    </row>
    <row r="2178" spans="1:15" x14ac:dyDescent="0.3">
      <c r="A2178">
        <v>2273</v>
      </c>
      <c r="B2178" s="34">
        <v>41106</v>
      </c>
      <c r="C2178">
        <v>1.22485</v>
      </c>
      <c r="D2178">
        <v>0</v>
      </c>
      <c r="F2178">
        <v>0.414959999999998</v>
      </c>
      <c r="G2178">
        <v>26.659597030752899</v>
      </c>
      <c r="H2178">
        <v>1</v>
      </c>
      <c r="I2178">
        <v>0.5219973</v>
      </c>
      <c r="J2178">
        <v>2012</v>
      </c>
      <c r="K2178">
        <v>7</v>
      </c>
      <c r="L2178">
        <v>16</v>
      </c>
      <c r="M2178" t="s">
        <v>92</v>
      </c>
      <c r="N2178">
        <v>0</v>
      </c>
      <c r="O2178">
        <v>0</v>
      </c>
    </row>
    <row r="2179" spans="1:15" x14ac:dyDescent="0.3">
      <c r="A2179">
        <v>2274</v>
      </c>
      <c r="B2179" s="34">
        <v>41107</v>
      </c>
      <c r="C2179">
        <v>1.22695</v>
      </c>
      <c r="D2179">
        <v>0</v>
      </c>
      <c r="F2179">
        <v>0.414959999999998</v>
      </c>
      <c r="G2179">
        <v>26.659597030752899</v>
      </c>
      <c r="H2179">
        <v>1</v>
      </c>
      <c r="I2179">
        <v>0.52220759999999999</v>
      </c>
      <c r="J2179">
        <v>2012</v>
      </c>
      <c r="K2179">
        <v>7</v>
      </c>
      <c r="L2179">
        <v>17</v>
      </c>
      <c r="M2179" t="s">
        <v>93</v>
      </c>
      <c r="N2179">
        <v>0</v>
      </c>
      <c r="O2179">
        <v>0</v>
      </c>
    </row>
    <row r="2180" spans="1:15" x14ac:dyDescent="0.3">
      <c r="A2180">
        <v>2275</v>
      </c>
      <c r="B2180" s="34">
        <v>41108</v>
      </c>
      <c r="C2180">
        <v>1.2288699999999999</v>
      </c>
      <c r="D2180">
        <v>0</v>
      </c>
      <c r="F2180">
        <v>0.414959999999998</v>
      </c>
      <c r="G2180">
        <v>26.659597030752899</v>
      </c>
      <c r="H2180">
        <v>0</v>
      </c>
      <c r="I2180">
        <v>0.52197800000000005</v>
      </c>
      <c r="J2180">
        <v>2012</v>
      </c>
      <c r="K2180">
        <v>7</v>
      </c>
      <c r="L2180">
        <v>18</v>
      </c>
      <c r="M2180" t="s">
        <v>89</v>
      </c>
      <c r="N2180">
        <v>0</v>
      </c>
      <c r="O2180">
        <v>0</v>
      </c>
    </row>
    <row r="2181" spans="1:15" x14ac:dyDescent="0.3">
      <c r="A2181">
        <v>2276</v>
      </c>
      <c r="B2181" s="34">
        <v>41109</v>
      </c>
      <c r="C2181">
        <v>1.2280199999999999</v>
      </c>
      <c r="D2181">
        <v>0</v>
      </c>
      <c r="F2181">
        <v>0.414959999999998</v>
      </c>
      <c r="G2181">
        <v>26.659597030752899</v>
      </c>
      <c r="H2181">
        <v>1</v>
      </c>
      <c r="I2181">
        <v>0.52218810000000004</v>
      </c>
      <c r="J2181">
        <v>2012</v>
      </c>
      <c r="K2181">
        <v>7</v>
      </c>
      <c r="L2181">
        <v>19</v>
      </c>
      <c r="M2181" t="s">
        <v>90</v>
      </c>
      <c r="N2181">
        <v>0</v>
      </c>
      <c r="O2181">
        <v>0</v>
      </c>
    </row>
    <row r="2182" spans="1:15" x14ac:dyDescent="0.3">
      <c r="A2182">
        <v>2277</v>
      </c>
      <c r="B2182" s="34">
        <v>41110</v>
      </c>
      <c r="C2182">
        <v>1.22742</v>
      </c>
      <c r="D2182">
        <v>0</v>
      </c>
      <c r="F2182">
        <v>0.414959999999998</v>
      </c>
      <c r="G2182">
        <v>26.659597030752899</v>
      </c>
      <c r="H2182">
        <v>1</v>
      </c>
      <c r="I2182">
        <v>0.52239789999999997</v>
      </c>
      <c r="J2182">
        <v>2012</v>
      </c>
      <c r="K2182">
        <v>7</v>
      </c>
      <c r="L2182">
        <v>20</v>
      </c>
      <c r="M2182" t="s">
        <v>91</v>
      </c>
      <c r="N2182">
        <v>0</v>
      </c>
      <c r="O2182">
        <v>0</v>
      </c>
    </row>
    <row r="2183" spans="1:15" x14ac:dyDescent="0.3">
      <c r="A2183">
        <v>2278</v>
      </c>
      <c r="B2183" s="34">
        <v>41113</v>
      </c>
      <c r="C2183">
        <v>1.2155100000000001</v>
      </c>
      <c r="D2183">
        <v>0</v>
      </c>
      <c r="F2183">
        <v>0.414959999999998</v>
      </c>
      <c r="G2183">
        <v>26.659597030752899</v>
      </c>
      <c r="H2183">
        <v>1</v>
      </c>
      <c r="I2183">
        <v>0.52260759999999995</v>
      </c>
      <c r="J2183">
        <v>2012</v>
      </c>
      <c r="K2183">
        <v>7</v>
      </c>
      <c r="L2183">
        <v>23</v>
      </c>
      <c r="M2183" t="s">
        <v>92</v>
      </c>
      <c r="N2183">
        <v>0</v>
      </c>
      <c r="O2183">
        <v>0</v>
      </c>
    </row>
    <row r="2184" spans="1:15" x14ac:dyDescent="0.3">
      <c r="A2184">
        <v>2279</v>
      </c>
      <c r="B2184" s="34">
        <v>41114</v>
      </c>
      <c r="C2184">
        <v>1.21153</v>
      </c>
      <c r="D2184">
        <v>0</v>
      </c>
      <c r="F2184">
        <v>0.414959999999998</v>
      </c>
      <c r="G2184">
        <v>26.659597030752899</v>
      </c>
      <c r="H2184">
        <v>0</v>
      </c>
      <c r="I2184">
        <v>0.52237829999999996</v>
      </c>
      <c r="J2184">
        <v>2012</v>
      </c>
      <c r="K2184">
        <v>7</v>
      </c>
      <c r="L2184">
        <v>24</v>
      </c>
      <c r="M2184" t="s">
        <v>93</v>
      </c>
      <c r="N2184">
        <v>0</v>
      </c>
      <c r="O2184">
        <v>0</v>
      </c>
    </row>
    <row r="2185" spans="1:15" x14ac:dyDescent="0.3">
      <c r="A2185">
        <v>2280</v>
      </c>
      <c r="B2185" s="34">
        <v>41115</v>
      </c>
      <c r="C2185">
        <v>1.2060200000000001</v>
      </c>
      <c r="D2185">
        <v>0</v>
      </c>
      <c r="F2185">
        <v>0.414959999999998</v>
      </c>
      <c r="G2185">
        <v>26.659597030752899</v>
      </c>
      <c r="H2185">
        <v>0</v>
      </c>
      <c r="I2185">
        <v>0.52214910000000003</v>
      </c>
      <c r="J2185">
        <v>2012</v>
      </c>
      <c r="K2185">
        <v>7</v>
      </c>
      <c r="L2185">
        <v>25</v>
      </c>
      <c r="M2185" t="s">
        <v>89</v>
      </c>
      <c r="N2185">
        <v>0</v>
      </c>
      <c r="O2185">
        <v>0</v>
      </c>
    </row>
    <row r="2186" spans="1:15" x14ac:dyDescent="0.3">
      <c r="A2186">
        <v>2281</v>
      </c>
      <c r="B2186" s="34">
        <v>41116</v>
      </c>
      <c r="C2186">
        <v>1.21479</v>
      </c>
      <c r="D2186">
        <v>0</v>
      </c>
      <c r="F2186">
        <v>0.414959999999998</v>
      </c>
      <c r="G2186">
        <v>26.659597030752899</v>
      </c>
      <c r="H2186">
        <v>1</v>
      </c>
      <c r="I2186">
        <v>0.52235860000000001</v>
      </c>
      <c r="J2186">
        <v>2012</v>
      </c>
      <c r="K2186">
        <v>7</v>
      </c>
      <c r="L2186">
        <v>26</v>
      </c>
      <c r="M2186" t="s">
        <v>90</v>
      </c>
      <c r="N2186">
        <v>0</v>
      </c>
      <c r="O2186">
        <v>0</v>
      </c>
    </row>
    <row r="2187" spans="1:15" x14ac:dyDescent="0.3">
      <c r="A2187">
        <v>2282</v>
      </c>
      <c r="B2187" s="34">
        <v>41117</v>
      </c>
      <c r="C2187">
        <v>1.2278800000000001</v>
      </c>
      <c r="D2187">
        <v>0</v>
      </c>
      <c r="F2187">
        <v>0.414959999999998</v>
      </c>
      <c r="G2187">
        <v>26.659597030752899</v>
      </c>
      <c r="H2187">
        <v>0</v>
      </c>
      <c r="I2187">
        <v>0.52212970000000003</v>
      </c>
      <c r="J2187">
        <v>2012</v>
      </c>
      <c r="K2187">
        <v>7</v>
      </c>
      <c r="L2187">
        <v>27</v>
      </c>
      <c r="M2187" t="s">
        <v>91</v>
      </c>
      <c r="N2187">
        <v>0</v>
      </c>
      <c r="O2187">
        <v>0</v>
      </c>
    </row>
    <row r="2188" spans="1:15" x14ac:dyDescent="0.3">
      <c r="A2188">
        <v>2283</v>
      </c>
      <c r="B2188" s="34">
        <v>41120</v>
      </c>
      <c r="C2188">
        <v>1.23211</v>
      </c>
      <c r="D2188">
        <v>0</v>
      </c>
      <c r="F2188">
        <v>0.414959999999998</v>
      </c>
      <c r="G2188">
        <v>26.659597030752899</v>
      </c>
      <c r="H2188">
        <v>0</v>
      </c>
      <c r="I2188">
        <v>0.52190099999999995</v>
      </c>
      <c r="J2188">
        <v>2012</v>
      </c>
      <c r="K2188">
        <v>7</v>
      </c>
      <c r="L2188">
        <v>30</v>
      </c>
      <c r="M2188" t="s">
        <v>92</v>
      </c>
      <c r="N2188">
        <v>0</v>
      </c>
      <c r="O2188">
        <v>0</v>
      </c>
    </row>
    <row r="2189" spans="1:15" x14ac:dyDescent="0.3">
      <c r="A2189">
        <v>2284</v>
      </c>
      <c r="B2189" s="34">
        <v>41121</v>
      </c>
      <c r="C2189">
        <v>1.2254799999999999</v>
      </c>
      <c r="D2189">
        <v>0</v>
      </c>
      <c r="F2189">
        <v>0.414959999999998</v>
      </c>
      <c r="G2189">
        <v>26.659597030752899</v>
      </c>
      <c r="H2189">
        <v>1</v>
      </c>
      <c r="I2189">
        <v>0.52211030000000003</v>
      </c>
      <c r="J2189">
        <v>2012</v>
      </c>
      <c r="K2189">
        <v>7</v>
      </c>
      <c r="L2189">
        <v>31</v>
      </c>
      <c r="M2189" t="s">
        <v>93</v>
      </c>
      <c r="N2189">
        <v>0</v>
      </c>
      <c r="O2189">
        <v>0</v>
      </c>
    </row>
    <row r="2190" spans="1:15" x14ac:dyDescent="0.3">
      <c r="A2190">
        <v>2285</v>
      </c>
      <c r="B2190" s="34">
        <v>41122</v>
      </c>
      <c r="C2190">
        <v>1.2298899999999999</v>
      </c>
      <c r="D2190">
        <v>0</v>
      </c>
      <c r="F2190">
        <v>0.414959999999998</v>
      </c>
      <c r="G2190">
        <v>26.659597030752899</v>
      </c>
      <c r="H2190">
        <v>0</v>
      </c>
      <c r="I2190">
        <v>0.52188179999999995</v>
      </c>
      <c r="J2190">
        <v>2012</v>
      </c>
      <c r="K2190">
        <v>8</v>
      </c>
      <c r="L2190">
        <v>1</v>
      </c>
      <c r="M2190" t="s">
        <v>89</v>
      </c>
      <c r="N2190">
        <v>0</v>
      </c>
      <c r="O2190">
        <v>0</v>
      </c>
    </row>
    <row r="2191" spans="1:15" x14ac:dyDescent="0.3">
      <c r="A2191">
        <v>2286</v>
      </c>
      <c r="B2191" s="34">
        <v>41123</v>
      </c>
      <c r="C2191">
        <v>1.2228699999999999</v>
      </c>
      <c r="D2191">
        <v>0</v>
      </c>
      <c r="F2191">
        <v>0.414959999999998</v>
      </c>
      <c r="G2191">
        <v>26.659597030752899</v>
      </c>
      <c r="H2191">
        <v>1</v>
      </c>
      <c r="I2191">
        <v>0.52209099999999997</v>
      </c>
      <c r="J2191">
        <v>2012</v>
      </c>
      <c r="K2191">
        <v>8</v>
      </c>
      <c r="L2191">
        <v>2</v>
      </c>
      <c r="M2191" t="s">
        <v>90</v>
      </c>
      <c r="N2191">
        <v>0</v>
      </c>
      <c r="O2191">
        <v>0</v>
      </c>
    </row>
    <row r="2192" spans="1:15" x14ac:dyDescent="0.3">
      <c r="A2192">
        <v>2287</v>
      </c>
      <c r="B2192" s="34">
        <v>41124</v>
      </c>
      <c r="C2192">
        <v>1.2182200000000001</v>
      </c>
      <c r="D2192">
        <v>0</v>
      </c>
      <c r="F2192">
        <v>0.414959999999998</v>
      </c>
      <c r="G2192">
        <v>26.659597030752899</v>
      </c>
      <c r="H2192">
        <v>0</v>
      </c>
      <c r="I2192">
        <v>0.52186270000000001</v>
      </c>
      <c r="J2192">
        <v>2012</v>
      </c>
      <c r="K2192">
        <v>8</v>
      </c>
      <c r="L2192">
        <v>3</v>
      </c>
      <c r="M2192" t="s">
        <v>91</v>
      </c>
      <c r="N2192">
        <v>0</v>
      </c>
      <c r="O2192">
        <v>0</v>
      </c>
    </row>
    <row r="2193" spans="1:15" x14ac:dyDescent="0.3">
      <c r="A2193">
        <v>2288</v>
      </c>
      <c r="B2193" s="34">
        <v>41127</v>
      </c>
      <c r="C2193">
        <v>1.23848</v>
      </c>
      <c r="D2193">
        <v>0</v>
      </c>
      <c r="F2193">
        <v>0.414959999999998</v>
      </c>
      <c r="G2193">
        <v>26.659597030752899</v>
      </c>
      <c r="H2193">
        <v>1</v>
      </c>
      <c r="I2193">
        <v>0.52207170000000003</v>
      </c>
      <c r="J2193">
        <v>2012</v>
      </c>
      <c r="K2193">
        <v>8</v>
      </c>
      <c r="L2193">
        <v>6</v>
      </c>
      <c r="M2193" t="s">
        <v>92</v>
      </c>
      <c r="N2193">
        <v>0</v>
      </c>
      <c r="O2193">
        <v>0</v>
      </c>
    </row>
    <row r="2194" spans="1:15" x14ac:dyDescent="0.3">
      <c r="A2194">
        <v>2289</v>
      </c>
      <c r="B2194" s="34">
        <v>41128</v>
      </c>
      <c r="C2194">
        <v>1.2398</v>
      </c>
      <c r="D2194">
        <v>0</v>
      </c>
      <c r="F2194">
        <v>0.414959999999998</v>
      </c>
      <c r="G2194">
        <v>26.659597030752899</v>
      </c>
      <c r="H2194">
        <v>0</v>
      </c>
      <c r="I2194">
        <v>0.52184359999999996</v>
      </c>
      <c r="J2194">
        <v>2012</v>
      </c>
      <c r="K2194">
        <v>8</v>
      </c>
      <c r="L2194">
        <v>7</v>
      </c>
      <c r="M2194" t="s">
        <v>93</v>
      </c>
      <c r="N2194">
        <v>0</v>
      </c>
      <c r="O2194">
        <v>0</v>
      </c>
    </row>
    <row r="2195" spans="1:15" x14ac:dyDescent="0.3">
      <c r="A2195">
        <v>2290</v>
      </c>
      <c r="B2195" s="34">
        <v>41129</v>
      </c>
      <c r="C2195">
        <v>1.2397199999999999</v>
      </c>
      <c r="D2195">
        <v>0</v>
      </c>
      <c r="F2195">
        <v>0.414959999999998</v>
      </c>
      <c r="G2195">
        <v>26.659597030752899</v>
      </c>
      <c r="H2195">
        <v>1</v>
      </c>
      <c r="I2195">
        <v>0.52205239999999997</v>
      </c>
      <c r="J2195">
        <v>2012</v>
      </c>
      <c r="K2195">
        <v>8</v>
      </c>
      <c r="L2195">
        <v>8</v>
      </c>
      <c r="M2195" t="s">
        <v>89</v>
      </c>
      <c r="N2195">
        <v>0</v>
      </c>
      <c r="O2195">
        <v>0</v>
      </c>
    </row>
    <row r="2196" spans="1:15" x14ac:dyDescent="0.3">
      <c r="A2196">
        <v>2291</v>
      </c>
      <c r="B2196" s="34">
        <v>41130</v>
      </c>
      <c r="C2196">
        <v>1.23645</v>
      </c>
      <c r="D2196">
        <v>0</v>
      </c>
      <c r="F2196">
        <v>0.414959999999998</v>
      </c>
      <c r="G2196">
        <v>26.659597030752899</v>
      </c>
      <c r="H2196">
        <v>1</v>
      </c>
      <c r="I2196">
        <v>0.52226099999999998</v>
      </c>
      <c r="J2196">
        <v>2012</v>
      </c>
      <c r="K2196">
        <v>8</v>
      </c>
      <c r="L2196">
        <v>9</v>
      </c>
      <c r="M2196" t="s">
        <v>90</v>
      </c>
      <c r="N2196">
        <v>0</v>
      </c>
      <c r="O2196">
        <v>0</v>
      </c>
    </row>
    <row r="2197" spans="1:15" x14ac:dyDescent="0.3">
      <c r="A2197">
        <v>2292</v>
      </c>
      <c r="B2197" s="34">
        <v>41131</v>
      </c>
      <c r="C2197">
        <v>1.23037</v>
      </c>
      <c r="D2197">
        <v>0</v>
      </c>
      <c r="F2197">
        <v>0.414959999999998</v>
      </c>
      <c r="G2197">
        <v>26.659597030752899</v>
      </c>
      <c r="H2197">
        <v>0</v>
      </c>
      <c r="I2197">
        <v>0.52203319999999998</v>
      </c>
      <c r="J2197">
        <v>2012</v>
      </c>
      <c r="K2197">
        <v>8</v>
      </c>
      <c r="L2197">
        <v>10</v>
      </c>
      <c r="M2197" t="s">
        <v>91</v>
      </c>
      <c r="N2197">
        <v>0</v>
      </c>
      <c r="O2197">
        <v>0</v>
      </c>
    </row>
    <row r="2198" spans="1:15" x14ac:dyDescent="0.3">
      <c r="A2198">
        <v>2293</v>
      </c>
      <c r="B2198" s="34">
        <v>41134</v>
      </c>
      <c r="C2198">
        <v>1.2288399999999999</v>
      </c>
      <c r="D2198">
        <v>0</v>
      </c>
      <c r="F2198">
        <v>0.414959999999998</v>
      </c>
      <c r="G2198">
        <v>26.659597030752899</v>
      </c>
      <c r="H2198">
        <v>0</v>
      </c>
      <c r="I2198">
        <v>0.52180550000000003</v>
      </c>
      <c r="J2198">
        <v>2012</v>
      </c>
      <c r="K2198">
        <v>8</v>
      </c>
      <c r="L2198">
        <v>13</v>
      </c>
      <c r="M2198" t="s">
        <v>92</v>
      </c>
      <c r="N2198">
        <v>0</v>
      </c>
      <c r="O2198">
        <v>0</v>
      </c>
    </row>
    <row r="2199" spans="1:15" x14ac:dyDescent="0.3">
      <c r="A2199">
        <v>2294</v>
      </c>
      <c r="B2199" s="34">
        <v>41135</v>
      </c>
      <c r="C2199">
        <v>1.23322</v>
      </c>
      <c r="D2199">
        <v>0</v>
      </c>
      <c r="F2199">
        <v>0.414959999999998</v>
      </c>
      <c r="G2199">
        <v>26.659597030752899</v>
      </c>
      <c r="H2199">
        <v>1</v>
      </c>
      <c r="I2199">
        <v>0.52201399999999998</v>
      </c>
      <c r="J2199">
        <v>2012</v>
      </c>
      <c r="K2199">
        <v>8</v>
      </c>
      <c r="L2199">
        <v>14</v>
      </c>
      <c r="M2199" t="s">
        <v>93</v>
      </c>
      <c r="N2199">
        <v>0</v>
      </c>
      <c r="O2199">
        <v>0</v>
      </c>
    </row>
    <row r="2200" spans="1:15" x14ac:dyDescent="0.3">
      <c r="A2200">
        <v>2295</v>
      </c>
      <c r="B2200" s="34">
        <v>41136</v>
      </c>
      <c r="C2200">
        <v>1.23183</v>
      </c>
      <c r="D2200">
        <v>0</v>
      </c>
      <c r="F2200">
        <v>0.414959999999998</v>
      </c>
      <c r="G2200">
        <v>26.659597030752899</v>
      </c>
      <c r="H2200">
        <v>1</v>
      </c>
      <c r="I2200">
        <v>0.52222219999999997</v>
      </c>
      <c r="J2200">
        <v>2012</v>
      </c>
      <c r="K2200">
        <v>8</v>
      </c>
      <c r="L2200">
        <v>15</v>
      </c>
      <c r="M2200" t="s">
        <v>89</v>
      </c>
      <c r="N2200">
        <v>0</v>
      </c>
      <c r="O2200">
        <v>0</v>
      </c>
    </row>
    <row r="2201" spans="1:15" x14ac:dyDescent="0.3">
      <c r="A2201">
        <v>2296</v>
      </c>
      <c r="B2201" s="34">
        <v>41137</v>
      </c>
      <c r="C2201">
        <v>1.22861</v>
      </c>
      <c r="D2201">
        <v>0</v>
      </c>
      <c r="F2201">
        <v>0.414959999999998</v>
      </c>
      <c r="G2201">
        <v>26.659597030752899</v>
      </c>
      <c r="H2201">
        <v>1</v>
      </c>
      <c r="I2201">
        <v>0.52243030000000001</v>
      </c>
      <c r="J2201">
        <v>2012</v>
      </c>
      <c r="K2201">
        <v>8</v>
      </c>
      <c r="L2201">
        <v>16</v>
      </c>
      <c r="M2201" t="s">
        <v>90</v>
      </c>
      <c r="N2201">
        <v>0</v>
      </c>
      <c r="O2201">
        <v>0</v>
      </c>
    </row>
    <row r="2202" spans="1:15" x14ac:dyDescent="0.3">
      <c r="A2202">
        <v>2297</v>
      </c>
      <c r="B2202" s="34">
        <v>41138</v>
      </c>
      <c r="C2202">
        <v>1.2355799999999999</v>
      </c>
      <c r="D2202">
        <v>0</v>
      </c>
      <c r="F2202">
        <v>0.414959999999998</v>
      </c>
      <c r="G2202">
        <v>26.659597030752899</v>
      </c>
      <c r="H2202">
        <v>1</v>
      </c>
      <c r="I2202">
        <v>0.52263820000000005</v>
      </c>
      <c r="J2202">
        <v>2012</v>
      </c>
      <c r="K2202">
        <v>8</v>
      </c>
      <c r="L2202">
        <v>17</v>
      </c>
      <c r="M2202" t="s">
        <v>91</v>
      </c>
      <c r="N2202">
        <v>0</v>
      </c>
      <c r="O2202">
        <v>0</v>
      </c>
    </row>
    <row r="2203" spans="1:15" x14ac:dyDescent="0.3">
      <c r="A2203">
        <v>2298</v>
      </c>
      <c r="B2203" s="34">
        <v>41141</v>
      </c>
      <c r="C2203">
        <v>1.2332700000000001</v>
      </c>
      <c r="D2203">
        <v>0</v>
      </c>
      <c r="F2203">
        <v>0.414959999999998</v>
      </c>
      <c r="G2203">
        <v>26.659597030752899</v>
      </c>
      <c r="H2203">
        <v>1</v>
      </c>
      <c r="I2203">
        <v>0.52284589999999997</v>
      </c>
      <c r="J2203">
        <v>2012</v>
      </c>
      <c r="K2203">
        <v>8</v>
      </c>
      <c r="L2203">
        <v>20</v>
      </c>
      <c r="M2203" t="s">
        <v>92</v>
      </c>
      <c r="N2203">
        <v>0</v>
      </c>
      <c r="O2203">
        <v>0</v>
      </c>
    </row>
    <row r="2204" spans="1:15" x14ac:dyDescent="0.3">
      <c r="A2204">
        <v>2299</v>
      </c>
      <c r="B2204" s="34">
        <v>41142</v>
      </c>
      <c r="C2204">
        <v>1.2345900000000001</v>
      </c>
      <c r="D2204">
        <v>0</v>
      </c>
      <c r="F2204">
        <v>0.414959999999998</v>
      </c>
      <c r="G2204">
        <v>26.659597030752899</v>
      </c>
      <c r="H2204">
        <v>0</v>
      </c>
      <c r="I2204">
        <v>0.52261849999999999</v>
      </c>
      <c r="J2204">
        <v>2012</v>
      </c>
      <c r="K2204">
        <v>8</v>
      </c>
      <c r="L2204">
        <v>21</v>
      </c>
      <c r="M2204" t="s">
        <v>93</v>
      </c>
      <c r="N2204">
        <v>0</v>
      </c>
      <c r="O2204">
        <v>0</v>
      </c>
    </row>
    <row r="2205" spans="1:15" x14ac:dyDescent="0.3">
      <c r="A2205">
        <v>2300</v>
      </c>
      <c r="B2205" s="34">
        <v>41143</v>
      </c>
      <c r="C2205">
        <v>1.24701</v>
      </c>
      <c r="D2205">
        <v>0</v>
      </c>
      <c r="F2205">
        <v>0.414959999999998</v>
      </c>
      <c r="G2205">
        <v>26.659597030752899</v>
      </c>
      <c r="H2205">
        <v>0</v>
      </c>
      <c r="I2205">
        <v>0.5223913</v>
      </c>
      <c r="J2205">
        <v>2012</v>
      </c>
      <c r="K2205">
        <v>8</v>
      </c>
      <c r="L2205">
        <v>22</v>
      </c>
      <c r="M2205" t="s">
        <v>89</v>
      </c>
      <c r="N2205">
        <v>0</v>
      </c>
      <c r="O2205">
        <v>0</v>
      </c>
    </row>
    <row r="2206" spans="1:15" x14ac:dyDescent="0.3">
      <c r="A2206">
        <v>2301</v>
      </c>
      <c r="B2206" s="34">
        <v>41144</v>
      </c>
      <c r="C2206">
        <v>1.2529699999999999</v>
      </c>
      <c r="D2206">
        <v>0</v>
      </c>
      <c r="F2206">
        <v>0.414959999999998</v>
      </c>
      <c r="G2206">
        <v>26.659597030752899</v>
      </c>
      <c r="H2206">
        <v>0</v>
      </c>
      <c r="I2206">
        <v>0.52216430000000003</v>
      </c>
      <c r="J2206">
        <v>2012</v>
      </c>
      <c r="K2206">
        <v>8</v>
      </c>
      <c r="L2206">
        <v>23</v>
      </c>
      <c r="M2206" t="s">
        <v>90</v>
      </c>
      <c r="N2206">
        <v>0</v>
      </c>
      <c r="O2206">
        <v>0</v>
      </c>
    </row>
    <row r="2207" spans="1:15" x14ac:dyDescent="0.3">
      <c r="A2207">
        <v>2302</v>
      </c>
      <c r="B2207" s="34">
        <v>41145</v>
      </c>
      <c r="C2207">
        <v>1.2564</v>
      </c>
      <c r="D2207">
        <v>0</v>
      </c>
      <c r="F2207">
        <v>0.414959999999998</v>
      </c>
      <c r="G2207">
        <v>26.659597030752899</v>
      </c>
      <c r="H2207">
        <v>0</v>
      </c>
      <c r="I2207">
        <v>0.5219374</v>
      </c>
      <c r="J2207">
        <v>2012</v>
      </c>
      <c r="K2207">
        <v>8</v>
      </c>
      <c r="L2207">
        <v>24</v>
      </c>
      <c r="M2207" t="s">
        <v>91</v>
      </c>
      <c r="N2207">
        <v>0</v>
      </c>
      <c r="O2207">
        <v>0</v>
      </c>
    </row>
    <row r="2208" spans="1:15" x14ac:dyDescent="0.3">
      <c r="A2208">
        <v>2303</v>
      </c>
      <c r="B2208" s="34">
        <v>41148</v>
      </c>
      <c r="C2208">
        <v>1.25109</v>
      </c>
      <c r="D2208">
        <v>1</v>
      </c>
      <c r="E2208" t="s">
        <v>403</v>
      </c>
      <c r="F2208">
        <v>0.413579999999998</v>
      </c>
      <c r="G2208">
        <v>26.903499469777302</v>
      </c>
      <c r="H2208">
        <v>1</v>
      </c>
      <c r="I2208">
        <v>0.52214499999999997</v>
      </c>
      <c r="J2208">
        <v>2012</v>
      </c>
      <c r="K2208">
        <v>8</v>
      </c>
      <c r="L2208">
        <v>27</v>
      </c>
      <c r="M2208" t="s">
        <v>92</v>
      </c>
      <c r="N2208">
        <v>0</v>
      </c>
      <c r="O2208">
        <v>0</v>
      </c>
    </row>
    <row r="2209" spans="1:15" x14ac:dyDescent="0.3">
      <c r="A2209">
        <v>2304</v>
      </c>
      <c r="B2209" s="34">
        <v>41149</v>
      </c>
      <c r="C2209">
        <v>1.2497100000000001</v>
      </c>
      <c r="D2209">
        <v>0</v>
      </c>
      <c r="F2209">
        <v>0.413579999999998</v>
      </c>
      <c r="G2209">
        <v>26.903499469777302</v>
      </c>
      <c r="H2209">
        <v>1</v>
      </c>
      <c r="I2209">
        <v>0.5223525</v>
      </c>
      <c r="J2209">
        <v>2012</v>
      </c>
      <c r="K2209">
        <v>8</v>
      </c>
      <c r="L2209">
        <v>28</v>
      </c>
      <c r="M2209" t="s">
        <v>93</v>
      </c>
      <c r="N2209">
        <v>0</v>
      </c>
      <c r="O2209">
        <v>0</v>
      </c>
    </row>
    <row r="2210" spans="1:15" x14ac:dyDescent="0.3">
      <c r="A2210">
        <v>2305</v>
      </c>
      <c r="B2210" s="34">
        <v>41150</v>
      </c>
      <c r="C2210">
        <v>1.2563500000000001</v>
      </c>
      <c r="D2210">
        <v>0</v>
      </c>
      <c r="F2210">
        <v>0.413579999999998</v>
      </c>
      <c r="G2210">
        <v>26.903499469777302</v>
      </c>
      <c r="H2210">
        <v>0</v>
      </c>
      <c r="I2210">
        <v>0.52212579999999997</v>
      </c>
      <c r="J2210">
        <v>2012</v>
      </c>
      <c r="K2210">
        <v>8</v>
      </c>
      <c r="L2210">
        <v>29</v>
      </c>
      <c r="M2210" t="s">
        <v>89</v>
      </c>
      <c r="N2210">
        <v>0</v>
      </c>
      <c r="O2210">
        <v>0</v>
      </c>
    </row>
    <row r="2211" spans="1:15" x14ac:dyDescent="0.3">
      <c r="A2211">
        <v>2306</v>
      </c>
      <c r="B2211" s="34">
        <v>41151</v>
      </c>
      <c r="C2211">
        <v>1.25305</v>
      </c>
      <c r="D2211">
        <v>0</v>
      </c>
      <c r="F2211">
        <v>0.413579999999998</v>
      </c>
      <c r="G2211">
        <v>26.903499469777302</v>
      </c>
      <c r="H2211">
        <v>1</v>
      </c>
      <c r="I2211">
        <v>0.52233300000000005</v>
      </c>
      <c r="J2211">
        <v>2012</v>
      </c>
      <c r="K2211">
        <v>8</v>
      </c>
      <c r="L2211">
        <v>30</v>
      </c>
      <c r="M2211" t="s">
        <v>90</v>
      </c>
      <c r="N2211">
        <v>0</v>
      </c>
      <c r="O2211">
        <v>0</v>
      </c>
    </row>
    <row r="2212" spans="1:15" x14ac:dyDescent="0.3">
      <c r="A2212">
        <v>2307</v>
      </c>
      <c r="B2212" s="34">
        <v>41152</v>
      </c>
      <c r="C2212">
        <v>1.2505599999999999</v>
      </c>
      <c r="D2212">
        <v>0</v>
      </c>
      <c r="F2212">
        <v>0.413579999999998</v>
      </c>
      <c r="G2212">
        <v>26.903499469777302</v>
      </c>
      <c r="H2212">
        <v>1</v>
      </c>
      <c r="I2212">
        <v>0.52254009999999995</v>
      </c>
      <c r="J2212">
        <v>2012</v>
      </c>
      <c r="K2212">
        <v>8</v>
      </c>
      <c r="L2212">
        <v>31</v>
      </c>
      <c r="M2212" t="s">
        <v>91</v>
      </c>
      <c r="N2212">
        <v>0</v>
      </c>
      <c r="O2212">
        <v>0</v>
      </c>
    </row>
    <row r="2213" spans="1:15" x14ac:dyDescent="0.3">
      <c r="A2213">
        <v>2308</v>
      </c>
      <c r="B2213" s="34">
        <v>41155</v>
      </c>
      <c r="C2213">
        <v>1.25783</v>
      </c>
      <c r="D2213">
        <v>0</v>
      </c>
      <c r="F2213">
        <v>0.413579999999998</v>
      </c>
      <c r="G2213">
        <v>26.903499469777302</v>
      </c>
      <c r="H2213">
        <v>1</v>
      </c>
      <c r="I2213">
        <v>0.52274699999999996</v>
      </c>
      <c r="J2213">
        <v>2012</v>
      </c>
      <c r="K2213">
        <v>9</v>
      </c>
      <c r="L2213">
        <v>3</v>
      </c>
      <c r="M2213" t="s">
        <v>92</v>
      </c>
      <c r="N2213">
        <v>0</v>
      </c>
      <c r="O2213">
        <v>0</v>
      </c>
    </row>
    <row r="2214" spans="1:15" x14ac:dyDescent="0.3">
      <c r="A2214">
        <v>2309</v>
      </c>
      <c r="B2214" s="34">
        <v>41156</v>
      </c>
      <c r="C2214">
        <v>1.2586999999999999</v>
      </c>
      <c r="D2214">
        <v>0</v>
      </c>
      <c r="F2214">
        <v>0.413579999999998</v>
      </c>
      <c r="G2214">
        <v>26.903499469777302</v>
      </c>
      <c r="H2214">
        <v>0</v>
      </c>
      <c r="I2214">
        <v>0.52252050000000005</v>
      </c>
      <c r="J2214">
        <v>2012</v>
      </c>
      <c r="K2214">
        <v>9</v>
      </c>
      <c r="L2214">
        <v>4</v>
      </c>
      <c r="M2214" t="s">
        <v>93</v>
      </c>
      <c r="N2214">
        <v>0</v>
      </c>
      <c r="O2214">
        <v>0</v>
      </c>
    </row>
    <row r="2215" spans="1:15" x14ac:dyDescent="0.3">
      <c r="A2215">
        <v>2310</v>
      </c>
      <c r="B2215" s="34">
        <v>41157</v>
      </c>
      <c r="C2215">
        <v>1.25668</v>
      </c>
      <c r="D2215">
        <v>0</v>
      </c>
      <c r="F2215">
        <v>0.413579999999998</v>
      </c>
      <c r="G2215">
        <v>26.903499469777302</v>
      </c>
      <c r="H2215">
        <v>1</v>
      </c>
      <c r="I2215">
        <v>0.52272730000000001</v>
      </c>
      <c r="J2215">
        <v>2012</v>
      </c>
      <c r="K2215">
        <v>9</v>
      </c>
      <c r="L2215">
        <v>5</v>
      </c>
      <c r="M2215" t="s">
        <v>89</v>
      </c>
      <c r="N2215">
        <v>0</v>
      </c>
      <c r="O2215">
        <v>0</v>
      </c>
    </row>
    <row r="2216" spans="1:15" x14ac:dyDescent="0.3">
      <c r="A2216">
        <v>2311</v>
      </c>
      <c r="B2216" s="34">
        <v>41158</v>
      </c>
      <c r="C2216">
        <v>1.2602100000000001</v>
      </c>
      <c r="D2216">
        <v>0</v>
      </c>
      <c r="F2216">
        <v>0.413579999999998</v>
      </c>
      <c r="G2216">
        <v>26.903499469777302</v>
      </c>
      <c r="H2216">
        <v>0</v>
      </c>
      <c r="I2216">
        <v>0.52250110000000005</v>
      </c>
      <c r="J2216">
        <v>2012</v>
      </c>
      <c r="K2216">
        <v>9</v>
      </c>
      <c r="L2216">
        <v>6</v>
      </c>
      <c r="M2216" t="s">
        <v>90</v>
      </c>
      <c r="N2216">
        <v>0</v>
      </c>
      <c r="O2216">
        <v>0</v>
      </c>
    </row>
    <row r="2217" spans="1:15" x14ac:dyDescent="0.3">
      <c r="A2217">
        <v>2312</v>
      </c>
      <c r="B2217" s="34">
        <v>41159</v>
      </c>
      <c r="C2217">
        <v>1.2632000000000001</v>
      </c>
      <c r="D2217">
        <v>0</v>
      </c>
      <c r="F2217">
        <v>0.413579999999998</v>
      </c>
      <c r="G2217">
        <v>26.903499469777302</v>
      </c>
      <c r="H2217">
        <v>0</v>
      </c>
      <c r="I2217">
        <v>0.52227509999999999</v>
      </c>
      <c r="J2217">
        <v>2012</v>
      </c>
      <c r="K2217">
        <v>9</v>
      </c>
      <c r="L2217">
        <v>7</v>
      </c>
      <c r="M2217" t="s">
        <v>91</v>
      </c>
      <c r="N2217">
        <v>0</v>
      </c>
      <c r="O2217">
        <v>0</v>
      </c>
    </row>
    <row r="2218" spans="1:15" x14ac:dyDescent="0.3">
      <c r="A2218">
        <v>2313</v>
      </c>
      <c r="B2218" s="34">
        <v>41162</v>
      </c>
      <c r="C2218">
        <v>1.2815399999999999</v>
      </c>
      <c r="D2218">
        <v>0</v>
      </c>
      <c r="F2218">
        <v>0.413579999999998</v>
      </c>
      <c r="G2218">
        <v>26.903499469777302</v>
      </c>
      <c r="H2218">
        <v>0</v>
      </c>
      <c r="I2218">
        <v>0.52204930000000005</v>
      </c>
      <c r="J2218">
        <v>2012</v>
      </c>
      <c r="K2218">
        <v>9</v>
      </c>
      <c r="L2218">
        <v>10</v>
      </c>
      <c r="M2218" t="s">
        <v>92</v>
      </c>
      <c r="N2218">
        <v>0</v>
      </c>
      <c r="O2218">
        <v>0</v>
      </c>
    </row>
    <row r="2219" spans="1:15" x14ac:dyDescent="0.3">
      <c r="A2219">
        <v>2314</v>
      </c>
      <c r="B2219" s="34">
        <v>41163</v>
      </c>
      <c r="C2219">
        <v>1.27579</v>
      </c>
      <c r="D2219">
        <v>0</v>
      </c>
      <c r="F2219">
        <v>0.413579999999998</v>
      </c>
      <c r="G2219">
        <v>26.903499469777302</v>
      </c>
      <c r="H2219">
        <v>1</v>
      </c>
      <c r="I2219">
        <v>0.52225580000000005</v>
      </c>
      <c r="J2219">
        <v>2012</v>
      </c>
      <c r="K2219">
        <v>9</v>
      </c>
      <c r="L2219">
        <v>11</v>
      </c>
      <c r="M2219" t="s">
        <v>93</v>
      </c>
      <c r="N2219">
        <v>0</v>
      </c>
      <c r="O2219">
        <v>0</v>
      </c>
    </row>
    <row r="2220" spans="1:15" x14ac:dyDescent="0.3">
      <c r="A2220">
        <v>2315</v>
      </c>
      <c r="B2220" s="34">
        <v>41164</v>
      </c>
      <c r="C2220">
        <v>1.2850699999999999</v>
      </c>
      <c r="D2220">
        <v>0</v>
      </c>
      <c r="F2220">
        <v>0.413579999999998</v>
      </c>
      <c r="G2220">
        <v>26.903499469777302</v>
      </c>
      <c r="H2220">
        <v>0</v>
      </c>
      <c r="I2220">
        <v>0.5220302</v>
      </c>
      <c r="J2220">
        <v>2012</v>
      </c>
      <c r="K2220">
        <v>9</v>
      </c>
      <c r="L2220">
        <v>12</v>
      </c>
      <c r="M2220" t="s">
        <v>89</v>
      </c>
      <c r="N2220">
        <v>0</v>
      </c>
      <c r="O2220">
        <v>0</v>
      </c>
    </row>
    <row r="2221" spans="1:15" x14ac:dyDescent="0.3">
      <c r="A2221">
        <v>2316</v>
      </c>
      <c r="B2221" s="34">
        <v>41165</v>
      </c>
      <c r="C2221">
        <v>1.2898400000000001</v>
      </c>
      <c r="D2221">
        <v>0</v>
      </c>
      <c r="F2221">
        <v>0.413579999999998</v>
      </c>
      <c r="G2221">
        <v>26.903499469777302</v>
      </c>
      <c r="H2221">
        <v>0</v>
      </c>
      <c r="I2221">
        <v>0.52180479999999996</v>
      </c>
      <c r="J2221">
        <v>2012</v>
      </c>
      <c r="K2221">
        <v>9</v>
      </c>
      <c r="L2221">
        <v>13</v>
      </c>
      <c r="M2221" t="s">
        <v>90</v>
      </c>
      <c r="N2221">
        <v>0</v>
      </c>
      <c r="O2221">
        <v>0</v>
      </c>
    </row>
    <row r="2222" spans="1:15" x14ac:dyDescent="0.3">
      <c r="A2222">
        <v>2317</v>
      </c>
      <c r="B2222" s="34">
        <v>41166</v>
      </c>
      <c r="C2222">
        <v>1.2986200000000001</v>
      </c>
      <c r="D2222">
        <v>0</v>
      </c>
      <c r="F2222">
        <v>0.413579999999998</v>
      </c>
      <c r="G2222">
        <v>26.903499469777302</v>
      </c>
      <c r="H2222">
        <v>0</v>
      </c>
      <c r="I2222">
        <v>0.52157960000000003</v>
      </c>
      <c r="J2222">
        <v>2012</v>
      </c>
      <c r="K2222">
        <v>9</v>
      </c>
      <c r="L2222">
        <v>14</v>
      </c>
      <c r="M2222" t="s">
        <v>91</v>
      </c>
      <c r="N2222">
        <v>0</v>
      </c>
      <c r="O2222">
        <v>0</v>
      </c>
    </row>
    <row r="2223" spans="1:15" x14ac:dyDescent="0.3">
      <c r="A2223">
        <v>2318</v>
      </c>
      <c r="B2223" s="34">
        <v>41169</v>
      </c>
      <c r="C2223">
        <v>1.3128599999999999</v>
      </c>
      <c r="D2223">
        <v>0</v>
      </c>
      <c r="F2223">
        <v>0.413579999999998</v>
      </c>
      <c r="G2223">
        <v>26.903499469777302</v>
      </c>
      <c r="H2223">
        <v>0</v>
      </c>
      <c r="I2223">
        <v>0.5213546</v>
      </c>
      <c r="J2223">
        <v>2012</v>
      </c>
      <c r="K2223">
        <v>9</v>
      </c>
      <c r="L2223">
        <v>17</v>
      </c>
      <c r="M2223" t="s">
        <v>92</v>
      </c>
      <c r="N2223">
        <v>0</v>
      </c>
      <c r="O2223">
        <v>0</v>
      </c>
    </row>
    <row r="2224" spans="1:15" x14ac:dyDescent="0.3">
      <c r="A2224">
        <v>2319</v>
      </c>
      <c r="B2224" s="34">
        <v>41170</v>
      </c>
      <c r="C2224">
        <v>1.31134</v>
      </c>
      <c r="D2224">
        <v>0</v>
      </c>
      <c r="F2224">
        <v>0.413579999999998</v>
      </c>
      <c r="G2224">
        <v>26.903499469777302</v>
      </c>
      <c r="H2224">
        <v>1</v>
      </c>
      <c r="I2224">
        <v>0.52156100000000005</v>
      </c>
      <c r="J2224">
        <v>2012</v>
      </c>
      <c r="K2224">
        <v>9</v>
      </c>
      <c r="L2224">
        <v>18</v>
      </c>
      <c r="M2224" t="s">
        <v>93</v>
      </c>
      <c r="N2224">
        <v>0</v>
      </c>
      <c r="O2224">
        <v>0</v>
      </c>
    </row>
    <row r="2225" spans="1:15" x14ac:dyDescent="0.3">
      <c r="A2225">
        <v>2320</v>
      </c>
      <c r="B2225" s="34">
        <v>41171</v>
      </c>
      <c r="C2225">
        <v>1.3043400000000001</v>
      </c>
      <c r="D2225">
        <v>0</v>
      </c>
      <c r="F2225">
        <v>0.413579999999998</v>
      </c>
      <c r="G2225">
        <v>26.903499469777302</v>
      </c>
      <c r="H2225">
        <v>1</v>
      </c>
      <c r="I2225">
        <v>0.52176730000000004</v>
      </c>
      <c r="J2225">
        <v>2012</v>
      </c>
      <c r="K2225">
        <v>9</v>
      </c>
      <c r="L2225">
        <v>19</v>
      </c>
      <c r="M2225" t="s">
        <v>89</v>
      </c>
      <c r="N2225">
        <v>0</v>
      </c>
      <c r="O2225">
        <v>0</v>
      </c>
    </row>
    <row r="2226" spans="1:15" x14ac:dyDescent="0.3">
      <c r="A2226">
        <v>2321</v>
      </c>
      <c r="B2226" s="34">
        <v>41172</v>
      </c>
      <c r="C2226">
        <v>1.3045500000000001</v>
      </c>
      <c r="D2226">
        <v>0</v>
      </c>
      <c r="F2226">
        <v>0.413579999999998</v>
      </c>
      <c r="G2226">
        <v>26.903499469777302</v>
      </c>
      <c r="H2226">
        <v>1</v>
      </c>
      <c r="I2226">
        <v>0.52197329999999997</v>
      </c>
      <c r="J2226">
        <v>2012</v>
      </c>
      <c r="K2226">
        <v>9</v>
      </c>
      <c r="L2226">
        <v>20</v>
      </c>
      <c r="M2226" t="s">
        <v>90</v>
      </c>
      <c r="N2226">
        <v>0</v>
      </c>
      <c r="O2226">
        <v>0</v>
      </c>
    </row>
    <row r="2227" spans="1:15" x14ac:dyDescent="0.3">
      <c r="A2227">
        <v>2322</v>
      </c>
      <c r="B2227" s="34">
        <v>41173</v>
      </c>
      <c r="C2227">
        <v>1.2964899999999999</v>
      </c>
      <c r="D2227">
        <v>0</v>
      </c>
      <c r="F2227">
        <v>0.413579999999998</v>
      </c>
      <c r="G2227">
        <v>26.903499469777302</v>
      </c>
      <c r="H2227">
        <v>0</v>
      </c>
      <c r="I2227">
        <v>0.52174849999999995</v>
      </c>
      <c r="J2227">
        <v>2012</v>
      </c>
      <c r="K2227">
        <v>9</v>
      </c>
      <c r="L2227">
        <v>21</v>
      </c>
      <c r="M2227" t="s">
        <v>91</v>
      </c>
      <c r="N2227">
        <v>0</v>
      </c>
      <c r="O2227">
        <v>0</v>
      </c>
    </row>
    <row r="2228" spans="1:15" x14ac:dyDescent="0.3">
      <c r="A2228">
        <v>2323</v>
      </c>
      <c r="B2228" s="34">
        <v>41176</v>
      </c>
      <c r="C2228">
        <v>1.2978799999999999</v>
      </c>
      <c r="D2228">
        <v>0</v>
      </c>
      <c r="F2228">
        <v>0.413579999999998</v>
      </c>
      <c r="G2228">
        <v>26.903499469777302</v>
      </c>
      <c r="H2228">
        <v>1</v>
      </c>
      <c r="I2228">
        <v>0.52195440000000004</v>
      </c>
      <c r="J2228">
        <v>2012</v>
      </c>
      <c r="K2228">
        <v>9</v>
      </c>
      <c r="L2228">
        <v>24</v>
      </c>
      <c r="M2228" t="s">
        <v>92</v>
      </c>
      <c r="N2228">
        <v>0</v>
      </c>
      <c r="O2228">
        <v>0</v>
      </c>
    </row>
    <row r="2229" spans="1:15" x14ac:dyDescent="0.3">
      <c r="A2229">
        <v>2324</v>
      </c>
      <c r="B2229" s="34">
        <v>41177</v>
      </c>
      <c r="C2229">
        <v>1.29304</v>
      </c>
      <c r="D2229">
        <v>0</v>
      </c>
      <c r="F2229">
        <v>0.413579999999998</v>
      </c>
      <c r="G2229">
        <v>26.903499469777302</v>
      </c>
      <c r="H2229">
        <v>0</v>
      </c>
      <c r="I2229">
        <v>0.52172980000000002</v>
      </c>
      <c r="J2229">
        <v>2012</v>
      </c>
      <c r="K2229">
        <v>9</v>
      </c>
      <c r="L2229">
        <v>25</v>
      </c>
      <c r="M2229" t="s">
        <v>93</v>
      </c>
      <c r="N2229">
        <v>0</v>
      </c>
      <c r="O2229">
        <v>0</v>
      </c>
    </row>
    <row r="2230" spans="1:15" x14ac:dyDescent="0.3">
      <c r="A2230">
        <v>2325</v>
      </c>
      <c r="B2230" s="34">
        <v>41178</v>
      </c>
      <c r="C2230">
        <v>1.29036</v>
      </c>
      <c r="D2230">
        <v>0</v>
      </c>
      <c r="F2230">
        <v>0.413579999999998</v>
      </c>
      <c r="G2230">
        <v>26.903499469777302</v>
      </c>
      <c r="H2230">
        <v>0</v>
      </c>
      <c r="I2230">
        <v>0.52150540000000001</v>
      </c>
      <c r="J2230">
        <v>2012</v>
      </c>
      <c r="K2230">
        <v>9</v>
      </c>
      <c r="L2230">
        <v>26</v>
      </c>
      <c r="M2230" t="s">
        <v>89</v>
      </c>
      <c r="N2230">
        <v>0</v>
      </c>
      <c r="O2230">
        <v>0</v>
      </c>
    </row>
    <row r="2231" spans="1:15" x14ac:dyDescent="0.3">
      <c r="A2231">
        <v>2326</v>
      </c>
      <c r="B2231" s="34">
        <v>41179</v>
      </c>
      <c r="C2231">
        <v>1.2873399999999999</v>
      </c>
      <c r="D2231">
        <v>0</v>
      </c>
      <c r="F2231">
        <v>0.413579999999998</v>
      </c>
      <c r="G2231">
        <v>26.903499469777302</v>
      </c>
      <c r="H2231">
        <v>0</v>
      </c>
      <c r="I2231">
        <v>0.5212812</v>
      </c>
      <c r="J2231">
        <v>2012</v>
      </c>
      <c r="K2231">
        <v>9</v>
      </c>
      <c r="L2231">
        <v>27</v>
      </c>
      <c r="M2231" t="s">
        <v>90</v>
      </c>
      <c r="N2231">
        <v>0</v>
      </c>
      <c r="O2231">
        <v>0</v>
      </c>
    </row>
    <row r="2232" spans="1:15" x14ac:dyDescent="0.3">
      <c r="A2232">
        <v>2327</v>
      </c>
      <c r="B2232" s="34">
        <v>41180</v>
      </c>
      <c r="C2232">
        <v>1.29139</v>
      </c>
      <c r="D2232">
        <v>0</v>
      </c>
      <c r="F2232">
        <v>0.413579999999998</v>
      </c>
      <c r="G2232">
        <v>26.903499469777302</v>
      </c>
      <c r="H2232">
        <v>1</v>
      </c>
      <c r="I2232">
        <v>0.52148689999999998</v>
      </c>
      <c r="J2232">
        <v>2012</v>
      </c>
      <c r="K2232">
        <v>9</v>
      </c>
      <c r="L2232">
        <v>28</v>
      </c>
      <c r="M2232" t="s">
        <v>91</v>
      </c>
      <c r="N2232">
        <v>0</v>
      </c>
      <c r="O2232">
        <v>0</v>
      </c>
    </row>
    <row r="2233" spans="1:15" x14ac:dyDescent="0.3">
      <c r="A2233">
        <v>2328</v>
      </c>
      <c r="B2233" s="34">
        <v>41183</v>
      </c>
      <c r="C2233">
        <v>1.2859499999999999</v>
      </c>
      <c r="D2233">
        <v>0</v>
      </c>
      <c r="F2233">
        <v>0.413579999999998</v>
      </c>
      <c r="G2233">
        <v>26.903499469777302</v>
      </c>
      <c r="H2233">
        <v>1</v>
      </c>
      <c r="I2233">
        <v>0.5216925</v>
      </c>
      <c r="J2233">
        <v>2012</v>
      </c>
      <c r="K2233">
        <v>10</v>
      </c>
      <c r="L2233">
        <v>1</v>
      </c>
      <c r="M2233" t="s">
        <v>92</v>
      </c>
      <c r="N2233">
        <v>0</v>
      </c>
      <c r="O2233">
        <v>0</v>
      </c>
    </row>
    <row r="2234" spans="1:15" x14ac:dyDescent="0.3">
      <c r="A2234">
        <v>2329</v>
      </c>
      <c r="B2234" s="34">
        <v>41184</v>
      </c>
      <c r="C2234">
        <v>1.2886</v>
      </c>
      <c r="D2234">
        <v>0</v>
      </c>
      <c r="F2234">
        <v>0.413579999999998</v>
      </c>
      <c r="G2234">
        <v>26.903499469777302</v>
      </c>
      <c r="H2234">
        <v>1</v>
      </c>
      <c r="I2234">
        <v>0.52189779999999997</v>
      </c>
      <c r="J2234">
        <v>2012</v>
      </c>
      <c r="K2234">
        <v>10</v>
      </c>
      <c r="L2234">
        <v>2</v>
      </c>
      <c r="M2234" t="s">
        <v>93</v>
      </c>
      <c r="N2234">
        <v>0</v>
      </c>
      <c r="O2234">
        <v>0</v>
      </c>
    </row>
    <row r="2235" spans="1:15" x14ac:dyDescent="0.3">
      <c r="A2235">
        <v>2330</v>
      </c>
      <c r="B2235" s="34">
        <v>41185</v>
      </c>
      <c r="C2235">
        <v>1.2916300000000001</v>
      </c>
      <c r="D2235">
        <v>-25</v>
      </c>
      <c r="F2235">
        <v>0.41435999999999801</v>
      </c>
      <c r="G2235">
        <v>26.765641569459198</v>
      </c>
      <c r="H2235">
        <v>0</v>
      </c>
      <c r="I2235">
        <v>0.52167379999999997</v>
      </c>
      <c r="J2235">
        <v>2012</v>
      </c>
      <c r="K2235">
        <v>10</v>
      </c>
      <c r="L2235">
        <v>3</v>
      </c>
      <c r="M2235" t="s">
        <v>89</v>
      </c>
      <c r="N2235">
        <v>0</v>
      </c>
      <c r="O2235">
        <v>0</v>
      </c>
    </row>
    <row r="2236" spans="1:15" x14ac:dyDescent="0.3">
      <c r="A2236">
        <v>2331</v>
      </c>
      <c r="B2236" s="34">
        <v>41186</v>
      </c>
      <c r="C2236">
        <v>1.2908500000000001</v>
      </c>
      <c r="D2236">
        <v>0</v>
      </c>
      <c r="F2236">
        <v>0.41435999999999801</v>
      </c>
      <c r="G2236">
        <v>26.765641569459198</v>
      </c>
      <c r="H2236">
        <v>1</v>
      </c>
      <c r="I2236">
        <v>0.52187899999999998</v>
      </c>
      <c r="J2236">
        <v>2012</v>
      </c>
      <c r="K2236">
        <v>10</v>
      </c>
      <c r="L2236">
        <v>4</v>
      </c>
      <c r="M2236" t="s">
        <v>90</v>
      </c>
      <c r="N2236">
        <v>0</v>
      </c>
      <c r="O2236">
        <v>0</v>
      </c>
    </row>
    <row r="2237" spans="1:15" x14ac:dyDescent="0.3">
      <c r="A2237">
        <v>2332</v>
      </c>
      <c r="B2237" s="34">
        <v>41187</v>
      </c>
      <c r="C2237">
        <v>1.3016399999999999</v>
      </c>
      <c r="D2237">
        <v>0</v>
      </c>
      <c r="F2237">
        <v>0.41435999999999801</v>
      </c>
      <c r="G2237">
        <v>26.765641569459198</v>
      </c>
      <c r="H2237">
        <v>0</v>
      </c>
      <c r="I2237">
        <v>0.52165519999999999</v>
      </c>
      <c r="J2237">
        <v>2012</v>
      </c>
      <c r="K2237">
        <v>10</v>
      </c>
      <c r="L2237">
        <v>5</v>
      </c>
      <c r="M2237" t="s">
        <v>91</v>
      </c>
      <c r="N2237">
        <v>0</v>
      </c>
      <c r="O2237">
        <v>0</v>
      </c>
    </row>
    <row r="2238" spans="1:15" x14ac:dyDescent="0.3">
      <c r="A2238">
        <v>2333</v>
      </c>
      <c r="B2238" s="34">
        <v>41190</v>
      </c>
      <c r="C2238">
        <v>1.3039099999999999</v>
      </c>
      <c r="D2238">
        <v>0</v>
      </c>
      <c r="F2238">
        <v>0.41435999999999801</v>
      </c>
      <c r="G2238">
        <v>26.765641569459198</v>
      </c>
      <c r="H2238">
        <v>0</v>
      </c>
      <c r="I2238">
        <v>0.5214316</v>
      </c>
      <c r="J2238">
        <v>2012</v>
      </c>
      <c r="K2238">
        <v>10</v>
      </c>
      <c r="L2238">
        <v>8</v>
      </c>
      <c r="M2238" t="s">
        <v>92</v>
      </c>
      <c r="N2238">
        <v>0</v>
      </c>
      <c r="O2238">
        <v>0</v>
      </c>
    </row>
    <row r="2239" spans="1:15" x14ac:dyDescent="0.3">
      <c r="A2239">
        <v>2334</v>
      </c>
      <c r="B2239" s="34">
        <v>41191</v>
      </c>
      <c r="C2239">
        <v>1.2966500000000001</v>
      </c>
      <c r="D2239">
        <v>0</v>
      </c>
      <c r="F2239">
        <v>0.41435999999999801</v>
      </c>
      <c r="G2239">
        <v>26.765641569459198</v>
      </c>
      <c r="H2239">
        <v>1</v>
      </c>
      <c r="I2239">
        <v>0.52163669999999995</v>
      </c>
      <c r="J2239">
        <v>2012</v>
      </c>
      <c r="K2239">
        <v>10</v>
      </c>
      <c r="L2239">
        <v>9</v>
      </c>
      <c r="M2239" t="s">
        <v>93</v>
      </c>
      <c r="N2239">
        <v>0</v>
      </c>
      <c r="O2239">
        <v>0</v>
      </c>
    </row>
    <row r="2240" spans="1:15" x14ac:dyDescent="0.3">
      <c r="A2240">
        <v>2335</v>
      </c>
      <c r="B2240" s="34">
        <v>41192</v>
      </c>
      <c r="C2240">
        <v>1.28837</v>
      </c>
      <c r="D2240">
        <v>0</v>
      </c>
      <c r="F2240">
        <v>0.41435999999999801</v>
      </c>
      <c r="G2240">
        <v>26.765641569459198</v>
      </c>
      <c r="H2240">
        <v>1</v>
      </c>
      <c r="I2240">
        <v>0.52184149999999996</v>
      </c>
      <c r="J2240">
        <v>2012</v>
      </c>
      <c r="K2240">
        <v>10</v>
      </c>
      <c r="L2240">
        <v>10</v>
      </c>
      <c r="M2240" t="s">
        <v>89</v>
      </c>
      <c r="N2240">
        <v>0</v>
      </c>
      <c r="O2240">
        <v>0</v>
      </c>
    </row>
    <row r="2241" spans="1:15" x14ac:dyDescent="0.3">
      <c r="A2241">
        <v>2336</v>
      </c>
      <c r="B2241" s="34">
        <v>41193</v>
      </c>
      <c r="C2241">
        <v>1.2850999999999999</v>
      </c>
      <c r="D2241">
        <v>0</v>
      </c>
      <c r="F2241">
        <v>0.41435999999999801</v>
      </c>
      <c r="G2241">
        <v>26.765641569459198</v>
      </c>
      <c r="H2241">
        <v>0</v>
      </c>
      <c r="I2241">
        <v>0.52161809999999997</v>
      </c>
      <c r="J2241">
        <v>2012</v>
      </c>
      <c r="K2241">
        <v>10</v>
      </c>
      <c r="L2241">
        <v>11</v>
      </c>
      <c r="M2241" t="s">
        <v>90</v>
      </c>
      <c r="N2241">
        <v>0</v>
      </c>
      <c r="O2241">
        <v>0</v>
      </c>
    </row>
    <row r="2242" spans="1:15" x14ac:dyDescent="0.3">
      <c r="A2242">
        <v>2337</v>
      </c>
      <c r="B2242" s="34">
        <v>41194</v>
      </c>
      <c r="C2242">
        <v>1.29298</v>
      </c>
      <c r="D2242">
        <v>0</v>
      </c>
      <c r="F2242">
        <v>0.41435999999999801</v>
      </c>
      <c r="G2242">
        <v>26.765641569459198</v>
      </c>
      <c r="H2242">
        <v>1</v>
      </c>
      <c r="I2242">
        <v>0.52182289999999998</v>
      </c>
      <c r="J2242">
        <v>2012</v>
      </c>
      <c r="K2242">
        <v>10</v>
      </c>
      <c r="L2242">
        <v>12</v>
      </c>
      <c r="M2242" t="s">
        <v>91</v>
      </c>
      <c r="N2242">
        <v>0</v>
      </c>
      <c r="O2242">
        <v>0</v>
      </c>
    </row>
    <row r="2243" spans="1:15" x14ac:dyDescent="0.3">
      <c r="A2243">
        <v>2338</v>
      </c>
      <c r="B2243" s="34">
        <v>41197</v>
      </c>
      <c r="C2243">
        <v>1.2950299999999999</v>
      </c>
      <c r="D2243">
        <v>0</v>
      </c>
      <c r="F2243">
        <v>0.41435999999999801</v>
      </c>
      <c r="G2243">
        <v>26.765641569459198</v>
      </c>
      <c r="H2243">
        <v>0</v>
      </c>
      <c r="I2243">
        <v>0.5215997</v>
      </c>
      <c r="J2243">
        <v>2012</v>
      </c>
      <c r="K2243">
        <v>10</v>
      </c>
      <c r="L2243">
        <v>15</v>
      </c>
      <c r="M2243" t="s">
        <v>92</v>
      </c>
      <c r="N2243">
        <v>0</v>
      </c>
      <c r="O2243">
        <v>0</v>
      </c>
    </row>
    <row r="2244" spans="1:15" x14ac:dyDescent="0.3">
      <c r="A2244">
        <v>2339</v>
      </c>
      <c r="B2244" s="34">
        <v>41198</v>
      </c>
      <c r="C2244">
        <v>1.2945599999999999</v>
      </c>
      <c r="D2244">
        <v>0</v>
      </c>
      <c r="F2244">
        <v>0.41435999999999801</v>
      </c>
      <c r="G2244">
        <v>26.765641569459198</v>
      </c>
      <c r="H2244">
        <v>1</v>
      </c>
      <c r="I2244">
        <v>0.52180420000000005</v>
      </c>
      <c r="J2244">
        <v>2012</v>
      </c>
      <c r="K2244">
        <v>10</v>
      </c>
      <c r="L2244">
        <v>16</v>
      </c>
      <c r="M2244" t="s">
        <v>93</v>
      </c>
      <c r="N2244">
        <v>0</v>
      </c>
      <c r="O2244">
        <v>0</v>
      </c>
    </row>
    <row r="2245" spans="1:15" x14ac:dyDescent="0.3">
      <c r="A2245">
        <v>2340</v>
      </c>
      <c r="B2245" s="34">
        <v>41199</v>
      </c>
      <c r="C2245">
        <v>1.3097700000000001</v>
      </c>
      <c r="D2245">
        <v>0</v>
      </c>
      <c r="F2245">
        <v>0.41435999999999801</v>
      </c>
      <c r="G2245">
        <v>26.765641569459198</v>
      </c>
      <c r="H2245">
        <v>0</v>
      </c>
      <c r="I2245">
        <v>0.52158119999999997</v>
      </c>
      <c r="J2245">
        <v>2012</v>
      </c>
      <c r="K2245">
        <v>10</v>
      </c>
      <c r="L2245">
        <v>17</v>
      </c>
      <c r="M2245" t="s">
        <v>89</v>
      </c>
      <c r="N2245">
        <v>0</v>
      </c>
      <c r="O2245">
        <v>0</v>
      </c>
    </row>
    <row r="2246" spans="1:15" x14ac:dyDescent="0.3">
      <c r="A2246">
        <v>2341</v>
      </c>
      <c r="B2246" s="34">
        <v>41200</v>
      </c>
      <c r="C2246">
        <v>1.31149</v>
      </c>
      <c r="D2246">
        <v>0</v>
      </c>
      <c r="F2246">
        <v>0.41435999999999801</v>
      </c>
      <c r="G2246">
        <v>26.765641569459198</v>
      </c>
      <c r="H2246">
        <v>0</v>
      </c>
      <c r="I2246">
        <v>0.5213584</v>
      </c>
      <c r="J2246">
        <v>2012</v>
      </c>
      <c r="K2246">
        <v>10</v>
      </c>
      <c r="L2246">
        <v>18</v>
      </c>
      <c r="M2246" t="s">
        <v>90</v>
      </c>
      <c r="N2246">
        <v>0</v>
      </c>
      <c r="O2246">
        <v>0</v>
      </c>
    </row>
    <row r="2247" spans="1:15" x14ac:dyDescent="0.3">
      <c r="A2247">
        <v>2342</v>
      </c>
      <c r="B2247" s="34">
        <v>41201</v>
      </c>
      <c r="C2247">
        <v>1.3068200000000001</v>
      </c>
      <c r="D2247">
        <v>0</v>
      </c>
      <c r="F2247">
        <v>0.41435999999999801</v>
      </c>
      <c r="G2247">
        <v>26.765641569459198</v>
      </c>
      <c r="H2247">
        <v>1</v>
      </c>
      <c r="I2247">
        <v>0.52156279999999999</v>
      </c>
      <c r="J2247">
        <v>2012</v>
      </c>
      <c r="K2247">
        <v>10</v>
      </c>
      <c r="L2247">
        <v>19</v>
      </c>
      <c r="M2247" t="s">
        <v>91</v>
      </c>
      <c r="N2247">
        <v>0</v>
      </c>
      <c r="O2247">
        <v>0</v>
      </c>
    </row>
    <row r="2248" spans="1:15" x14ac:dyDescent="0.3">
      <c r="A2248">
        <v>2343</v>
      </c>
      <c r="B2248" s="34">
        <v>41204</v>
      </c>
      <c r="C2248">
        <v>1.3023</v>
      </c>
      <c r="D2248">
        <v>0</v>
      </c>
      <c r="F2248">
        <v>0.41435999999999801</v>
      </c>
      <c r="G2248">
        <v>26.765641569459198</v>
      </c>
      <c r="H2248">
        <v>1</v>
      </c>
      <c r="I2248">
        <v>0.52176699999999998</v>
      </c>
      <c r="J2248">
        <v>2012</v>
      </c>
      <c r="K2248">
        <v>10</v>
      </c>
      <c r="L2248">
        <v>22</v>
      </c>
      <c r="M2248" t="s">
        <v>92</v>
      </c>
      <c r="N2248">
        <v>0</v>
      </c>
      <c r="O2248">
        <v>0</v>
      </c>
    </row>
    <row r="2249" spans="1:15" x14ac:dyDescent="0.3">
      <c r="A2249">
        <v>2344</v>
      </c>
      <c r="B2249" s="34">
        <v>41205</v>
      </c>
      <c r="C2249">
        <v>1.3064899999999999</v>
      </c>
      <c r="D2249">
        <v>-5</v>
      </c>
      <c r="F2249">
        <v>0.42246999999999801</v>
      </c>
      <c r="G2249">
        <v>25.332272887946299</v>
      </c>
      <c r="H2249">
        <v>0</v>
      </c>
      <c r="I2249">
        <v>0.52154440000000002</v>
      </c>
      <c r="J2249">
        <v>2012</v>
      </c>
      <c r="K2249">
        <v>10</v>
      </c>
      <c r="L2249">
        <v>23</v>
      </c>
      <c r="M2249" t="s">
        <v>93</v>
      </c>
      <c r="N2249">
        <v>0</v>
      </c>
      <c r="O2249">
        <v>0</v>
      </c>
    </row>
    <row r="2250" spans="1:15" x14ac:dyDescent="0.3">
      <c r="A2250">
        <v>2345</v>
      </c>
      <c r="B2250" s="34">
        <v>41206</v>
      </c>
      <c r="C2250">
        <v>1.2983800000000001</v>
      </c>
      <c r="D2250">
        <v>0</v>
      </c>
      <c r="F2250">
        <v>0.42246999999999801</v>
      </c>
      <c r="G2250">
        <v>25.332272887946299</v>
      </c>
      <c r="H2250">
        <v>1</v>
      </c>
      <c r="I2250">
        <v>0.5217484</v>
      </c>
      <c r="J2250">
        <v>2012</v>
      </c>
      <c r="K2250">
        <v>10</v>
      </c>
      <c r="L2250">
        <v>24</v>
      </c>
      <c r="M2250" t="s">
        <v>89</v>
      </c>
      <c r="N2250">
        <v>0</v>
      </c>
      <c r="O2250">
        <v>0</v>
      </c>
    </row>
    <row r="2251" spans="1:15" x14ac:dyDescent="0.3">
      <c r="A2251">
        <v>2346</v>
      </c>
      <c r="B2251" s="34">
        <v>41207</v>
      </c>
      <c r="C2251">
        <v>1.29698</v>
      </c>
      <c r="D2251">
        <v>0</v>
      </c>
      <c r="F2251">
        <v>0.42246999999999801</v>
      </c>
      <c r="G2251">
        <v>25.332272887946299</v>
      </c>
      <c r="H2251">
        <v>0</v>
      </c>
      <c r="I2251">
        <v>0.52152600000000005</v>
      </c>
      <c r="J2251">
        <v>2012</v>
      </c>
      <c r="K2251">
        <v>10</v>
      </c>
      <c r="L2251">
        <v>25</v>
      </c>
      <c r="M2251" t="s">
        <v>90</v>
      </c>
      <c r="N2251">
        <v>0</v>
      </c>
      <c r="O2251">
        <v>0</v>
      </c>
    </row>
    <row r="2252" spans="1:15" x14ac:dyDescent="0.3">
      <c r="A2252">
        <v>2347</v>
      </c>
      <c r="B2252" s="34">
        <v>41208</v>
      </c>
      <c r="C2252">
        <v>1.29416</v>
      </c>
      <c r="D2252">
        <v>0</v>
      </c>
      <c r="F2252">
        <v>0.42246999999999801</v>
      </c>
      <c r="G2252">
        <v>25.332272887946299</v>
      </c>
      <c r="H2252">
        <v>0</v>
      </c>
      <c r="I2252">
        <v>0.52130379999999998</v>
      </c>
      <c r="J2252">
        <v>2012</v>
      </c>
      <c r="K2252">
        <v>10</v>
      </c>
      <c r="L2252">
        <v>26</v>
      </c>
      <c r="M2252" t="s">
        <v>91</v>
      </c>
      <c r="N2252">
        <v>0</v>
      </c>
      <c r="O2252">
        <v>0</v>
      </c>
    </row>
    <row r="2253" spans="1:15" x14ac:dyDescent="0.3">
      <c r="A2253">
        <v>2348</v>
      </c>
      <c r="B2253" s="34">
        <v>41211</v>
      </c>
      <c r="C2253">
        <v>1.2938499999999999</v>
      </c>
      <c r="D2253">
        <v>0</v>
      </c>
      <c r="F2253">
        <v>0.42246999999999801</v>
      </c>
      <c r="G2253">
        <v>25.332272887946299</v>
      </c>
      <c r="H2253">
        <v>0</v>
      </c>
      <c r="I2253">
        <v>0.52108169999999998</v>
      </c>
      <c r="J2253">
        <v>2012</v>
      </c>
      <c r="K2253">
        <v>10</v>
      </c>
      <c r="L2253">
        <v>29</v>
      </c>
      <c r="M2253" t="s">
        <v>92</v>
      </c>
      <c r="N2253">
        <v>0</v>
      </c>
      <c r="O2253">
        <v>0</v>
      </c>
    </row>
    <row r="2254" spans="1:15" x14ac:dyDescent="0.3">
      <c r="A2254">
        <v>2349</v>
      </c>
      <c r="B2254" s="34">
        <v>41212</v>
      </c>
      <c r="C2254">
        <v>1.2903199999999999</v>
      </c>
      <c r="D2254">
        <v>0</v>
      </c>
      <c r="F2254">
        <v>0.42246999999999801</v>
      </c>
      <c r="G2254">
        <v>25.332272887946299</v>
      </c>
      <c r="H2254">
        <v>1</v>
      </c>
      <c r="I2254">
        <v>0.52128569999999996</v>
      </c>
      <c r="J2254">
        <v>2012</v>
      </c>
      <c r="K2254">
        <v>10</v>
      </c>
      <c r="L2254">
        <v>30</v>
      </c>
      <c r="M2254" t="s">
        <v>93</v>
      </c>
      <c r="N2254">
        <v>0</v>
      </c>
      <c r="O2254">
        <v>0</v>
      </c>
    </row>
    <row r="2255" spans="1:15" x14ac:dyDescent="0.3">
      <c r="A2255">
        <v>2350</v>
      </c>
      <c r="B2255" s="34">
        <v>41213</v>
      </c>
      <c r="C2255">
        <v>1.2966200000000001</v>
      </c>
      <c r="D2255">
        <v>0</v>
      </c>
      <c r="F2255">
        <v>0.42246999999999801</v>
      </c>
      <c r="G2255">
        <v>25.332272887946299</v>
      </c>
      <c r="H2255">
        <v>1</v>
      </c>
      <c r="I2255">
        <v>0.52148939999999999</v>
      </c>
      <c r="J2255">
        <v>2012</v>
      </c>
      <c r="K2255">
        <v>10</v>
      </c>
      <c r="L2255">
        <v>31</v>
      </c>
      <c r="M2255" t="s">
        <v>89</v>
      </c>
      <c r="N2255">
        <v>0</v>
      </c>
      <c r="O2255">
        <v>0</v>
      </c>
    </row>
    <row r="2256" spans="1:15" x14ac:dyDescent="0.3">
      <c r="A2256">
        <v>2351</v>
      </c>
      <c r="B2256" s="34">
        <v>41214</v>
      </c>
      <c r="C2256">
        <v>1.29582</v>
      </c>
      <c r="D2256">
        <v>0</v>
      </c>
      <c r="F2256">
        <v>0.42246999999999801</v>
      </c>
      <c r="G2256">
        <v>25.332272887946299</v>
      </c>
      <c r="H2256">
        <v>1</v>
      </c>
      <c r="I2256">
        <v>0.52169290000000001</v>
      </c>
      <c r="J2256">
        <v>2012</v>
      </c>
      <c r="K2256">
        <v>11</v>
      </c>
      <c r="L2256">
        <v>1</v>
      </c>
      <c r="M2256" t="s">
        <v>90</v>
      </c>
      <c r="N2256">
        <v>0</v>
      </c>
      <c r="O2256">
        <v>0</v>
      </c>
    </row>
    <row r="2257" spans="1:15" x14ac:dyDescent="0.3">
      <c r="A2257">
        <v>2352</v>
      </c>
      <c r="B2257" s="34">
        <v>41215</v>
      </c>
      <c r="C2257">
        <v>1.29467</v>
      </c>
      <c r="D2257">
        <v>0</v>
      </c>
      <c r="F2257">
        <v>0.42246999999999801</v>
      </c>
      <c r="G2257">
        <v>25.332272887946299</v>
      </c>
      <c r="H2257">
        <v>1</v>
      </c>
      <c r="I2257">
        <v>0.52189620000000003</v>
      </c>
      <c r="J2257">
        <v>2012</v>
      </c>
      <c r="K2257">
        <v>11</v>
      </c>
      <c r="L2257">
        <v>2</v>
      </c>
      <c r="M2257" t="s">
        <v>91</v>
      </c>
      <c r="N2257">
        <v>0</v>
      </c>
      <c r="O2257">
        <v>0</v>
      </c>
    </row>
    <row r="2258" spans="1:15" x14ac:dyDescent="0.3">
      <c r="A2258">
        <v>2353</v>
      </c>
      <c r="B2258" s="34">
        <v>41218</v>
      </c>
      <c r="C2258">
        <v>1.2833300000000001</v>
      </c>
      <c r="D2258">
        <v>0</v>
      </c>
      <c r="F2258">
        <v>0.42246999999999801</v>
      </c>
      <c r="G2258">
        <v>25.332272887946299</v>
      </c>
      <c r="H2258">
        <v>1</v>
      </c>
      <c r="I2258">
        <v>0.52209939999999999</v>
      </c>
      <c r="J2258">
        <v>2012</v>
      </c>
      <c r="K2258">
        <v>11</v>
      </c>
      <c r="L2258">
        <v>5</v>
      </c>
      <c r="M2258" t="s">
        <v>92</v>
      </c>
      <c r="N2258">
        <v>0</v>
      </c>
      <c r="O2258">
        <v>0</v>
      </c>
    </row>
    <row r="2259" spans="1:15" x14ac:dyDescent="0.3">
      <c r="A2259">
        <v>2354</v>
      </c>
      <c r="B2259" s="34">
        <v>41219</v>
      </c>
      <c r="C2259">
        <v>1.2796700000000001</v>
      </c>
      <c r="D2259">
        <v>0</v>
      </c>
      <c r="F2259">
        <v>0.42246999999999801</v>
      </c>
      <c r="G2259">
        <v>25.332272887946299</v>
      </c>
      <c r="H2259">
        <v>0</v>
      </c>
      <c r="I2259">
        <v>0.52187760000000005</v>
      </c>
      <c r="J2259">
        <v>2012</v>
      </c>
      <c r="K2259">
        <v>11</v>
      </c>
      <c r="L2259">
        <v>6</v>
      </c>
      <c r="M2259" t="s">
        <v>93</v>
      </c>
      <c r="N2259">
        <v>0</v>
      </c>
      <c r="O2259">
        <v>0</v>
      </c>
    </row>
    <row r="2260" spans="1:15" x14ac:dyDescent="0.3">
      <c r="A2260">
        <v>2355</v>
      </c>
      <c r="B2260" s="34">
        <v>41220</v>
      </c>
      <c r="C2260">
        <v>1.2808999999999999</v>
      </c>
      <c r="D2260">
        <v>0</v>
      </c>
      <c r="F2260">
        <v>0.42246999999999801</v>
      </c>
      <c r="G2260">
        <v>25.332272887946299</v>
      </c>
      <c r="H2260">
        <v>1</v>
      </c>
      <c r="I2260">
        <v>0.52208069999999995</v>
      </c>
      <c r="J2260">
        <v>2012</v>
      </c>
      <c r="K2260">
        <v>11</v>
      </c>
      <c r="L2260">
        <v>7</v>
      </c>
      <c r="M2260" t="s">
        <v>89</v>
      </c>
      <c r="N2260">
        <v>0</v>
      </c>
      <c r="O2260">
        <v>0</v>
      </c>
    </row>
    <row r="2261" spans="1:15" x14ac:dyDescent="0.3">
      <c r="A2261">
        <v>2356</v>
      </c>
      <c r="B2261" s="34">
        <v>41221</v>
      </c>
      <c r="C2261">
        <v>1.27705</v>
      </c>
      <c r="D2261">
        <v>2</v>
      </c>
      <c r="E2261" t="s">
        <v>404</v>
      </c>
      <c r="F2261">
        <v>0.41976999999999798</v>
      </c>
      <c r="G2261">
        <v>25.8094733121244</v>
      </c>
      <c r="H2261">
        <v>1</v>
      </c>
      <c r="I2261">
        <v>0.52228359999999996</v>
      </c>
      <c r="J2261">
        <v>2012</v>
      </c>
      <c r="K2261">
        <v>11</v>
      </c>
      <c r="L2261">
        <v>8</v>
      </c>
      <c r="M2261" t="s">
        <v>90</v>
      </c>
      <c r="N2261">
        <v>0</v>
      </c>
      <c r="O2261">
        <v>0</v>
      </c>
    </row>
    <row r="2262" spans="1:15" x14ac:dyDescent="0.3">
      <c r="A2262">
        <v>2357</v>
      </c>
      <c r="B2262" s="34">
        <v>41222</v>
      </c>
      <c r="C2262">
        <v>1.2743500000000001</v>
      </c>
      <c r="D2262">
        <v>0</v>
      </c>
      <c r="F2262">
        <v>0.41976999999999798</v>
      </c>
      <c r="G2262">
        <v>25.8094733121244</v>
      </c>
      <c r="H2262">
        <v>0</v>
      </c>
      <c r="I2262">
        <v>0.52206189999999997</v>
      </c>
      <c r="J2262">
        <v>2012</v>
      </c>
      <c r="K2262">
        <v>11</v>
      </c>
      <c r="L2262">
        <v>9</v>
      </c>
      <c r="M2262" t="s">
        <v>91</v>
      </c>
      <c r="N2262">
        <v>0</v>
      </c>
      <c r="O2262">
        <v>0</v>
      </c>
    </row>
    <row r="2263" spans="1:15" x14ac:dyDescent="0.3">
      <c r="A2263">
        <v>2358</v>
      </c>
      <c r="B2263" s="34">
        <v>41225</v>
      </c>
      <c r="C2263">
        <v>1.2710600000000001</v>
      </c>
      <c r="D2263">
        <v>0</v>
      </c>
      <c r="F2263">
        <v>0.41976999999999798</v>
      </c>
      <c r="G2263">
        <v>25.8094733121244</v>
      </c>
      <c r="H2263">
        <v>1</v>
      </c>
      <c r="I2263">
        <v>0.52226470000000003</v>
      </c>
      <c r="J2263">
        <v>2012</v>
      </c>
      <c r="K2263">
        <v>11</v>
      </c>
      <c r="L2263">
        <v>12</v>
      </c>
      <c r="M2263" t="s">
        <v>92</v>
      </c>
      <c r="N2263">
        <v>0</v>
      </c>
      <c r="O2263">
        <v>0</v>
      </c>
    </row>
    <row r="2264" spans="1:15" x14ac:dyDescent="0.3">
      <c r="A2264">
        <v>2359</v>
      </c>
      <c r="B2264" s="34">
        <v>41226</v>
      </c>
      <c r="C2264">
        <v>1.2706900000000001</v>
      </c>
      <c r="D2264">
        <v>0</v>
      </c>
      <c r="F2264">
        <v>0.41976999999999798</v>
      </c>
      <c r="G2264">
        <v>25.8094733121244</v>
      </c>
      <c r="H2264">
        <v>0</v>
      </c>
      <c r="I2264">
        <v>0.52204320000000004</v>
      </c>
      <c r="J2264">
        <v>2012</v>
      </c>
      <c r="K2264">
        <v>11</v>
      </c>
      <c r="L2264">
        <v>13</v>
      </c>
      <c r="M2264" t="s">
        <v>93</v>
      </c>
      <c r="N2264">
        <v>0</v>
      </c>
      <c r="O2264">
        <v>0</v>
      </c>
    </row>
    <row r="2265" spans="1:15" x14ac:dyDescent="0.3">
      <c r="A2265">
        <v>2360</v>
      </c>
      <c r="B2265" s="34">
        <v>41227</v>
      </c>
      <c r="C2265">
        <v>1.27017</v>
      </c>
      <c r="D2265">
        <v>0</v>
      </c>
      <c r="F2265">
        <v>0.41976999999999798</v>
      </c>
      <c r="G2265">
        <v>25.8094733121244</v>
      </c>
      <c r="H2265">
        <v>0</v>
      </c>
      <c r="I2265">
        <v>0.52182200000000001</v>
      </c>
      <c r="J2265">
        <v>2012</v>
      </c>
      <c r="K2265">
        <v>11</v>
      </c>
      <c r="L2265">
        <v>14</v>
      </c>
      <c r="M2265" t="s">
        <v>89</v>
      </c>
      <c r="N2265">
        <v>0</v>
      </c>
      <c r="O2265">
        <v>0</v>
      </c>
    </row>
    <row r="2266" spans="1:15" x14ac:dyDescent="0.3">
      <c r="A2266">
        <v>2361</v>
      </c>
      <c r="B2266" s="34">
        <v>41228</v>
      </c>
      <c r="C2266">
        <v>1.2732399999999999</v>
      </c>
      <c r="D2266">
        <v>0</v>
      </c>
      <c r="F2266">
        <v>0.41976999999999798</v>
      </c>
      <c r="G2266">
        <v>25.8094733121244</v>
      </c>
      <c r="H2266">
        <v>0</v>
      </c>
      <c r="I2266">
        <v>0.52160099999999998</v>
      </c>
      <c r="J2266">
        <v>2012</v>
      </c>
      <c r="K2266">
        <v>11</v>
      </c>
      <c r="L2266">
        <v>15</v>
      </c>
      <c r="M2266" t="s">
        <v>90</v>
      </c>
      <c r="N2266">
        <v>0</v>
      </c>
      <c r="O2266">
        <v>0</v>
      </c>
    </row>
    <row r="2267" spans="1:15" x14ac:dyDescent="0.3">
      <c r="A2267">
        <v>2362</v>
      </c>
      <c r="B2267" s="34">
        <v>41229</v>
      </c>
      <c r="C2267">
        <v>1.2780100000000001</v>
      </c>
      <c r="D2267">
        <v>0</v>
      </c>
      <c r="F2267">
        <v>0.41976999999999798</v>
      </c>
      <c r="G2267">
        <v>25.8094733121244</v>
      </c>
      <c r="H2267">
        <v>0</v>
      </c>
      <c r="I2267">
        <v>0.52138019999999996</v>
      </c>
      <c r="J2267">
        <v>2012</v>
      </c>
      <c r="K2267">
        <v>11</v>
      </c>
      <c r="L2267">
        <v>16</v>
      </c>
      <c r="M2267" t="s">
        <v>91</v>
      </c>
      <c r="N2267">
        <v>0</v>
      </c>
      <c r="O2267">
        <v>0</v>
      </c>
    </row>
    <row r="2268" spans="1:15" x14ac:dyDescent="0.3">
      <c r="A2268">
        <v>2363</v>
      </c>
      <c r="B2268" s="34">
        <v>41232</v>
      </c>
      <c r="C2268">
        <v>1.2741800000000001</v>
      </c>
      <c r="D2268">
        <v>0</v>
      </c>
      <c r="F2268">
        <v>0.41976999999999798</v>
      </c>
      <c r="G2268">
        <v>25.8094733121244</v>
      </c>
      <c r="H2268">
        <v>1</v>
      </c>
      <c r="I2268">
        <v>0.52158269999999995</v>
      </c>
      <c r="J2268">
        <v>2012</v>
      </c>
      <c r="K2268">
        <v>11</v>
      </c>
      <c r="L2268">
        <v>19</v>
      </c>
      <c r="M2268" t="s">
        <v>92</v>
      </c>
      <c r="N2268">
        <v>0</v>
      </c>
      <c r="O2268">
        <v>0</v>
      </c>
    </row>
    <row r="2269" spans="1:15" x14ac:dyDescent="0.3">
      <c r="A2269">
        <v>2364</v>
      </c>
      <c r="B2269" s="34">
        <v>41233</v>
      </c>
      <c r="C2269">
        <v>1.2780800000000001</v>
      </c>
      <c r="D2269">
        <v>0</v>
      </c>
      <c r="F2269">
        <v>0.41976999999999798</v>
      </c>
      <c r="G2269">
        <v>25.8094733121244</v>
      </c>
      <c r="H2269">
        <v>0</v>
      </c>
      <c r="I2269">
        <v>0.52136210000000005</v>
      </c>
      <c r="J2269">
        <v>2012</v>
      </c>
      <c r="K2269">
        <v>11</v>
      </c>
      <c r="L2269">
        <v>20</v>
      </c>
      <c r="M2269" t="s">
        <v>93</v>
      </c>
      <c r="N2269">
        <v>0</v>
      </c>
      <c r="O2269">
        <v>0</v>
      </c>
    </row>
    <row r="2270" spans="1:15" x14ac:dyDescent="0.3">
      <c r="A2270">
        <v>2365</v>
      </c>
      <c r="B2270" s="34">
        <v>41234</v>
      </c>
      <c r="C2270">
        <v>1.2813399999999999</v>
      </c>
      <c r="D2270">
        <v>0</v>
      </c>
      <c r="F2270">
        <v>0.41976999999999798</v>
      </c>
      <c r="G2270">
        <v>25.8094733121244</v>
      </c>
      <c r="H2270">
        <v>0</v>
      </c>
      <c r="I2270">
        <v>0.52114159999999998</v>
      </c>
      <c r="J2270">
        <v>2012</v>
      </c>
      <c r="K2270">
        <v>11</v>
      </c>
      <c r="L2270">
        <v>21</v>
      </c>
      <c r="M2270" t="s">
        <v>89</v>
      </c>
      <c r="N2270">
        <v>0</v>
      </c>
      <c r="O2270">
        <v>0</v>
      </c>
    </row>
    <row r="2271" spans="1:15" x14ac:dyDescent="0.3">
      <c r="A2271">
        <v>2366</v>
      </c>
      <c r="B2271" s="34">
        <v>41235</v>
      </c>
      <c r="C2271">
        <v>1.28268</v>
      </c>
      <c r="D2271">
        <v>0</v>
      </c>
      <c r="F2271">
        <v>0.41976999999999798</v>
      </c>
      <c r="G2271">
        <v>25.8094733121244</v>
      </c>
      <c r="H2271">
        <v>0</v>
      </c>
      <c r="I2271">
        <v>0.52092139999999998</v>
      </c>
      <c r="J2271">
        <v>2012</v>
      </c>
      <c r="K2271">
        <v>11</v>
      </c>
      <c r="L2271">
        <v>22</v>
      </c>
      <c r="M2271" t="s">
        <v>90</v>
      </c>
      <c r="N2271">
        <v>0</v>
      </c>
      <c r="O2271">
        <v>0</v>
      </c>
    </row>
    <row r="2272" spans="1:15" x14ac:dyDescent="0.3">
      <c r="A2272">
        <v>2367</v>
      </c>
      <c r="B2272" s="34">
        <v>41236</v>
      </c>
      <c r="C2272">
        <v>1.288</v>
      </c>
      <c r="D2272">
        <v>0</v>
      </c>
      <c r="F2272">
        <v>0.41976999999999798</v>
      </c>
      <c r="G2272">
        <v>25.8094733121244</v>
      </c>
      <c r="H2272">
        <v>0</v>
      </c>
      <c r="I2272">
        <v>0.52070130000000003</v>
      </c>
      <c r="J2272">
        <v>2012</v>
      </c>
      <c r="K2272">
        <v>11</v>
      </c>
      <c r="L2272">
        <v>23</v>
      </c>
      <c r="M2272" t="s">
        <v>91</v>
      </c>
      <c r="N2272">
        <v>0</v>
      </c>
      <c r="O2272">
        <v>0</v>
      </c>
    </row>
    <row r="2273" spans="1:15" x14ac:dyDescent="0.3">
      <c r="A2273">
        <v>2368</v>
      </c>
      <c r="B2273" s="34">
        <v>41239</v>
      </c>
      <c r="C2273">
        <v>1.2972900000000001</v>
      </c>
      <c r="D2273">
        <v>0</v>
      </c>
      <c r="F2273">
        <v>0.41976999999999798</v>
      </c>
      <c r="G2273">
        <v>25.8094733121244</v>
      </c>
      <c r="H2273">
        <v>0</v>
      </c>
      <c r="I2273">
        <v>0.52048139999999998</v>
      </c>
      <c r="J2273">
        <v>2012</v>
      </c>
      <c r="K2273">
        <v>11</v>
      </c>
      <c r="L2273">
        <v>26</v>
      </c>
      <c r="M2273" t="s">
        <v>92</v>
      </c>
      <c r="N2273">
        <v>0</v>
      </c>
      <c r="O2273">
        <v>0</v>
      </c>
    </row>
    <row r="2274" spans="1:15" x14ac:dyDescent="0.3">
      <c r="A2274">
        <v>2369</v>
      </c>
      <c r="B2274" s="34">
        <v>41240</v>
      </c>
      <c r="C2274">
        <v>1.2993399999999999</v>
      </c>
      <c r="D2274">
        <v>0</v>
      </c>
      <c r="F2274">
        <v>0.41976999999999798</v>
      </c>
      <c r="G2274">
        <v>25.8094733121244</v>
      </c>
      <c r="H2274">
        <v>0</v>
      </c>
      <c r="I2274">
        <v>0.52026170000000005</v>
      </c>
      <c r="J2274">
        <v>2012</v>
      </c>
      <c r="K2274">
        <v>11</v>
      </c>
      <c r="L2274">
        <v>27</v>
      </c>
      <c r="M2274" t="s">
        <v>93</v>
      </c>
      <c r="N2274">
        <v>0</v>
      </c>
      <c r="O2274">
        <v>0</v>
      </c>
    </row>
    <row r="2275" spans="1:15" x14ac:dyDescent="0.3">
      <c r="A2275">
        <v>2370</v>
      </c>
      <c r="B2275" s="34">
        <v>41241</v>
      </c>
      <c r="C2275">
        <v>1.29369</v>
      </c>
      <c r="D2275">
        <v>0</v>
      </c>
      <c r="F2275">
        <v>0.41976999999999798</v>
      </c>
      <c r="G2275">
        <v>25.8094733121244</v>
      </c>
      <c r="H2275">
        <v>1</v>
      </c>
      <c r="I2275">
        <v>0.52046409999999999</v>
      </c>
      <c r="J2275">
        <v>2012</v>
      </c>
      <c r="K2275">
        <v>11</v>
      </c>
      <c r="L2275">
        <v>28</v>
      </c>
      <c r="M2275" t="s">
        <v>89</v>
      </c>
      <c r="N2275">
        <v>0</v>
      </c>
      <c r="O2275">
        <v>0</v>
      </c>
    </row>
    <row r="2276" spans="1:15" x14ac:dyDescent="0.3">
      <c r="A2276">
        <v>2371</v>
      </c>
      <c r="B2276" s="34">
        <v>41242</v>
      </c>
      <c r="C2276">
        <v>1.2949600000000001</v>
      </c>
      <c r="D2276">
        <v>0</v>
      </c>
      <c r="F2276">
        <v>0.41976999999999798</v>
      </c>
      <c r="G2276">
        <v>25.8094733121244</v>
      </c>
      <c r="H2276">
        <v>1</v>
      </c>
      <c r="I2276">
        <v>0.52066639999999997</v>
      </c>
      <c r="J2276">
        <v>2012</v>
      </c>
      <c r="K2276">
        <v>11</v>
      </c>
      <c r="L2276">
        <v>29</v>
      </c>
      <c r="M2276" t="s">
        <v>90</v>
      </c>
      <c r="N2276">
        <v>0</v>
      </c>
      <c r="O2276">
        <v>0</v>
      </c>
    </row>
    <row r="2277" spans="1:15" x14ac:dyDescent="0.3">
      <c r="A2277">
        <v>2372</v>
      </c>
      <c r="B2277" s="34">
        <v>41243</v>
      </c>
      <c r="C2277">
        <v>1.29765</v>
      </c>
      <c r="D2277">
        <v>0</v>
      </c>
      <c r="F2277">
        <v>0.41976999999999798</v>
      </c>
      <c r="G2277">
        <v>25.8094733121244</v>
      </c>
      <c r="H2277">
        <v>0</v>
      </c>
      <c r="I2277">
        <v>0.52044690000000005</v>
      </c>
      <c r="J2277">
        <v>2012</v>
      </c>
      <c r="K2277">
        <v>11</v>
      </c>
      <c r="L2277">
        <v>30</v>
      </c>
      <c r="M2277" t="s">
        <v>91</v>
      </c>
      <c r="N2277">
        <v>0</v>
      </c>
      <c r="O2277">
        <v>0</v>
      </c>
    </row>
    <row r="2278" spans="1:15" x14ac:dyDescent="0.3">
      <c r="A2278">
        <v>2373</v>
      </c>
      <c r="B2278" s="34">
        <v>41246</v>
      </c>
      <c r="C2278">
        <v>1.2984800000000001</v>
      </c>
      <c r="D2278">
        <v>0</v>
      </c>
      <c r="F2278">
        <v>0.41976999999999798</v>
      </c>
      <c r="G2278">
        <v>25.8094733121244</v>
      </c>
      <c r="H2278">
        <v>0</v>
      </c>
      <c r="I2278">
        <v>0.52022760000000001</v>
      </c>
      <c r="J2278">
        <v>2012</v>
      </c>
      <c r="K2278">
        <v>12</v>
      </c>
      <c r="L2278">
        <v>3</v>
      </c>
      <c r="M2278" t="s">
        <v>92</v>
      </c>
      <c r="N2278">
        <v>0</v>
      </c>
      <c r="O2278">
        <v>0</v>
      </c>
    </row>
    <row r="2279" spans="1:15" x14ac:dyDescent="0.3">
      <c r="A2279">
        <v>2374</v>
      </c>
      <c r="B2279" s="34">
        <v>41247</v>
      </c>
      <c r="C2279">
        <v>1.3058700000000001</v>
      </c>
      <c r="D2279">
        <v>0</v>
      </c>
      <c r="F2279">
        <v>0.41976999999999798</v>
      </c>
      <c r="G2279">
        <v>25.8094733121244</v>
      </c>
      <c r="H2279">
        <v>0</v>
      </c>
      <c r="I2279">
        <v>0.52000840000000004</v>
      </c>
      <c r="J2279">
        <v>2012</v>
      </c>
      <c r="K2279">
        <v>12</v>
      </c>
      <c r="L2279">
        <v>4</v>
      </c>
      <c r="M2279" t="s">
        <v>93</v>
      </c>
      <c r="N2279">
        <v>0</v>
      </c>
      <c r="O2279">
        <v>0</v>
      </c>
    </row>
    <row r="2280" spans="1:15" x14ac:dyDescent="0.3">
      <c r="A2280">
        <v>2375</v>
      </c>
      <c r="B2280" s="34">
        <v>41248</v>
      </c>
      <c r="C2280">
        <v>1.30935</v>
      </c>
      <c r="D2280">
        <v>0</v>
      </c>
      <c r="F2280">
        <v>0.41976999999999798</v>
      </c>
      <c r="G2280">
        <v>25.8094733121244</v>
      </c>
      <c r="H2280">
        <v>0</v>
      </c>
      <c r="I2280">
        <v>0.51978950000000002</v>
      </c>
      <c r="J2280">
        <v>2012</v>
      </c>
      <c r="K2280">
        <v>12</v>
      </c>
      <c r="L2280">
        <v>5</v>
      </c>
      <c r="M2280" t="s">
        <v>89</v>
      </c>
      <c r="N2280">
        <v>0</v>
      </c>
      <c r="O2280">
        <v>0</v>
      </c>
    </row>
    <row r="2281" spans="1:15" x14ac:dyDescent="0.3">
      <c r="A2281">
        <v>2376</v>
      </c>
      <c r="B2281" s="34">
        <v>41249</v>
      </c>
      <c r="C2281">
        <v>1.30701</v>
      </c>
      <c r="D2281">
        <v>0</v>
      </c>
      <c r="F2281">
        <v>0.41976999999999798</v>
      </c>
      <c r="G2281">
        <v>25.8094733121244</v>
      </c>
      <c r="H2281">
        <v>1</v>
      </c>
      <c r="I2281">
        <v>0.5199916</v>
      </c>
      <c r="J2281">
        <v>2012</v>
      </c>
      <c r="K2281">
        <v>12</v>
      </c>
      <c r="L2281">
        <v>6</v>
      </c>
      <c r="M2281" t="s">
        <v>90</v>
      </c>
      <c r="N2281">
        <v>0</v>
      </c>
      <c r="O2281">
        <v>0</v>
      </c>
    </row>
    <row r="2282" spans="1:15" x14ac:dyDescent="0.3">
      <c r="A2282">
        <v>2377</v>
      </c>
      <c r="B2282" s="34">
        <v>41250</v>
      </c>
      <c r="C2282">
        <v>1.2957099999999999</v>
      </c>
      <c r="D2282">
        <v>0</v>
      </c>
      <c r="F2282">
        <v>0.41976999999999798</v>
      </c>
      <c r="G2282">
        <v>25.8094733121244</v>
      </c>
      <c r="H2282">
        <v>1</v>
      </c>
      <c r="I2282">
        <v>0.52019349999999998</v>
      </c>
      <c r="J2282">
        <v>2012</v>
      </c>
      <c r="K2282">
        <v>12</v>
      </c>
      <c r="L2282">
        <v>7</v>
      </c>
      <c r="M2282" t="s">
        <v>91</v>
      </c>
      <c r="N2282">
        <v>0</v>
      </c>
      <c r="O2282">
        <v>0</v>
      </c>
    </row>
    <row r="2283" spans="1:15" x14ac:dyDescent="0.3">
      <c r="A2283">
        <v>2378</v>
      </c>
      <c r="B2283" s="34">
        <v>41253</v>
      </c>
      <c r="C2283">
        <v>1.29261</v>
      </c>
      <c r="D2283">
        <v>0</v>
      </c>
      <c r="F2283">
        <v>0.41976999999999798</v>
      </c>
      <c r="G2283">
        <v>25.8094733121244</v>
      </c>
      <c r="H2283">
        <v>0</v>
      </c>
      <c r="I2283">
        <v>0.51997479999999996</v>
      </c>
      <c r="J2283">
        <v>2012</v>
      </c>
      <c r="K2283">
        <v>12</v>
      </c>
      <c r="L2283">
        <v>10</v>
      </c>
      <c r="M2283" t="s">
        <v>92</v>
      </c>
      <c r="N2283">
        <v>0</v>
      </c>
      <c r="O2283">
        <v>0</v>
      </c>
    </row>
    <row r="2284" spans="1:15" x14ac:dyDescent="0.3">
      <c r="A2284">
        <v>2379</v>
      </c>
      <c r="B2284" s="34">
        <v>41254</v>
      </c>
      <c r="C2284">
        <v>1.294</v>
      </c>
      <c r="D2284">
        <v>0</v>
      </c>
      <c r="F2284">
        <v>0.41976999999999798</v>
      </c>
      <c r="G2284">
        <v>25.8094733121244</v>
      </c>
      <c r="H2284">
        <v>1</v>
      </c>
      <c r="I2284">
        <v>0.52017650000000004</v>
      </c>
      <c r="J2284">
        <v>2012</v>
      </c>
      <c r="K2284">
        <v>12</v>
      </c>
      <c r="L2284">
        <v>11</v>
      </c>
      <c r="M2284" t="s">
        <v>93</v>
      </c>
      <c r="N2284">
        <v>0</v>
      </c>
      <c r="O2284">
        <v>0</v>
      </c>
    </row>
    <row r="2285" spans="1:15" x14ac:dyDescent="0.3">
      <c r="A2285">
        <v>2380</v>
      </c>
      <c r="B2285" s="34">
        <v>41255</v>
      </c>
      <c r="C2285">
        <v>1.30078</v>
      </c>
      <c r="D2285">
        <v>-4</v>
      </c>
      <c r="F2285">
        <v>0.41356999999999799</v>
      </c>
      <c r="G2285">
        <v>26.9052668787558</v>
      </c>
      <c r="H2285">
        <v>0</v>
      </c>
      <c r="I2285">
        <v>0.51995800000000003</v>
      </c>
      <c r="J2285">
        <v>2012</v>
      </c>
      <c r="K2285">
        <v>12</v>
      </c>
      <c r="L2285">
        <v>12</v>
      </c>
      <c r="M2285" t="s">
        <v>89</v>
      </c>
      <c r="N2285">
        <v>0</v>
      </c>
      <c r="O2285">
        <v>0</v>
      </c>
    </row>
    <row r="2286" spans="1:15" x14ac:dyDescent="0.3">
      <c r="A2286">
        <v>2381</v>
      </c>
      <c r="B2286" s="34">
        <v>41256</v>
      </c>
      <c r="C2286">
        <v>1.30698</v>
      </c>
      <c r="D2286">
        <v>0</v>
      </c>
      <c r="F2286">
        <v>0.41356999999999799</v>
      </c>
      <c r="G2286">
        <v>26.9052668787558</v>
      </c>
      <c r="H2286">
        <v>0</v>
      </c>
      <c r="I2286">
        <v>0.51973959999999997</v>
      </c>
      <c r="J2286">
        <v>2012</v>
      </c>
      <c r="K2286">
        <v>12</v>
      </c>
      <c r="L2286">
        <v>13</v>
      </c>
      <c r="M2286" t="s">
        <v>90</v>
      </c>
      <c r="N2286">
        <v>0</v>
      </c>
      <c r="O2286">
        <v>0</v>
      </c>
    </row>
    <row r="2287" spans="1:15" x14ac:dyDescent="0.3">
      <c r="A2287">
        <v>2382</v>
      </c>
      <c r="B2287" s="34">
        <v>41257</v>
      </c>
      <c r="C2287">
        <v>1.30745</v>
      </c>
      <c r="D2287">
        <v>0</v>
      </c>
      <c r="F2287">
        <v>0.41356999999999799</v>
      </c>
      <c r="G2287">
        <v>26.9052668787558</v>
      </c>
      <c r="H2287">
        <v>0</v>
      </c>
      <c r="I2287">
        <v>0.51952140000000002</v>
      </c>
      <c r="J2287">
        <v>2012</v>
      </c>
      <c r="K2287">
        <v>12</v>
      </c>
      <c r="L2287">
        <v>14</v>
      </c>
      <c r="M2287" t="s">
        <v>91</v>
      </c>
      <c r="N2287">
        <v>0</v>
      </c>
      <c r="O2287">
        <v>0</v>
      </c>
    </row>
    <row r="2288" spans="1:15" x14ac:dyDescent="0.3">
      <c r="A2288">
        <v>2383</v>
      </c>
      <c r="B2288" s="34">
        <v>41260</v>
      </c>
      <c r="C2288">
        <v>1.3162199999999999</v>
      </c>
      <c r="D2288">
        <v>0</v>
      </c>
      <c r="F2288">
        <v>0.41356999999999799</v>
      </c>
      <c r="G2288">
        <v>26.9052668787558</v>
      </c>
      <c r="H2288">
        <v>0</v>
      </c>
      <c r="I2288">
        <v>0.51930339999999997</v>
      </c>
      <c r="J2288">
        <v>2012</v>
      </c>
      <c r="K2288">
        <v>12</v>
      </c>
      <c r="L2288">
        <v>17</v>
      </c>
      <c r="M2288" t="s">
        <v>92</v>
      </c>
      <c r="N2288">
        <v>0</v>
      </c>
      <c r="O2288">
        <v>0</v>
      </c>
    </row>
    <row r="2289" spans="1:15" x14ac:dyDescent="0.3">
      <c r="A2289">
        <v>2384</v>
      </c>
      <c r="B2289" s="34">
        <v>41261</v>
      </c>
      <c r="C2289">
        <v>1.31593</v>
      </c>
      <c r="D2289">
        <v>0</v>
      </c>
      <c r="F2289">
        <v>0.41356999999999799</v>
      </c>
      <c r="G2289">
        <v>26.9052668787558</v>
      </c>
      <c r="H2289">
        <v>1</v>
      </c>
      <c r="I2289">
        <v>0.51950499999999999</v>
      </c>
      <c r="J2289">
        <v>2012</v>
      </c>
      <c r="K2289">
        <v>12</v>
      </c>
      <c r="L2289">
        <v>18</v>
      </c>
      <c r="M2289" t="s">
        <v>93</v>
      </c>
      <c r="N2289">
        <v>0</v>
      </c>
      <c r="O2289">
        <v>0</v>
      </c>
    </row>
    <row r="2290" spans="1:15" x14ac:dyDescent="0.3">
      <c r="A2290">
        <v>2385</v>
      </c>
      <c r="B2290" s="34">
        <v>41262</v>
      </c>
      <c r="C2290">
        <v>1.3223499999999999</v>
      </c>
      <c r="D2290">
        <v>0</v>
      </c>
      <c r="F2290">
        <v>0.41356999999999799</v>
      </c>
      <c r="G2290">
        <v>26.9052668787558</v>
      </c>
      <c r="H2290">
        <v>0</v>
      </c>
      <c r="I2290">
        <v>0.51928719999999995</v>
      </c>
      <c r="J2290">
        <v>2012</v>
      </c>
      <c r="K2290">
        <v>12</v>
      </c>
      <c r="L2290">
        <v>19</v>
      </c>
      <c r="M2290" t="s">
        <v>89</v>
      </c>
      <c r="N2290">
        <v>0</v>
      </c>
      <c r="O2290">
        <v>0</v>
      </c>
    </row>
    <row r="2291" spans="1:15" x14ac:dyDescent="0.3">
      <c r="A2291">
        <v>2386</v>
      </c>
      <c r="B2291" s="34">
        <v>41263</v>
      </c>
      <c r="C2291">
        <v>1.31986</v>
      </c>
      <c r="D2291">
        <v>0</v>
      </c>
      <c r="F2291">
        <v>0.41356999999999799</v>
      </c>
      <c r="G2291">
        <v>26.9052668787558</v>
      </c>
      <c r="H2291">
        <v>1</v>
      </c>
      <c r="I2291">
        <v>0.51948870000000003</v>
      </c>
      <c r="J2291">
        <v>2012</v>
      </c>
      <c r="K2291">
        <v>12</v>
      </c>
      <c r="L2291">
        <v>20</v>
      </c>
      <c r="M2291" t="s">
        <v>90</v>
      </c>
      <c r="N2291">
        <v>0</v>
      </c>
      <c r="O2291">
        <v>0</v>
      </c>
    </row>
    <row r="2292" spans="1:15" x14ac:dyDescent="0.3">
      <c r="A2292">
        <v>2387</v>
      </c>
      <c r="B2292" s="34">
        <v>41264</v>
      </c>
      <c r="C2292">
        <v>1.3245400000000001</v>
      </c>
      <c r="D2292">
        <v>0</v>
      </c>
      <c r="F2292">
        <v>0.41356999999999799</v>
      </c>
      <c r="G2292">
        <v>26.9052668787558</v>
      </c>
      <c r="H2292">
        <v>0</v>
      </c>
      <c r="I2292">
        <v>0.51927109999999999</v>
      </c>
      <c r="J2292">
        <v>2012</v>
      </c>
      <c r="K2292">
        <v>12</v>
      </c>
      <c r="L2292">
        <v>21</v>
      </c>
      <c r="M2292" t="s">
        <v>91</v>
      </c>
      <c r="N2292">
        <v>0</v>
      </c>
      <c r="O2292">
        <v>0</v>
      </c>
    </row>
    <row r="2293" spans="1:15" x14ac:dyDescent="0.3">
      <c r="A2293">
        <v>2388</v>
      </c>
      <c r="B2293" s="34">
        <v>41267</v>
      </c>
      <c r="C2293">
        <v>1.31867</v>
      </c>
      <c r="D2293">
        <v>0</v>
      </c>
      <c r="F2293">
        <v>0.41356999999999799</v>
      </c>
      <c r="G2293">
        <v>26.9052668787558</v>
      </c>
      <c r="H2293">
        <v>1</v>
      </c>
      <c r="I2293">
        <v>0.51947239999999995</v>
      </c>
      <c r="J2293">
        <v>2012</v>
      </c>
      <c r="K2293">
        <v>12</v>
      </c>
      <c r="L2293">
        <v>24</v>
      </c>
      <c r="M2293" t="s">
        <v>92</v>
      </c>
      <c r="N2293">
        <v>0</v>
      </c>
      <c r="O2293">
        <v>0</v>
      </c>
    </row>
    <row r="2294" spans="1:15" x14ac:dyDescent="0.3">
      <c r="A2294">
        <v>2389</v>
      </c>
      <c r="B2294" s="34">
        <v>41269</v>
      </c>
      <c r="C2294">
        <v>1.3187</v>
      </c>
      <c r="D2294">
        <v>0</v>
      </c>
      <c r="F2294">
        <v>0.41356999999999799</v>
      </c>
      <c r="G2294">
        <v>26.9052668787558</v>
      </c>
      <c r="H2294">
        <v>1</v>
      </c>
      <c r="I2294">
        <v>0.51967350000000001</v>
      </c>
      <c r="J2294">
        <v>2012</v>
      </c>
      <c r="K2294">
        <v>12</v>
      </c>
      <c r="L2294">
        <v>26</v>
      </c>
      <c r="M2294" t="s">
        <v>89</v>
      </c>
      <c r="N2294">
        <v>0</v>
      </c>
      <c r="O2294">
        <v>0</v>
      </c>
    </row>
    <row r="2295" spans="1:15" x14ac:dyDescent="0.3">
      <c r="A2295">
        <v>2390</v>
      </c>
      <c r="B2295" s="34">
        <v>41270</v>
      </c>
      <c r="C2295">
        <v>1.32203</v>
      </c>
      <c r="D2295">
        <v>-20</v>
      </c>
      <c r="F2295">
        <v>0.41217999999999799</v>
      </c>
      <c r="G2295">
        <v>27.150936726758601</v>
      </c>
      <c r="H2295">
        <v>0.5</v>
      </c>
      <c r="I2295">
        <v>0.5196653</v>
      </c>
      <c r="J2295">
        <v>2012</v>
      </c>
      <c r="K2295">
        <v>12</v>
      </c>
      <c r="L2295">
        <v>27</v>
      </c>
      <c r="M2295" t="s">
        <v>90</v>
      </c>
      <c r="N2295">
        <v>0</v>
      </c>
      <c r="O2295">
        <v>0</v>
      </c>
    </row>
    <row r="2296" spans="1:15" x14ac:dyDescent="0.3">
      <c r="A2296">
        <v>2391</v>
      </c>
      <c r="B2296" s="34">
        <v>41271</v>
      </c>
      <c r="C2296">
        <v>1.32342</v>
      </c>
      <c r="D2296">
        <v>0</v>
      </c>
      <c r="F2296">
        <v>0.41217999999999799</v>
      </c>
      <c r="G2296">
        <v>27.150936726758601</v>
      </c>
      <c r="H2296">
        <v>0</v>
      </c>
      <c r="I2296">
        <v>0.51944789999999996</v>
      </c>
      <c r="J2296">
        <v>2012</v>
      </c>
      <c r="K2296">
        <v>12</v>
      </c>
      <c r="L2296">
        <v>28</v>
      </c>
      <c r="M2296" t="s">
        <v>91</v>
      </c>
      <c r="N2296">
        <v>0</v>
      </c>
      <c r="O2296">
        <v>0</v>
      </c>
    </row>
    <row r="2297" spans="1:15" x14ac:dyDescent="0.3">
      <c r="A2297">
        <v>2392</v>
      </c>
      <c r="B2297" s="34">
        <v>41274</v>
      </c>
      <c r="C2297">
        <v>1.3214600000000001</v>
      </c>
      <c r="D2297">
        <v>0</v>
      </c>
      <c r="F2297">
        <v>0.41217999999999799</v>
      </c>
      <c r="G2297">
        <v>27.150936726758601</v>
      </c>
      <c r="H2297">
        <v>1</v>
      </c>
      <c r="I2297">
        <v>0.51964880000000002</v>
      </c>
      <c r="J2297">
        <v>2012</v>
      </c>
      <c r="K2297">
        <v>12</v>
      </c>
      <c r="L2297">
        <v>31</v>
      </c>
      <c r="M2297" t="s">
        <v>92</v>
      </c>
      <c r="N2297">
        <v>0</v>
      </c>
      <c r="O2297">
        <v>0</v>
      </c>
    </row>
    <row r="2298" spans="1:15" x14ac:dyDescent="0.3">
      <c r="A2298">
        <v>2393</v>
      </c>
      <c r="B2298" s="34">
        <v>41275</v>
      </c>
      <c r="C2298">
        <v>1.3197000000000001</v>
      </c>
      <c r="D2298">
        <v>0</v>
      </c>
      <c r="F2298">
        <v>0.41217999999999799</v>
      </c>
      <c r="G2298">
        <v>27.150936726758601</v>
      </c>
      <c r="H2298">
        <v>1</v>
      </c>
      <c r="I2298">
        <v>0.51984949999999996</v>
      </c>
      <c r="J2298">
        <v>2013</v>
      </c>
      <c r="K2298">
        <v>1</v>
      </c>
      <c r="L2298">
        <v>1</v>
      </c>
      <c r="M2298" t="s">
        <v>93</v>
      </c>
      <c r="N2298">
        <v>0</v>
      </c>
      <c r="O2298">
        <v>0</v>
      </c>
    </row>
    <row r="2299" spans="1:15" x14ac:dyDescent="0.3">
      <c r="A2299">
        <v>2394</v>
      </c>
      <c r="B2299" s="34">
        <v>41276</v>
      </c>
      <c r="C2299">
        <v>1.32053</v>
      </c>
      <c r="D2299">
        <v>-2</v>
      </c>
      <c r="F2299">
        <v>0.41382999999999798</v>
      </c>
      <c r="G2299">
        <v>26.859314245316401</v>
      </c>
      <c r="H2299">
        <v>0.5</v>
      </c>
      <c r="I2299">
        <v>0.51984129999999995</v>
      </c>
      <c r="J2299">
        <v>2013</v>
      </c>
      <c r="K2299">
        <v>1</v>
      </c>
      <c r="L2299">
        <v>2</v>
      </c>
      <c r="M2299" t="s">
        <v>89</v>
      </c>
      <c r="N2299">
        <v>0</v>
      </c>
      <c r="O2299">
        <v>0</v>
      </c>
    </row>
    <row r="2300" spans="1:15" x14ac:dyDescent="0.3">
      <c r="A2300">
        <v>2395</v>
      </c>
      <c r="B2300" s="34">
        <v>41277</v>
      </c>
      <c r="C2300">
        <v>1.3188800000000001</v>
      </c>
      <c r="D2300">
        <v>0</v>
      </c>
      <c r="F2300">
        <v>0.41382999999999798</v>
      </c>
      <c r="G2300">
        <v>26.859314245316401</v>
      </c>
      <c r="H2300">
        <v>1</v>
      </c>
      <c r="I2300">
        <v>0.5200418</v>
      </c>
      <c r="J2300">
        <v>2013</v>
      </c>
      <c r="K2300">
        <v>1</v>
      </c>
      <c r="L2300">
        <v>3</v>
      </c>
      <c r="M2300" t="s">
        <v>90</v>
      </c>
      <c r="N2300">
        <v>0</v>
      </c>
      <c r="O2300">
        <v>0</v>
      </c>
    </row>
    <row r="2301" spans="1:15" x14ac:dyDescent="0.3">
      <c r="A2301">
        <v>2396</v>
      </c>
      <c r="B2301" s="34">
        <v>41278</v>
      </c>
      <c r="C2301">
        <v>1.30366</v>
      </c>
      <c r="D2301">
        <v>0</v>
      </c>
      <c r="F2301">
        <v>0.41382999999999798</v>
      </c>
      <c r="G2301">
        <v>26.859314245316401</v>
      </c>
      <c r="H2301">
        <v>0</v>
      </c>
      <c r="I2301">
        <v>0.51982470000000003</v>
      </c>
      <c r="J2301">
        <v>2013</v>
      </c>
      <c r="K2301">
        <v>1</v>
      </c>
      <c r="L2301">
        <v>4</v>
      </c>
      <c r="M2301" t="s">
        <v>91</v>
      </c>
      <c r="N2301">
        <v>0</v>
      </c>
      <c r="O2301">
        <v>0</v>
      </c>
    </row>
    <row r="2302" spans="1:15" x14ac:dyDescent="0.3">
      <c r="A2302">
        <v>2397</v>
      </c>
      <c r="B2302" s="34">
        <v>41281</v>
      </c>
      <c r="C2302">
        <v>1.30677</v>
      </c>
      <c r="D2302">
        <v>0</v>
      </c>
      <c r="F2302">
        <v>0.41382999999999798</v>
      </c>
      <c r="G2302">
        <v>26.859314245316401</v>
      </c>
      <c r="H2302">
        <v>1</v>
      </c>
      <c r="I2302">
        <v>0.52002499999999996</v>
      </c>
      <c r="J2302">
        <v>2013</v>
      </c>
      <c r="K2302">
        <v>1</v>
      </c>
      <c r="L2302">
        <v>7</v>
      </c>
      <c r="M2302" t="s">
        <v>92</v>
      </c>
      <c r="N2302">
        <v>0</v>
      </c>
      <c r="O2302">
        <v>0</v>
      </c>
    </row>
    <row r="2303" spans="1:15" x14ac:dyDescent="0.3">
      <c r="A2303">
        <v>2398</v>
      </c>
      <c r="B2303" s="34">
        <v>41282</v>
      </c>
      <c r="C2303">
        <v>1.3125199999999999</v>
      </c>
      <c r="D2303">
        <v>0</v>
      </c>
      <c r="F2303">
        <v>0.41382999999999798</v>
      </c>
      <c r="G2303">
        <v>26.859314245316401</v>
      </c>
      <c r="H2303">
        <v>0</v>
      </c>
      <c r="I2303">
        <v>0.51980820000000005</v>
      </c>
      <c r="J2303">
        <v>2013</v>
      </c>
      <c r="K2303">
        <v>1</v>
      </c>
      <c r="L2303">
        <v>8</v>
      </c>
      <c r="M2303" t="s">
        <v>93</v>
      </c>
      <c r="N2303">
        <v>0</v>
      </c>
      <c r="O2303">
        <v>0</v>
      </c>
    </row>
    <row r="2304" spans="1:15" x14ac:dyDescent="0.3">
      <c r="A2304">
        <v>2399</v>
      </c>
      <c r="B2304" s="34">
        <v>41283</v>
      </c>
      <c r="C2304">
        <v>1.30802</v>
      </c>
      <c r="D2304">
        <v>0</v>
      </c>
      <c r="F2304">
        <v>0.41382999999999798</v>
      </c>
      <c r="G2304">
        <v>26.859314245316401</v>
      </c>
      <c r="H2304">
        <v>1</v>
      </c>
      <c r="I2304">
        <v>0.52000829999999998</v>
      </c>
      <c r="J2304">
        <v>2013</v>
      </c>
      <c r="K2304">
        <v>1</v>
      </c>
      <c r="L2304">
        <v>9</v>
      </c>
      <c r="M2304" t="s">
        <v>89</v>
      </c>
      <c r="N2304">
        <v>0</v>
      </c>
      <c r="O2304">
        <v>0</v>
      </c>
    </row>
    <row r="2305" spans="1:15" x14ac:dyDescent="0.3">
      <c r="A2305">
        <v>2400</v>
      </c>
      <c r="B2305" s="34">
        <v>41284</v>
      </c>
      <c r="C2305">
        <v>1.3053999999999999</v>
      </c>
      <c r="D2305">
        <v>0</v>
      </c>
      <c r="F2305">
        <v>0.41382999999999798</v>
      </c>
      <c r="G2305">
        <v>26.859314245316401</v>
      </c>
      <c r="H2305">
        <v>0</v>
      </c>
      <c r="I2305">
        <v>0.51979169999999997</v>
      </c>
      <c r="J2305">
        <v>2013</v>
      </c>
      <c r="K2305">
        <v>1</v>
      </c>
      <c r="L2305">
        <v>10</v>
      </c>
      <c r="M2305" t="s">
        <v>90</v>
      </c>
      <c r="N2305">
        <v>0</v>
      </c>
      <c r="O2305">
        <v>0</v>
      </c>
    </row>
    <row r="2306" spans="1:15" x14ac:dyDescent="0.3">
      <c r="A2306">
        <v>2401</v>
      </c>
      <c r="B2306" s="34">
        <v>41285</v>
      </c>
      <c r="C2306">
        <v>1.3266800000000001</v>
      </c>
      <c r="D2306">
        <v>0</v>
      </c>
      <c r="F2306">
        <v>0.41382999999999798</v>
      </c>
      <c r="G2306">
        <v>26.859314245316401</v>
      </c>
      <c r="H2306">
        <v>1</v>
      </c>
      <c r="I2306">
        <v>0.51999169999999995</v>
      </c>
      <c r="J2306">
        <v>2013</v>
      </c>
      <c r="K2306">
        <v>1</v>
      </c>
      <c r="L2306">
        <v>11</v>
      </c>
      <c r="M2306" t="s">
        <v>91</v>
      </c>
      <c r="N2306">
        <v>0</v>
      </c>
      <c r="O2306">
        <v>0</v>
      </c>
    </row>
    <row r="2307" spans="1:15" x14ac:dyDescent="0.3">
      <c r="A2307">
        <v>2402</v>
      </c>
      <c r="B2307" s="34">
        <v>41288</v>
      </c>
      <c r="C2307">
        <v>1.33416</v>
      </c>
      <c r="D2307">
        <v>0</v>
      </c>
      <c r="F2307">
        <v>0.41382999999999798</v>
      </c>
      <c r="G2307">
        <v>26.859314245316401</v>
      </c>
      <c r="H2307">
        <v>0</v>
      </c>
      <c r="I2307">
        <v>0.51977519999999999</v>
      </c>
      <c r="J2307">
        <v>2013</v>
      </c>
      <c r="K2307">
        <v>1</v>
      </c>
      <c r="L2307">
        <v>14</v>
      </c>
      <c r="M2307" t="s">
        <v>92</v>
      </c>
      <c r="N2307">
        <v>0</v>
      </c>
      <c r="O2307">
        <v>0</v>
      </c>
    </row>
    <row r="2308" spans="1:15" x14ac:dyDescent="0.3">
      <c r="A2308">
        <v>2403</v>
      </c>
      <c r="B2308" s="34">
        <v>41289</v>
      </c>
      <c r="C2308">
        <v>1.33765</v>
      </c>
      <c r="D2308">
        <v>0</v>
      </c>
      <c r="F2308">
        <v>0.41382999999999798</v>
      </c>
      <c r="G2308">
        <v>26.859314245316401</v>
      </c>
      <c r="H2308">
        <v>0</v>
      </c>
      <c r="I2308">
        <v>0.51955890000000005</v>
      </c>
      <c r="J2308">
        <v>2013</v>
      </c>
      <c r="K2308">
        <v>1</v>
      </c>
      <c r="L2308">
        <v>15</v>
      </c>
      <c r="M2308" t="s">
        <v>93</v>
      </c>
      <c r="N2308">
        <v>0</v>
      </c>
      <c r="O2308">
        <v>0</v>
      </c>
    </row>
    <row r="2309" spans="1:15" x14ac:dyDescent="0.3">
      <c r="A2309">
        <v>2404</v>
      </c>
      <c r="B2309" s="34">
        <v>41290</v>
      </c>
      <c r="C2309">
        <v>1.32972</v>
      </c>
      <c r="D2309">
        <v>0</v>
      </c>
      <c r="F2309">
        <v>0.41382999999999798</v>
      </c>
      <c r="G2309">
        <v>26.859314245316401</v>
      </c>
      <c r="H2309">
        <v>1</v>
      </c>
      <c r="I2309">
        <v>0.51975879999999997</v>
      </c>
      <c r="J2309">
        <v>2013</v>
      </c>
      <c r="K2309">
        <v>1</v>
      </c>
      <c r="L2309">
        <v>16</v>
      </c>
      <c r="M2309" t="s">
        <v>89</v>
      </c>
      <c r="N2309">
        <v>0</v>
      </c>
      <c r="O2309">
        <v>0</v>
      </c>
    </row>
    <row r="2310" spans="1:15" x14ac:dyDescent="0.3">
      <c r="A2310">
        <v>2405</v>
      </c>
      <c r="B2310" s="34">
        <v>41291</v>
      </c>
      <c r="C2310">
        <v>1.32901</v>
      </c>
      <c r="D2310">
        <v>0</v>
      </c>
      <c r="F2310">
        <v>0.41382999999999798</v>
      </c>
      <c r="G2310">
        <v>26.859314245316401</v>
      </c>
      <c r="H2310">
        <v>1</v>
      </c>
      <c r="I2310">
        <v>0.51995840000000004</v>
      </c>
      <c r="J2310">
        <v>2013</v>
      </c>
      <c r="K2310">
        <v>1</v>
      </c>
      <c r="L2310">
        <v>17</v>
      </c>
      <c r="M2310" t="s">
        <v>90</v>
      </c>
      <c r="N2310">
        <v>0</v>
      </c>
      <c r="O2310">
        <v>0</v>
      </c>
    </row>
    <row r="2311" spans="1:15" x14ac:dyDescent="0.3">
      <c r="A2311">
        <v>2406</v>
      </c>
      <c r="B2311" s="34">
        <v>41292</v>
      </c>
      <c r="C2311">
        <v>1.3374299999999999</v>
      </c>
      <c r="D2311">
        <v>0</v>
      </c>
      <c r="F2311">
        <v>0.41382999999999798</v>
      </c>
      <c r="G2311">
        <v>26.859314245316401</v>
      </c>
      <c r="H2311">
        <v>0</v>
      </c>
      <c r="I2311">
        <v>0.51974229999999999</v>
      </c>
      <c r="J2311">
        <v>2013</v>
      </c>
      <c r="K2311">
        <v>1</v>
      </c>
      <c r="L2311">
        <v>18</v>
      </c>
      <c r="M2311" t="s">
        <v>91</v>
      </c>
      <c r="N2311">
        <v>0</v>
      </c>
      <c r="O2311">
        <v>0</v>
      </c>
    </row>
    <row r="2312" spans="1:15" x14ac:dyDescent="0.3">
      <c r="A2312">
        <v>2407</v>
      </c>
      <c r="B2312" s="34">
        <v>41295</v>
      </c>
      <c r="C2312">
        <v>1.33195</v>
      </c>
      <c r="D2312">
        <v>0</v>
      </c>
      <c r="F2312">
        <v>0.41382999999999798</v>
      </c>
      <c r="G2312">
        <v>26.859314245316401</v>
      </c>
      <c r="H2312">
        <v>1</v>
      </c>
      <c r="I2312">
        <v>0.51994180000000001</v>
      </c>
      <c r="J2312">
        <v>2013</v>
      </c>
      <c r="K2312">
        <v>1</v>
      </c>
      <c r="L2312">
        <v>21</v>
      </c>
      <c r="M2312" t="s">
        <v>92</v>
      </c>
      <c r="N2312">
        <v>0</v>
      </c>
      <c r="O2312">
        <v>0</v>
      </c>
    </row>
    <row r="2313" spans="1:15" x14ac:dyDescent="0.3">
      <c r="A2313">
        <v>2408</v>
      </c>
      <c r="B2313" s="34">
        <v>41296</v>
      </c>
      <c r="C2313">
        <v>1.3315300000000001</v>
      </c>
      <c r="D2313">
        <v>0</v>
      </c>
      <c r="F2313">
        <v>0.41382999999999798</v>
      </c>
      <c r="G2313">
        <v>26.859314245316401</v>
      </c>
      <c r="H2313">
        <v>0</v>
      </c>
      <c r="I2313">
        <v>0.51972589999999996</v>
      </c>
      <c r="J2313">
        <v>2013</v>
      </c>
      <c r="K2313">
        <v>1</v>
      </c>
      <c r="L2313">
        <v>22</v>
      </c>
      <c r="M2313" t="s">
        <v>93</v>
      </c>
      <c r="N2313">
        <v>0</v>
      </c>
      <c r="O2313">
        <v>0</v>
      </c>
    </row>
    <row r="2314" spans="1:15" x14ac:dyDescent="0.3">
      <c r="A2314">
        <v>2409</v>
      </c>
      <c r="B2314" s="34">
        <v>41297</v>
      </c>
      <c r="C2314">
        <v>1.33213</v>
      </c>
      <c r="D2314">
        <v>0</v>
      </c>
      <c r="F2314">
        <v>0.41382999999999798</v>
      </c>
      <c r="G2314">
        <v>26.859314245316401</v>
      </c>
      <c r="H2314">
        <v>1</v>
      </c>
      <c r="I2314">
        <v>0.51992530000000003</v>
      </c>
      <c r="J2314">
        <v>2013</v>
      </c>
      <c r="K2314">
        <v>1</v>
      </c>
      <c r="L2314">
        <v>23</v>
      </c>
      <c r="M2314" t="s">
        <v>89</v>
      </c>
      <c r="N2314">
        <v>0</v>
      </c>
      <c r="O2314">
        <v>0</v>
      </c>
    </row>
    <row r="2315" spans="1:15" x14ac:dyDescent="0.3">
      <c r="A2315">
        <v>2410</v>
      </c>
      <c r="B2315" s="34">
        <v>41298</v>
      </c>
      <c r="C2315">
        <v>1.33094</v>
      </c>
      <c r="D2315">
        <v>0</v>
      </c>
      <c r="F2315">
        <v>0.41382999999999798</v>
      </c>
      <c r="G2315">
        <v>26.859314245316401</v>
      </c>
      <c r="H2315">
        <v>1</v>
      </c>
      <c r="I2315">
        <v>0.52012449999999999</v>
      </c>
      <c r="J2315">
        <v>2013</v>
      </c>
      <c r="K2315">
        <v>1</v>
      </c>
      <c r="L2315">
        <v>24</v>
      </c>
      <c r="M2315" t="s">
        <v>90</v>
      </c>
      <c r="N2315">
        <v>0</v>
      </c>
      <c r="O2315">
        <v>0</v>
      </c>
    </row>
    <row r="2316" spans="1:15" x14ac:dyDescent="0.3">
      <c r="A2316">
        <v>2411</v>
      </c>
      <c r="B2316" s="34">
        <v>41299</v>
      </c>
      <c r="C2316">
        <v>1.3379000000000001</v>
      </c>
      <c r="D2316">
        <v>0</v>
      </c>
      <c r="F2316">
        <v>0.41382999999999798</v>
      </c>
      <c r="G2316">
        <v>26.859314245316401</v>
      </c>
      <c r="H2316">
        <v>1</v>
      </c>
      <c r="I2316">
        <v>0.52032350000000005</v>
      </c>
      <c r="J2316">
        <v>2013</v>
      </c>
      <c r="K2316">
        <v>1</v>
      </c>
      <c r="L2316">
        <v>25</v>
      </c>
      <c r="M2316" t="s">
        <v>91</v>
      </c>
      <c r="N2316">
        <v>0</v>
      </c>
      <c r="O2316">
        <v>0</v>
      </c>
    </row>
    <row r="2317" spans="1:15" x14ac:dyDescent="0.3">
      <c r="A2317">
        <v>2412</v>
      </c>
      <c r="B2317" s="34">
        <v>41302</v>
      </c>
      <c r="C2317">
        <v>1.34629</v>
      </c>
      <c r="D2317">
        <v>0</v>
      </c>
      <c r="F2317">
        <v>0.41382999999999798</v>
      </c>
      <c r="G2317">
        <v>26.859314245316401</v>
      </c>
      <c r="H2317">
        <v>0</v>
      </c>
      <c r="I2317">
        <v>0.52010780000000001</v>
      </c>
      <c r="J2317">
        <v>2013</v>
      </c>
      <c r="K2317">
        <v>1</v>
      </c>
      <c r="L2317">
        <v>28</v>
      </c>
      <c r="M2317" t="s">
        <v>92</v>
      </c>
      <c r="N2317">
        <v>0</v>
      </c>
      <c r="O2317">
        <v>0</v>
      </c>
    </row>
    <row r="2318" spans="1:15" x14ac:dyDescent="0.3">
      <c r="A2318">
        <v>2413</v>
      </c>
      <c r="B2318" s="34">
        <v>41303</v>
      </c>
      <c r="C2318">
        <v>1.3444700000000001</v>
      </c>
      <c r="D2318">
        <v>0</v>
      </c>
      <c r="F2318">
        <v>0.41382999999999798</v>
      </c>
      <c r="G2318">
        <v>26.859314245316401</v>
      </c>
      <c r="H2318">
        <v>1</v>
      </c>
      <c r="I2318">
        <v>0.52030659999999995</v>
      </c>
      <c r="J2318">
        <v>2013</v>
      </c>
      <c r="K2318">
        <v>1</v>
      </c>
      <c r="L2318">
        <v>29</v>
      </c>
      <c r="M2318" t="s">
        <v>93</v>
      </c>
      <c r="N2318">
        <v>0</v>
      </c>
      <c r="O2318">
        <v>0</v>
      </c>
    </row>
    <row r="2319" spans="1:15" x14ac:dyDescent="0.3">
      <c r="A2319">
        <v>2414</v>
      </c>
      <c r="B2319" s="34">
        <v>41304</v>
      </c>
      <c r="C2319">
        <v>1.34867</v>
      </c>
      <c r="D2319">
        <v>0</v>
      </c>
      <c r="F2319">
        <v>0.41382999999999798</v>
      </c>
      <c r="G2319">
        <v>26.859314245316401</v>
      </c>
      <c r="H2319">
        <v>0</v>
      </c>
      <c r="I2319">
        <v>0.52009110000000003</v>
      </c>
      <c r="J2319">
        <v>2013</v>
      </c>
      <c r="K2319">
        <v>1</v>
      </c>
      <c r="L2319">
        <v>30</v>
      </c>
      <c r="M2319" t="s">
        <v>89</v>
      </c>
      <c r="N2319">
        <v>0</v>
      </c>
      <c r="O2319">
        <v>0</v>
      </c>
    </row>
    <row r="2320" spans="1:15" x14ac:dyDescent="0.3">
      <c r="A2320">
        <v>2415</v>
      </c>
      <c r="B2320" s="34">
        <v>41305</v>
      </c>
      <c r="C2320">
        <v>1.35677</v>
      </c>
      <c r="D2320">
        <v>0</v>
      </c>
      <c r="F2320">
        <v>0.41382999999999798</v>
      </c>
      <c r="G2320">
        <v>26.859314245316401</v>
      </c>
      <c r="H2320">
        <v>0</v>
      </c>
      <c r="I2320">
        <v>0.5198758</v>
      </c>
      <c r="J2320">
        <v>2013</v>
      </c>
      <c r="K2320">
        <v>1</v>
      </c>
      <c r="L2320">
        <v>31</v>
      </c>
      <c r="M2320" t="s">
        <v>90</v>
      </c>
      <c r="N2320">
        <v>0</v>
      </c>
      <c r="O2320">
        <v>0</v>
      </c>
    </row>
    <row r="2321" spans="1:15" x14ac:dyDescent="0.3">
      <c r="A2321">
        <v>2416</v>
      </c>
      <c r="B2321" s="34">
        <v>41306</v>
      </c>
      <c r="C2321">
        <v>1.35869</v>
      </c>
      <c r="D2321">
        <v>0</v>
      </c>
      <c r="F2321">
        <v>0.41382999999999798</v>
      </c>
      <c r="G2321">
        <v>26.859314245316401</v>
      </c>
      <c r="H2321">
        <v>0</v>
      </c>
      <c r="I2321">
        <v>0.51966060000000003</v>
      </c>
      <c r="J2321">
        <v>2013</v>
      </c>
      <c r="K2321">
        <v>2</v>
      </c>
      <c r="L2321">
        <v>1</v>
      </c>
      <c r="M2321" t="s">
        <v>91</v>
      </c>
      <c r="N2321">
        <v>0</v>
      </c>
      <c r="O2321">
        <v>0</v>
      </c>
    </row>
    <row r="2322" spans="1:15" x14ac:dyDescent="0.3">
      <c r="A2322">
        <v>2417</v>
      </c>
      <c r="B2322" s="34">
        <v>41309</v>
      </c>
      <c r="C2322">
        <v>1.36391</v>
      </c>
      <c r="D2322">
        <v>0</v>
      </c>
      <c r="F2322">
        <v>0.41382999999999798</v>
      </c>
      <c r="G2322">
        <v>26.859314245316401</v>
      </c>
      <c r="H2322">
        <v>0</v>
      </c>
      <c r="I2322">
        <v>0.51944559999999995</v>
      </c>
      <c r="J2322">
        <v>2013</v>
      </c>
      <c r="K2322">
        <v>2</v>
      </c>
      <c r="L2322">
        <v>4</v>
      </c>
      <c r="M2322" t="s">
        <v>92</v>
      </c>
      <c r="N2322">
        <v>0</v>
      </c>
      <c r="O2322">
        <v>0</v>
      </c>
    </row>
    <row r="2323" spans="1:15" x14ac:dyDescent="0.3">
      <c r="A2323">
        <v>2418</v>
      </c>
      <c r="B2323" s="34">
        <v>41310</v>
      </c>
      <c r="C2323">
        <v>1.35026</v>
      </c>
      <c r="D2323">
        <v>0</v>
      </c>
      <c r="F2323">
        <v>0.41382999999999798</v>
      </c>
      <c r="G2323">
        <v>26.859314245316401</v>
      </c>
      <c r="H2323">
        <v>1</v>
      </c>
      <c r="I2323">
        <v>0.51964429999999995</v>
      </c>
      <c r="J2323">
        <v>2013</v>
      </c>
      <c r="K2323">
        <v>2</v>
      </c>
      <c r="L2323">
        <v>5</v>
      </c>
      <c r="M2323" t="s">
        <v>93</v>
      </c>
      <c r="N2323">
        <v>0</v>
      </c>
      <c r="O2323">
        <v>0</v>
      </c>
    </row>
    <row r="2324" spans="1:15" x14ac:dyDescent="0.3">
      <c r="A2324">
        <v>2419</v>
      </c>
      <c r="B2324" s="34">
        <v>41311</v>
      </c>
      <c r="C2324">
        <v>1.35816</v>
      </c>
      <c r="D2324">
        <v>0</v>
      </c>
      <c r="F2324">
        <v>0.41382999999999798</v>
      </c>
      <c r="G2324">
        <v>26.859314245316401</v>
      </c>
      <c r="H2324">
        <v>1</v>
      </c>
      <c r="I2324">
        <v>0.5198429</v>
      </c>
      <c r="J2324">
        <v>2013</v>
      </c>
      <c r="K2324">
        <v>2</v>
      </c>
      <c r="L2324">
        <v>6</v>
      </c>
      <c r="M2324" t="s">
        <v>89</v>
      </c>
      <c r="N2324">
        <v>0</v>
      </c>
      <c r="O2324">
        <v>0</v>
      </c>
    </row>
    <row r="2325" spans="1:15" x14ac:dyDescent="0.3">
      <c r="A2325">
        <v>2420</v>
      </c>
      <c r="B2325" s="34">
        <v>41312</v>
      </c>
      <c r="C2325">
        <v>1.35175</v>
      </c>
      <c r="D2325">
        <v>0</v>
      </c>
      <c r="F2325">
        <v>0.41382999999999798</v>
      </c>
      <c r="G2325">
        <v>26.859314245316401</v>
      </c>
      <c r="H2325">
        <v>1</v>
      </c>
      <c r="I2325">
        <v>0.52004130000000004</v>
      </c>
      <c r="J2325">
        <v>2013</v>
      </c>
      <c r="K2325">
        <v>2</v>
      </c>
      <c r="L2325">
        <v>7</v>
      </c>
      <c r="M2325" t="s">
        <v>90</v>
      </c>
      <c r="N2325">
        <v>0</v>
      </c>
      <c r="O2325">
        <v>0</v>
      </c>
    </row>
    <row r="2326" spans="1:15" x14ac:dyDescent="0.3">
      <c r="A2326">
        <v>2421</v>
      </c>
      <c r="B2326" s="34">
        <v>41313</v>
      </c>
      <c r="C2326">
        <v>1.3394299999999999</v>
      </c>
      <c r="D2326">
        <v>0</v>
      </c>
      <c r="F2326">
        <v>0.41382999999999798</v>
      </c>
      <c r="G2326">
        <v>26.859314245316401</v>
      </c>
      <c r="H2326">
        <v>0</v>
      </c>
      <c r="I2326">
        <v>0.51982649999999997</v>
      </c>
      <c r="J2326">
        <v>2013</v>
      </c>
      <c r="K2326">
        <v>2</v>
      </c>
      <c r="L2326">
        <v>8</v>
      </c>
      <c r="M2326" t="s">
        <v>91</v>
      </c>
      <c r="N2326">
        <v>0</v>
      </c>
      <c r="O2326">
        <v>0</v>
      </c>
    </row>
    <row r="2327" spans="1:15" x14ac:dyDescent="0.3">
      <c r="A2327">
        <v>2422</v>
      </c>
      <c r="B2327" s="34">
        <v>41316</v>
      </c>
      <c r="C2327">
        <v>1.3361400000000001</v>
      </c>
      <c r="D2327">
        <v>0</v>
      </c>
      <c r="F2327">
        <v>0.41382999999999798</v>
      </c>
      <c r="G2327">
        <v>26.859314245316401</v>
      </c>
      <c r="H2327">
        <v>0</v>
      </c>
      <c r="I2327">
        <v>0.51961190000000002</v>
      </c>
      <c r="J2327">
        <v>2013</v>
      </c>
      <c r="K2327">
        <v>2</v>
      </c>
      <c r="L2327">
        <v>11</v>
      </c>
      <c r="M2327" t="s">
        <v>92</v>
      </c>
      <c r="N2327">
        <v>0</v>
      </c>
      <c r="O2327">
        <v>0</v>
      </c>
    </row>
    <row r="2328" spans="1:15" x14ac:dyDescent="0.3">
      <c r="A2328">
        <v>2423</v>
      </c>
      <c r="B2328" s="34">
        <v>41317</v>
      </c>
      <c r="C2328">
        <v>1.34016</v>
      </c>
      <c r="D2328">
        <v>0</v>
      </c>
      <c r="F2328">
        <v>0.41382999999999798</v>
      </c>
      <c r="G2328">
        <v>26.859314245316401</v>
      </c>
      <c r="H2328">
        <v>1</v>
      </c>
      <c r="I2328">
        <v>0.51981010000000005</v>
      </c>
      <c r="J2328">
        <v>2013</v>
      </c>
      <c r="K2328">
        <v>2</v>
      </c>
      <c r="L2328">
        <v>12</v>
      </c>
      <c r="M2328" t="s">
        <v>93</v>
      </c>
      <c r="N2328">
        <v>0</v>
      </c>
      <c r="O2328">
        <v>0</v>
      </c>
    </row>
    <row r="2329" spans="1:15" x14ac:dyDescent="0.3">
      <c r="A2329">
        <v>2424</v>
      </c>
      <c r="B2329" s="34">
        <v>41318</v>
      </c>
      <c r="C2329">
        <v>1.34518</v>
      </c>
      <c r="D2329">
        <v>0</v>
      </c>
      <c r="F2329">
        <v>0.41382999999999798</v>
      </c>
      <c r="G2329">
        <v>26.859314245316401</v>
      </c>
      <c r="H2329">
        <v>0</v>
      </c>
      <c r="I2329">
        <v>0.51959569999999999</v>
      </c>
      <c r="J2329">
        <v>2013</v>
      </c>
      <c r="K2329">
        <v>2</v>
      </c>
      <c r="L2329">
        <v>13</v>
      </c>
      <c r="M2329" t="s">
        <v>89</v>
      </c>
      <c r="N2329">
        <v>0</v>
      </c>
      <c r="O2329">
        <v>0</v>
      </c>
    </row>
    <row r="2330" spans="1:15" x14ac:dyDescent="0.3">
      <c r="A2330">
        <v>2425</v>
      </c>
      <c r="B2330" s="34">
        <v>41319</v>
      </c>
      <c r="C2330">
        <v>1.34484</v>
      </c>
      <c r="D2330">
        <v>0</v>
      </c>
      <c r="F2330">
        <v>0.41382999999999798</v>
      </c>
      <c r="G2330">
        <v>26.859314245316401</v>
      </c>
      <c r="H2330">
        <v>1</v>
      </c>
      <c r="I2330">
        <v>0.51979379999999997</v>
      </c>
      <c r="J2330">
        <v>2013</v>
      </c>
      <c r="K2330">
        <v>2</v>
      </c>
      <c r="L2330">
        <v>14</v>
      </c>
      <c r="M2330" t="s">
        <v>90</v>
      </c>
      <c r="N2330">
        <v>0</v>
      </c>
      <c r="O2330">
        <v>0</v>
      </c>
    </row>
    <row r="2331" spans="1:15" x14ac:dyDescent="0.3">
      <c r="A2331">
        <v>2426</v>
      </c>
      <c r="B2331" s="34">
        <v>41320</v>
      </c>
      <c r="C2331">
        <v>1.3357300000000001</v>
      </c>
      <c r="D2331">
        <v>0</v>
      </c>
      <c r="F2331">
        <v>0.41382999999999798</v>
      </c>
      <c r="G2331">
        <v>26.859314245316401</v>
      </c>
      <c r="H2331">
        <v>1</v>
      </c>
      <c r="I2331">
        <v>0.5199918</v>
      </c>
      <c r="J2331">
        <v>2013</v>
      </c>
      <c r="K2331">
        <v>2</v>
      </c>
      <c r="L2331">
        <v>15</v>
      </c>
      <c r="M2331" t="s">
        <v>91</v>
      </c>
      <c r="N2331">
        <v>0</v>
      </c>
      <c r="O2331">
        <v>0</v>
      </c>
    </row>
    <row r="2332" spans="1:15" x14ac:dyDescent="0.3">
      <c r="A2332">
        <v>2427</v>
      </c>
      <c r="B2332" s="34">
        <v>41323</v>
      </c>
      <c r="C2332">
        <v>1.33585</v>
      </c>
      <c r="D2332">
        <v>0</v>
      </c>
      <c r="F2332">
        <v>0.41382999999999798</v>
      </c>
      <c r="G2332">
        <v>26.859314245316401</v>
      </c>
      <c r="H2332">
        <v>1</v>
      </c>
      <c r="I2332">
        <v>0.52018949999999997</v>
      </c>
      <c r="J2332">
        <v>2013</v>
      </c>
      <c r="K2332">
        <v>2</v>
      </c>
      <c r="L2332">
        <v>18</v>
      </c>
      <c r="M2332" t="s">
        <v>92</v>
      </c>
      <c r="N2332">
        <v>0</v>
      </c>
      <c r="O2332">
        <v>0</v>
      </c>
    </row>
    <row r="2333" spans="1:15" x14ac:dyDescent="0.3">
      <c r="A2333">
        <v>2428</v>
      </c>
      <c r="B2333" s="34">
        <v>41324</v>
      </c>
      <c r="C2333">
        <v>1.3351500000000001</v>
      </c>
      <c r="D2333">
        <v>0</v>
      </c>
      <c r="F2333">
        <v>0.41382999999999798</v>
      </c>
      <c r="G2333">
        <v>26.859314245316401</v>
      </c>
      <c r="H2333">
        <v>0</v>
      </c>
      <c r="I2333">
        <v>0.51997530000000003</v>
      </c>
      <c r="J2333">
        <v>2013</v>
      </c>
      <c r="K2333">
        <v>2</v>
      </c>
      <c r="L2333">
        <v>19</v>
      </c>
      <c r="M2333" t="s">
        <v>93</v>
      </c>
      <c r="N2333">
        <v>0</v>
      </c>
      <c r="O2333">
        <v>0</v>
      </c>
    </row>
    <row r="2334" spans="1:15" x14ac:dyDescent="0.3">
      <c r="A2334">
        <v>2429</v>
      </c>
      <c r="B2334" s="34">
        <v>41325</v>
      </c>
      <c r="C2334">
        <v>1.33847</v>
      </c>
      <c r="D2334">
        <v>0</v>
      </c>
      <c r="F2334">
        <v>0.41382999999999798</v>
      </c>
      <c r="G2334">
        <v>26.859314245316401</v>
      </c>
      <c r="H2334">
        <v>1</v>
      </c>
      <c r="I2334">
        <v>0.52017290000000005</v>
      </c>
      <c r="J2334">
        <v>2013</v>
      </c>
      <c r="K2334">
        <v>2</v>
      </c>
      <c r="L2334">
        <v>20</v>
      </c>
      <c r="M2334" t="s">
        <v>89</v>
      </c>
      <c r="N2334">
        <v>0</v>
      </c>
      <c r="O2334">
        <v>0</v>
      </c>
    </row>
    <row r="2335" spans="1:15" x14ac:dyDescent="0.3">
      <c r="A2335">
        <v>2430</v>
      </c>
      <c r="B2335" s="34">
        <v>41326</v>
      </c>
      <c r="C2335">
        <v>1.32874</v>
      </c>
      <c r="D2335">
        <v>0</v>
      </c>
      <c r="F2335">
        <v>0.41382999999999798</v>
      </c>
      <c r="G2335">
        <v>26.859314245316401</v>
      </c>
      <c r="H2335">
        <v>1</v>
      </c>
      <c r="I2335">
        <v>0.52037040000000001</v>
      </c>
      <c r="J2335">
        <v>2013</v>
      </c>
      <c r="K2335">
        <v>2</v>
      </c>
      <c r="L2335">
        <v>21</v>
      </c>
      <c r="M2335" t="s">
        <v>90</v>
      </c>
      <c r="N2335">
        <v>0</v>
      </c>
      <c r="O2335">
        <v>0</v>
      </c>
    </row>
    <row r="2336" spans="1:15" x14ac:dyDescent="0.3">
      <c r="A2336">
        <v>2431</v>
      </c>
      <c r="B2336" s="34">
        <v>41327</v>
      </c>
      <c r="C2336">
        <v>1.3191600000000001</v>
      </c>
      <c r="D2336">
        <v>0</v>
      </c>
      <c r="F2336">
        <v>0.41382999999999798</v>
      </c>
      <c r="G2336">
        <v>26.859314245316401</v>
      </c>
      <c r="H2336">
        <v>0</v>
      </c>
      <c r="I2336">
        <v>0.52015630000000002</v>
      </c>
      <c r="J2336">
        <v>2013</v>
      </c>
      <c r="K2336">
        <v>2</v>
      </c>
      <c r="L2336">
        <v>22</v>
      </c>
      <c r="M2336" t="s">
        <v>91</v>
      </c>
      <c r="N2336">
        <v>0</v>
      </c>
      <c r="O2336">
        <v>0</v>
      </c>
    </row>
    <row r="2337" spans="1:15" x14ac:dyDescent="0.3">
      <c r="A2337">
        <v>2432</v>
      </c>
      <c r="B2337" s="34">
        <v>41330</v>
      </c>
      <c r="C2337">
        <v>1.31907</v>
      </c>
      <c r="D2337">
        <v>0</v>
      </c>
      <c r="F2337">
        <v>0.41382999999999798</v>
      </c>
      <c r="G2337">
        <v>26.859314245316401</v>
      </c>
      <c r="H2337">
        <v>0</v>
      </c>
      <c r="I2337">
        <v>0.51994249999999997</v>
      </c>
      <c r="J2337">
        <v>2013</v>
      </c>
      <c r="K2337">
        <v>2</v>
      </c>
      <c r="L2337">
        <v>25</v>
      </c>
      <c r="M2337" t="s">
        <v>92</v>
      </c>
      <c r="N2337">
        <v>0</v>
      </c>
      <c r="O2337">
        <v>0</v>
      </c>
    </row>
    <row r="2338" spans="1:15" x14ac:dyDescent="0.3">
      <c r="A2338">
        <v>2433</v>
      </c>
      <c r="B2338" s="34">
        <v>41331</v>
      </c>
      <c r="C2338">
        <v>1.3057399999999999</v>
      </c>
      <c r="D2338">
        <v>0</v>
      </c>
      <c r="F2338">
        <v>0.41382999999999798</v>
      </c>
      <c r="G2338">
        <v>26.859314245316401</v>
      </c>
      <c r="H2338">
        <v>0</v>
      </c>
      <c r="I2338">
        <v>0.51972870000000004</v>
      </c>
      <c r="J2338">
        <v>2013</v>
      </c>
      <c r="K2338">
        <v>2</v>
      </c>
      <c r="L2338">
        <v>26</v>
      </c>
      <c r="M2338" t="s">
        <v>93</v>
      </c>
      <c r="N2338">
        <v>0</v>
      </c>
      <c r="O2338">
        <v>0</v>
      </c>
    </row>
    <row r="2339" spans="1:15" x14ac:dyDescent="0.3">
      <c r="A2339">
        <v>2434</v>
      </c>
      <c r="B2339" s="34">
        <v>41332</v>
      </c>
      <c r="C2339">
        <v>1.3064499999999999</v>
      </c>
      <c r="D2339">
        <v>0</v>
      </c>
      <c r="F2339">
        <v>0.41382999999999798</v>
      </c>
      <c r="G2339">
        <v>26.859314245316401</v>
      </c>
      <c r="H2339">
        <v>1</v>
      </c>
      <c r="I2339">
        <v>0.51992609999999995</v>
      </c>
      <c r="J2339">
        <v>2013</v>
      </c>
      <c r="K2339">
        <v>2</v>
      </c>
      <c r="L2339">
        <v>27</v>
      </c>
      <c r="M2339" t="s">
        <v>89</v>
      </c>
      <c r="N2339">
        <v>0</v>
      </c>
      <c r="O2339">
        <v>0</v>
      </c>
    </row>
    <row r="2340" spans="1:15" x14ac:dyDescent="0.3">
      <c r="A2340">
        <v>2435</v>
      </c>
      <c r="B2340" s="34">
        <v>41333</v>
      </c>
      <c r="C2340">
        <v>1.31352</v>
      </c>
      <c r="D2340">
        <v>0</v>
      </c>
      <c r="F2340">
        <v>0.41382999999999798</v>
      </c>
      <c r="G2340">
        <v>26.859314245316401</v>
      </c>
      <c r="H2340">
        <v>1</v>
      </c>
      <c r="I2340">
        <v>0.52012320000000001</v>
      </c>
      <c r="J2340">
        <v>2013</v>
      </c>
      <c r="K2340">
        <v>2</v>
      </c>
      <c r="L2340">
        <v>28</v>
      </c>
      <c r="M2340" t="s">
        <v>90</v>
      </c>
      <c r="N2340">
        <v>0</v>
      </c>
      <c r="O2340">
        <v>0</v>
      </c>
    </row>
    <row r="2341" spans="1:15" x14ac:dyDescent="0.3">
      <c r="A2341">
        <v>2436</v>
      </c>
      <c r="B2341" s="34">
        <v>41334</v>
      </c>
      <c r="C2341">
        <v>1.3066500000000001</v>
      </c>
      <c r="D2341">
        <v>0</v>
      </c>
      <c r="F2341">
        <v>0.41382999999999798</v>
      </c>
      <c r="G2341">
        <v>26.859314245316401</v>
      </c>
      <c r="H2341">
        <v>1</v>
      </c>
      <c r="I2341">
        <v>0.52032020000000001</v>
      </c>
      <c r="J2341">
        <v>2013</v>
      </c>
      <c r="K2341">
        <v>3</v>
      </c>
      <c r="L2341">
        <v>1</v>
      </c>
      <c r="M2341" t="s">
        <v>91</v>
      </c>
      <c r="N2341">
        <v>0</v>
      </c>
      <c r="O2341">
        <v>0</v>
      </c>
    </row>
    <row r="2342" spans="1:15" x14ac:dyDescent="0.3">
      <c r="A2342">
        <v>2437</v>
      </c>
      <c r="B2342" s="34">
        <v>41337</v>
      </c>
      <c r="C2342">
        <v>1.3018000000000001</v>
      </c>
      <c r="D2342">
        <v>0</v>
      </c>
      <c r="F2342">
        <v>0.41382999999999798</v>
      </c>
      <c r="G2342">
        <v>26.859314245316401</v>
      </c>
      <c r="H2342">
        <v>0</v>
      </c>
      <c r="I2342">
        <v>0.52010670000000003</v>
      </c>
      <c r="J2342">
        <v>2013</v>
      </c>
      <c r="K2342">
        <v>3</v>
      </c>
      <c r="L2342">
        <v>4</v>
      </c>
      <c r="M2342" t="s">
        <v>92</v>
      </c>
      <c r="N2342">
        <v>0</v>
      </c>
      <c r="O2342">
        <v>0</v>
      </c>
    </row>
    <row r="2343" spans="1:15" x14ac:dyDescent="0.3">
      <c r="A2343">
        <v>2438</v>
      </c>
      <c r="B2343" s="34">
        <v>41338</v>
      </c>
      <c r="C2343">
        <v>1.3024100000000001</v>
      </c>
      <c r="D2343">
        <v>0</v>
      </c>
      <c r="F2343">
        <v>0.41382999999999798</v>
      </c>
      <c r="G2343">
        <v>26.859314245316401</v>
      </c>
      <c r="H2343">
        <v>1</v>
      </c>
      <c r="I2343">
        <v>0.52030350000000003</v>
      </c>
      <c r="J2343">
        <v>2013</v>
      </c>
      <c r="K2343">
        <v>3</v>
      </c>
      <c r="L2343">
        <v>5</v>
      </c>
      <c r="M2343" t="s">
        <v>93</v>
      </c>
      <c r="N2343">
        <v>0</v>
      </c>
      <c r="O2343">
        <v>0</v>
      </c>
    </row>
    <row r="2344" spans="1:15" x14ac:dyDescent="0.3">
      <c r="A2344">
        <v>2439</v>
      </c>
      <c r="B2344" s="34">
        <v>41339</v>
      </c>
      <c r="C2344">
        <v>1.3043899999999999</v>
      </c>
      <c r="D2344">
        <v>0</v>
      </c>
      <c r="F2344">
        <v>0.41382999999999798</v>
      </c>
      <c r="G2344">
        <v>26.859314245316401</v>
      </c>
      <c r="H2344">
        <v>0</v>
      </c>
      <c r="I2344">
        <v>0.52009019999999995</v>
      </c>
      <c r="J2344">
        <v>2013</v>
      </c>
      <c r="K2344">
        <v>3</v>
      </c>
      <c r="L2344">
        <v>6</v>
      </c>
      <c r="M2344" t="s">
        <v>89</v>
      </c>
      <c r="N2344">
        <v>0</v>
      </c>
      <c r="O2344">
        <v>0</v>
      </c>
    </row>
    <row r="2345" spans="1:15" x14ac:dyDescent="0.3">
      <c r="A2345">
        <v>2440</v>
      </c>
      <c r="B2345" s="34">
        <v>41340</v>
      </c>
      <c r="C2345">
        <v>1.29765</v>
      </c>
      <c r="D2345">
        <v>0</v>
      </c>
      <c r="F2345">
        <v>0.41382999999999798</v>
      </c>
      <c r="G2345">
        <v>26.859314245316401</v>
      </c>
      <c r="H2345">
        <v>1</v>
      </c>
      <c r="I2345">
        <v>0.5202869</v>
      </c>
      <c r="J2345">
        <v>2013</v>
      </c>
      <c r="K2345">
        <v>3</v>
      </c>
      <c r="L2345">
        <v>7</v>
      </c>
      <c r="M2345" t="s">
        <v>90</v>
      </c>
      <c r="N2345">
        <v>0</v>
      </c>
      <c r="O2345">
        <v>0</v>
      </c>
    </row>
    <row r="2346" spans="1:15" x14ac:dyDescent="0.3">
      <c r="A2346">
        <v>2441</v>
      </c>
      <c r="B2346" s="34">
        <v>41341</v>
      </c>
      <c r="C2346">
        <v>1.3104199999999999</v>
      </c>
      <c r="D2346">
        <v>0</v>
      </c>
      <c r="F2346">
        <v>0.41382999999999798</v>
      </c>
      <c r="G2346">
        <v>26.859314245316401</v>
      </c>
      <c r="H2346">
        <v>1</v>
      </c>
      <c r="I2346">
        <v>0.52048340000000004</v>
      </c>
      <c r="J2346">
        <v>2013</v>
      </c>
      <c r="K2346">
        <v>3</v>
      </c>
      <c r="L2346">
        <v>8</v>
      </c>
      <c r="M2346" t="s">
        <v>91</v>
      </c>
      <c r="N2346">
        <v>0</v>
      </c>
      <c r="O2346">
        <v>0</v>
      </c>
    </row>
    <row r="2347" spans="1:15" x14ac:dyDescent="0.3">
      <c r="A2347">
        <v>2442</v>
      </c>
      <c r="B2347" s="34">
        <v>41344</v>
      </c>
      <c r="C2347">
        <v>1.3004199999999999</v>
      </c>
      <c r="D2347">
        <v>0</v>
      </c>
      <c r="F2347">
        <v>0.41382999999999798</v>
      </c>
      <c r="G2347">
        <v>26.859314245316401</v>
      </c>
      <c r="H2347">
        <v>1</v>
      </c>
      <c r="I2347">
        <v>0.52067980000000003</v>
      </c>
      <c r="J2347">
        <v>2013</v>
      </c>
      <c r="K2347">
        <v>3</v>
      </c>
      <c r="L2347">
        <v>11</v>
      </c>
      <c r="M2347" t="s">
        <v>92</v>
      </c>
      <c r="N2347">
        <v>0</v>
      </c>
      <c r="O2347">
        <v>0</v>
      </c>
    </row>
    <row r="2348" spans="1:15" x14ac:dyDescent="0.3">
      <c r="A2348">
        <v>2443</v>
      </c>
      <c r="B2348" s="34">
        <v>41345</v>
      </c>
      <c r="C2348">
        <v>1.3034399999999999</v>
      </c>
      <c r="D2348">
        <v>0</v>
      </c>
      <c r="F2348">
        <v>0.41382999999999798</v>
      </c>
      <c r="G2348">
        <v>26.859314245316401</v>
      </c>
      <c r="H2348">
        <v>1</v>
      </c>
      <c r="I2348">
        <v>0.52087600000000001</v>
      </c>
      <c r="J2348">
        <v>2013</v>
      </c>
      <c r="K2348">
        <v>3</v>
      </c>
      <c r="L2348">
        <v>12</v>
      </c>
      <c r="M2348" t="s">
        <v>93</v>
      </c>
      <c r="N2348">
        <v>0</v>
      </c>
      <c r="O2348">
        <v>0</v>
      </c>
    </row>
    <row r="2349" spans="1:15" x14ac:dyDescent="0.3">
      <c r="A2349">
        <v>2444</v>
      </c>
      <c r="B2349" s="34">
        <v>41346</v>
      </c>
      <c r="C2349">
        <v>1.30277</v>
      </c>
      <c r="D2349">
        <v>0</v>
      </c>
      <c r="F2349">
        <v>0.41382999999999798</v>
      </c>
      <c r="G2349">
        <v>26.859314245316401</v>
      </c>
      <c r="H2349">
        <v>1</v>
      </c>
      <c r="I2349">
        <v>0.52107199999999998</v>
      </c>
      <c r="J2349">
        <v>2013</v>
      </c>
      <c r="K2349">
        <v>3</v>
      </c>
      <c r="L2349">
        <v>13</v>
      </c>
      <c r="M2349" t="s">
        <v>89</v>
      </c>
      <c r="N2349">
        <v>0</v>
      </c>
      <c r="O2349">
        <v>0</v>
      </c>
    </row>
    <row r="2350" spans="1:15" x14ac:dyDescent="0.3">
      <c r="A2350">
        <v>2445</v>
      </c>
      <c r="B2350" s="34">
        <v>41347</v>
      </c>
      <c r="C2350">
        <v>1.2956799999999999</v>
      </c>
      <c r="D2350">
        <v>0</v>
      </c>
      <c r="F2350">
        <v>0.41382999999999798</v>
      </c>
      <c r="G2350">
        <v>26.859314245316401</v>
      </c>
      <c r="H2350">
        <v>1</v>
      </c>
      <c r="I2350">
        <v>0.52126790000000001</v>
      </c>
      <c r="J2350">
        <v>2013</v>
      </c>
      <c r="K2350">
        <v>3</v>
      </c>
      <c r="L2350">
        <v>14</v>
      </c>
      <c r="M2350" t="s">
        <v>90</v>
      </c>
      <c r="N2350">
        <v>0</v>
      </c>
      <c r="O2350">
        <v>0</v>
      </c>
    </row>
    <row r="2351" spans="1:15" x14ac:dyDescent="0.3">
      <c r="A2351">
        <v>2446</v>
      </c>
      <c r="B2351" s="34">
        <v>41348</v>
      </c>
      <c r="C2351">
        <v>1.30124</v>
      </c>
      <c r="D2351">
        <v>0</v>
      </c>
      <c r="F2351">
        <v>0.41382999999999798</v>
      </c>
      <c r="G2351">
        <v>26.859314245316401</v>
      </c>
      <c r="H2351">
        <v>1</v>
      </c>
      <c r="I2351">
        <v>0.52146360000000003</v>
      </c>
      <c r="J2351">
        <v>2013</v>
      </c>
      <c r="K2351">
        <v>3</v>
      </c>
      <c r="L2351">
        <v>15</v>
      </c>
      <c r="M2351" t="s">
        <v>91</v>
      </c>
      <c r="N2351">
        <v>0</v>
      </c>
      <c r="O2351">
        <v>0</v>
      </c>
    </row>
    <row r="2352" spans="1:15" x14ac:dyDescent="0.3">
      <c r="A2352">
        <v>2447</v>
      </c>
      <c r="B2352" s="34">
        <v>41351</v>
      </c>
      <c r="C2352">
        <v>1.3075399999999999</v>
      </c>
      <c r="D2352">
        <v>0</v>
      </c>
      <c r="F2352">
        <v>0.41382999999999798</v>
      </c>
      <c r="G2352">
        <v>26.859314245316401</v>
      </c>
      <c r="H2352">
        <v>0</v>
      </c>
      <c r="I2352">
        <v>0.52125049999999995</v>
      </c>
      <c r="J2352">
        <v>2013</v>
      </c>
      <c r="K2352">
        <v>3</v>
      </c>
      <c r="L2352">
        <v>18</v>
      </c>
      <c r="M2352" t="s">
        <v>92</v>
      </c>
      <c r="N2352">
        <v>0</v>
      </c>
      <c r="O2352">
        <v>0</v>
      </c>
    </row>
    <row r="2353" spans="1:15" x14ac:dyDescent="0.3">
      <c r="A2353">
        <v>2448</v>
      </c>
      <c r="B2353" s="34">
        <v>41352</v>
      </c>
      <c r="C2353">
        <v>1.2942499999999999</v>
      </c>
      <c r="D2353">
        <v>0</v>
      </c>
      <c r="F2353">
        <v>0.41382999999999798</v>
      </c>
      <c r="G2353">
        <v>26.859314245316401</v>
      </c>
      <c r="H2353">
        <v>1</v>
      </c>
      <c r="I2353">
        <v>0.52144599999999997</v>
      </c>
      <c r="J2353">
        <v>2013</v>
      </c>
      <c r="K2353">
        <v>3</v>
      </c>
      <c r="L2353">
        <v>19</v>
      </c>
      <c r="M2353" t="s">
        <v>93</v>
      </c>
      <c r="N2353">
        <v>0</v>
      </c>
      <c r="O2353">
        <v>0</v>
      </c>
    </row>
    <row r="2354" spans="1:15" x14ac:dyDescent="0.3">
      <c r="A2354">
        <v>2449</v>
      </c>
      <c r="B2354" s="34">
        <v>41353</v>
      </c>
      <c r="C2354">
        <v>1.2857799999999999</v>
      </c>
      <c r="D2354">
        <v>0</v>
      </c>
      <c r="F2354">
        <v>0.41382999999999798</v>
      </c>
      <c r="G2354">
        <v>26.859314245316401</v>
      </c>
      <c r="H2354">
        <v>0</v>
      </c>
      <c r="I2354">
        <v>0.5212331</v>
      </c>
      <c r="J2354">
        <v>2013</v>
      </c>
      <c r="K2354">
        <v>3</v>
      </c>
      <c r="L2354">
        <v>20</v>
      </c>
      <c r="M2354" t="s">
        <v>89</v>
      </c>
      <c r="N2354">
        <v>0</v>
      </c>
      <c r="O2354">
        <v>0</v>
      </c>
    </row>
    <row r="2355" spans="1:15" x14ac:dyDescent="0.3">
      <c r="A2355">
        <v>2450</v>
      </c>
      <c r="B2355" s="34">
        <v>41354</v>
      </c>
      <c r="C2355">
        <v>1.2932999999999999</v>
      </c>
      <c r="D2355">
        <v>0</v>
      </c>
      <c r="F2355">
        <v>0.41382999999999798</v>
      </c>
      <c r="G2355">
        <v>26.859314245316401</v>
      </c>
      <c r="H2355">
        <v>1</v>
      </c>
      <c r="I2355">
        <v>0.52142860000000002</v>
      </c>
      <c r="J2355">
        <v>2013</v>
      </c>
      <c r="K2355">
        <v>3</v>
      </c>
      <c r="L2355">
        <v>21</v>
      </c>
      <c r="M2355" t="s">
        <v>90</v>
      </c>
      <c r="N2355">
        <v>0</v>
      </c>
      <c r="O2355">
        <v>0</v>
      </c>
    </row>
    <row r="2356" spans="1:15" x14ac:dyDescent="0.3">
      <c r="A2356">
        <v>2451</v>
      </c>
      <c r="B2356" s="34">
        <v>41355</v>
      </c>
      <c r="C2356">
        <v>1.2898000000000001</v>
      </c>
      <c r="D2356">
        <v>3</v>
      </c>
      <c r="E2356" t="s">
        <v>405</v>
      </c>
      <c r="F2356">
        <v>0.42269999999999802</v>
      </c>
      <c r="G2356">
        <v>25.2916224814422</v>
      </c>
      <c r="H2356">
        <v>1</v>
      </c>
      <c r="I2356">
        <v>0.52162379999999997</v>
      </c>
      <c r="J2356">
        <v>2013</v>
      </c>
      <c r="K2356">
        <v>3</v>
      </c>
      <c r="L2356">
        <v>22</v>
      </c>
      <c r="M2356" t="s">
        <v>91</v>
      </c>
      <c r="N2356">
        <v>0</v>
      </c>
      <c r="O2356">
        <v>0</v>
      </c>
    </row>
    <row r="2357" spans="1:15" x14ac:dyDescent="0.3">
      <c r="A2357">
        <v>2452</v>
      </c>
      <c r="B2357" s="34">
        <v>41358</v>
      </c>
      <c r="C2357">
        <v>1.29867</v>
      </c>
      <c r="D2357">
        <v>0</v>
      </c>
      <c r="F2357">
        <v>0.42269999999999802</v>
      </c>
      <c r="G2357">
        <v>25.2916224814422</v>
      </c>
      <c r="H2357">
        <v>1</v>
      </c>
      <c r="I2357">
        <v>0.52181889999999997</v>
      </c>
      <c r="J2357">
        <v>2013</v>
      </c>
      <c r="K2357">
        <v>3</v>
      </c>
      <c r="L2357">
        <v>25</v>
      </c>
      <c r="M2357" t="s">
        <v>92</v>
      </c>
      <c r="N2357">
        <v>0</v>
      </c>
      <c r="O2357">
        <v>0</v>
      </c>
    </row>
    <row r="2358" spans="1:15" x14ac:dyDescent="0.3">
      <c r="A2358">
        <v>2453</v>
      </c>
      <c r="B2358" s="34">
        <v>41359</v>
      </c>
      <c r="C2358">
        <v>1.28593</v>
      </c>
      <c r="D2358">
        <v>0</v>
      </c>
      <c r="F2358">
        <v>0.42269999999999802</v>
      </c>
      <c r="G2358">
        <v>25.2916224814422</v>
      </c>
      <c r="H2358">
        <v>1</v>
      </c>
      <c r="I2358">
        <v>0.52201379999999997</v>
      </c>
      <c r="J2358">
        <v>2013</v>
      </c>
      <c r="K2358">
        <v>3</v>
      </c>
      <c r="L2358">
        <v>26</v>
      </c>
      <c r="M2358" t="s">
        <v>93</v>
      </c>
      <c r="N2358">
        <v>0</v>
      </c>
      <c r="O2358">
        <v>0</v>
      </c>
    </row>
    <row r="2359" spans="1:15" x14ac:dyDescent="0.3">
      <c r="A2359">
        <v>2454</v>
      </c>
      <c r="B2359" s="34">
        <v>41360</v>
      </c>
      <c r="C2359">
        <v>1.28633</v>
      </c>
      <c r="D2359">
        <v>0</v>
      </c>
      <c r="F2359">
        <v>0.42269999999999802</v>
      </c>
      <c r="G2359">
        <v>25.2916224814422</v>
      </c>
      <c r="H2359">
        <v>1</v>
      </c>
      <c r="I2359">
        <v>0.52220860000000002</v>
      </c>
      <c r="J2359">
        <v>2013</v>
      </c>
      <c r="K2359">
        <v>3</v>
      </c>
      <c r="L2359">
        <v>27</v>
      </c>
      <c r="M2359" t="s">
        <v>89</v>
      </c>
      <c r="N2359">
        <v>0</v>
      </c>
      <c r="O2359">
        <v>0</v>
      </c>
    </row>
    <row r="2360" spans="1:15" x14ac:dyDescent="0.3">
      <c r="A2360">
        <v>2455</v>
      </c>
      <c r="B2360" s="34">
        <v>41361</v>
      </c>
      <c r="C2360">
        <v>1.2778499999999999</v>
      </c>
      <c r="D2360">
        <v>0</v>
      </c>
      <c r="F2360">
        <v>0.42269999999999802</v>
      </c>
      <c r="G2360">
        <v>25.2916224814422</v>
      </c>
      <c r="H2360">
        <v>0</v>
      </c>
      <c r="I2360">
        <v>0.52199589999999996</v>
      </c>
      <c r="J2360">
        <v>2013</v>
      </c>
      <c r="K2360">
        <v>3</v>
      </c>
      <c r="L2360">
        <v>28</v>
      </c>
      <c r="M2360" t="s">
        <v>90</v>
      </c>
      <c r="N2360">
        <v>0</v>
      </c>
      <c r="O2360">
        <v>0</v>
      </c>
    </row>
    <row r="2361" spans="1:15" x14ac:dyDescent="0.3">
      <c r="A2361">
        <v>2456</v>
      </c>
      <c r="B2361" s="34">
        <v>41362</v>
      </c>
      <c r="C2361">
        <v>1.2814399999999999</v>
      </c>
      <c r="D2361">
        <v>0</v>
      </c>
      <c r="F2361">
        <v>0.42269999999999802</v>
      </c>
      <c r="G2361">
        <v>25.2916224814422</v>
      </c>
      <c r="H2361">
        <v>1</v>
      </c>
      <c r="I2361">
        <v>0.52219059999999995</v>
      </c>
      <c r="J2361">
        <v>2013</v>
      </c>
      <c r="K2361">
        <v>3</v>
      </c>
      <c r="L2361">
        <v>29</v>
      </c>
      <c r="M2361" t="s">
        <v>91</v>
      </c>
      <c r="N2361">
        <v>0</v>
      </c>
      <c r="O2361">
        <v>0</v>
      </c>
    </row>
    <row r="2362" spans="1:15" x14ac:dyDescent="0.3">
      <c r="A2362">
        <v>2457</v>
      </c>
      <c r="B2362" s="34">
        <v>41365</v>
      </c>
      <c r="C2362">
        <v>1.28148</v>
      </c>
      <c r="D2362">
        <v>0</v>
      </c>
      <c r="F2362">
        <v>0.42269999999999802</v>
      </c>
      <c r="G2362">
        <v>25.2916224814422</v>
      </c>
      <c r="H2362">
        <v>1</v>
      </c>
      <c r="I2362">
        <v>0.52238499999999999</v>
      </c>
      <c r="J2362">
        <v>2013</v>
      </c>
      <c r="K2362">
        <v>4</v>
      </c>
      <c r="L2362">
        <v>1</v>
      </c>
      <c r="M2362" t="s">
        <v>92</v>
      </c>
      <c r="N2362">
        <v>0</v>
      </c>
      <c r="O2362">
        <v>0</v>
      </c>
    </row>
    <row r="2363" spans="1:15" x14ac:dyDescent="0.3">
      <c r="A2363">
        <v>2458</v>
      </c>
      <c r="B2363" s="34">
        <v>41366</v>
      </c>
      <c r="C2363">
        <v>1.2843500000000001</v>
      </c>
      <c r="D2363">
        <v>0</v>
      </c>
      <c r="F2363">
        <v>0.42269999999999802</v>
      </c>
      <c r="G2363">
        <v>25.2916224814422</v>
      </c>
      <c r="H2363">
        <v>1</v>
      </c>
      <c r="I2363">
        <v>0.52257929999999997</v>
      </c>
      <c r="J2363">
        <v>2013</v>
      </c>
      <c r="K2363">
        <v>4</v>
      </c>
      <c r="L2363">
        <v>2</v>
      </c>
      <c r="M2363" t="s">
        <v>93</v>
      </c>
      <c r="N2363">
        <v>0</v>
      </c>
      <c r="O2363">
        <v>0</v>
      </c>
    </row>
    <row r="2364" spans="1:15" x14ac:dyDescent="0.3">
      <c r="A2364">
        <v>2459</v>
      </c>
      <c r="B2364" s="34">
        <v>41367</v>
      </c>
      <c r="C2364">
        <v>1.28223</v>
      </c>
      <c r="D2364">
        <v>0</v>
      </c>
      <c r="F2364">
        <v>0.42269999999999802</v>
      </c>
      <c r="G2364">
        <v>25.2916224814422</v>
      </c>
      <c r="H2364">
        <v>1</v>
      </c>
      <c r="I2364">
        <v>0.5227735</v>
      </c>
      <c r="J2364">
        <v>2013</v>
      </c>
      <c r="K2364">
        <v>4</v>
      </c>
      <c r="L2364">
        <v>3</v>
      </c>
      <c r="M2364" t="s">
        <v>89</v>
      </c>
      <c r="N2364">
        <v>0</v>
      </c>
      <c r="O2364">
        <v>0</v>
      </c>
    </row>
    <row r="2365" spans="1:15" x14ac:dyDescent="0.3">
      <c r="A2365">
        <v>2460</v>
      </c>
      <c r="B2365" s="34">
        <v>41368</v>
      </c>
      <c r="C2365">
        <v>1.28427</v>
      </c>
      <c r="D2365">
        <v>0</v>
      </c>
      <c r="F2365">
        <v>0.42269999999999802</v>
      </c>
      <c r="G2365">
        <v>25.2916224814422</v>
      </c>
      <c r="H2365">
        <v>1</v>
      </c>
      <c r="I2365">
        <v>0.52296750000000003</v>
      </c>
      <c r="J2365">
        <v>2013</v>
      </c>
      <c r="K2365">
        <v>4</v>
      </c>
      <c r="L2365">
        <v>4</v>
      </c>
      <c r="M2365" t="s">
        <v>90</v>
      </c>
      <c r="N2365">
        <v>0</v>
      </c>
      <c r="O2365">
        <v>0</v>
      </c>
    </row>
    <row r="2366" spans="1:15" x14ac:dyDescent="0.3">
      <c r="A2366">
        <v>2461</v>
      </c>
      <c r="B2366" s="34">
        <v>41369</v>
      </c>
      <c r="C2366">
        <v>1.2932999999999999</v>
      </c>
      <c r="D2366">
        <v>0</v>
      </c>
      <c r="F2366">
        <v>0.42269999999999802</v>
      </c>
      <c r="G2366">
        <v>25.2916224814422</v>
      </c>
      <c r="H2366">
        <v>0</v>
      </c>
      <c r="I2366">
        <v>0.52275499999999997</v>
      </c>
      <c r="J2366">
        <v>2013</v>
      </c>
      <c r="K2366">
        <v>4</v>
      </c>
      <c r="L2366">
        <v>5</v>
      </c>
      <c r="M2366" t="s">
        <v>91</v>
      </c>
      <c r="N2366">
        <v>0</v>
      </c>
      <c r="O2366">
        <v>0</v>
      </c>
    </row>
    <row r="2367" spans="1:15" x14ac:dyDescent="0.3">
      <c r="A2367">
        <v>2462</v>
      </c>
      <c r="B2367" s="34">
        <v>41372</v>
      </c>
      <c r="C2367">
        <v>1.29915</v>
      </c>
      <c r="D2367">
        <v>1</v>
      </c>
      <c r="E2367" t="s">
        <v>406</v>
      </c>
      <c r="F2367">
        <v>0.42538999999999799</v>
      </c>
      <c r="G2367">
        <v>24.816189466242498</v>
      </c>
      <c r="H2367">
        <v>0</v>
      </c>
      <c r="I2367">
        <v>0.52254270000000003</v>
      </c>
      <c r="J2367">
        <v>2013</v>
      </c>
      <c r="K2367">
        <v>4</v>
      </c>
      <c r="L2367">
        <v>8</v>
      </c>
      <c r="M2367" t="s">
        <v>92</v>
      </c>
      <c r="N2367">
        <v>0</v>
      </c>
      <c r="O2367">
        <v>0</v>
      </c>
    </row>
    <row r="2368" spans="1:15" x14ac:dyDescent="0.3">
      <c r="A2368">
        <v>2463</v>
      </c>
      <c r="B2368" s="34">
        <v>41373</v>
      </c>
      <c r="C2368">
        <v>1.3018400000000001</v>
      </c>
      <c r="D2368">
        <v>0</v>
      </c>
      <c r="F2368">
        <v>0.42538999999999799</v>
      </c>
      <c r="G2368">
        <v>24.816189466242498</v>
      </c>
      <c r="H2368">
        <v>0</v>
      </c>
      <c r="I2368">
        <v>0.52233050000000003</v>
      </c>
      <c r="J2368">
        <v>2013</v>
      </c>
      <c r="K2368">
        <v>4</v>
      </c>
      <c r="L2368">
        <v>9</v>
      </c>
      <c r="M2368" t="s">
        <v>93</v>
      </c>
      <c r="N2368">
        <v>0</v>
      </c>
      <c r="O2368">
        <v>0</v>
      </c>
    </row>
    <row r="2369" spans="1:15" x14ac:dyDescent="0.3">
      <c r="A2369">
        <v>2464</v>
      </c>
      <c r="B2369" s="34">
        <v>41374</v>
      </c>
      <c r="C2369">
        <v>1.3081199999999999</v>
      </c>
      <c r="D2369">
        <v>0</v>
      </c>
      <c r="F2369">
        <v>0.42538999999999799</v>
      </c>
      <c r="G2369">
        <v>24.816189466242498</v>
      </c>
      <c r="H2369">
        <v>0</v>
      </c>
      <c r="I2369">
        <v>0.52211850000000004</v>
      </c>
      <c r="J2369">
        <v>2013</v>
      </c>
      <c r="K2369">
        <v>4</v>
      </c>
      <c r="L2369">
        <v>10</v>
      </c>
      <c r="M2369" t="s">
        <v>89</v>
      </c>
      <c r="N2369">
        <v>0</v>
      </c>
      <c r="O2369">
        <v>0</v>
      </c>
    </row>
    <row r="2370" spans="1:15" x14ac:dyDescent="0.3">
      <c r="A2370">
        <v>2465</v>
      </c>
      <c r="B2370" s="34">
        <v>41375</v>
      </c>
      <c r="C2370">
        <v>1.30667</v>
      </c>
      <c r="D2370">
        <v>0</v>
      </c>
      <c r="F2370">
        <v>0.42538999999999799</v>
      </c>
      <c r="G2370">
        <v>24.816189466242498</v>
      </c>
      <c r="H2370">
        <v>1</v>
      </c>
      <c r="I2370">
        <v>0.52231240000000001</v>
      </c>
      <c r="J2370">
        <v>2013</v>
      </c>
      <c r="K2370">
        <v>4</v>
      </c>
      <c r="L2370">
        <v>11</v>
      </c>
      <c r="M2370" t="s">
        <v>90</v>
      </c>
      <c r="N2370">
        <v>0</v>
      </c>
      <c r="O2370">
        <v>0</v>
      </c>
    </row>
    <row r="2371" spans="1:15" x14ac:dyDescent="0.3">
      <c r="A2371">
        <v>2466</v>
      </c>
      <c r="B2371" s="34">
        <v>41376</v>
      </c>
      <c r="C2371">
        <v>1.3106500000000001</v>
      </c>
      <c r="D2371">
        <v>0</v>
      </c>
      <c r="F2371">
        <v>0.42538999999999799</v>
      </c>
      <c r="G2371">
        <v>24.816189466242498</v>
      </c>
      <c r="H2371">
        <v>0</v>
      </c>
      <c r="I2371">
        <v>0.52210060000000003</v>
      </c>
      <c r="J2371">
        <v>2013</v>
      </c>
      <c r="K2371">
        <v>4</v>
      </c>
      <c r="L2371">
        <v>12</v>
      </c>
      <c r="M2371" t="s">
        <v>91</v>
      </c>
      <c r="N2371">
        <v>0</v>
      </c>
      <c r="O2371">
        <v>0</v>
      </c>
    </row>
    <row r="2372" spans="1:15" x14ac:dyDescent="0.3">
      <c r="A2372">
        <v>2467</v>
      </c>
      <c r="B2372" s="34">
        <v>41379</v>
      </c>
      <c r="C2372">
        <v>1.3108200000000001</v>
      </c>
      <c r="D2372">
        <v>0</v>
      </c>
      <c r="F2372">
        <v>0.42538999999999799</v>
      </c>
      <c r="G2372">
        <v>24.816189466242498</v>
      </c>
      <c r="H2372">
        <v>0</v>
      </c>
      <c r="I2372">
        <v>0.52188889999999999</v>
      </c>
      <c r="J2372">
        <v>2013</v>
      </c>
      <c r="K2372">
        <v>4</v>
      </c>
      <c r="L2372">
        <v>15</v>
      </c>
      <c r="M2372" t="s">
        <v>92</v>
      </c>
      <c r="N2372">
        <v>0</v>
      </c>
      <c r="O2372">
        <v>0</v>
      </c>
    </row>
    <row r="2373" spans="1:15" x14ac:dyDescent="0.3">
      <c r="A2373">
        <v>2468</v>
      </c>
      <c r="B2373" s="34">
        <v>41380</v>
      </c>
      <c r="C2373">
        <v>1.3046599999999999</v>
      </c>
      <c r="D2373">
        <v>0</v>
      </c>
      <c r="F2373">
        <v>0.42538999999999799</v>
      </c>
      <c r="G2373">
        <v>24.816189466242498</v>
      </c>
      <c r="H2373">
        <v>1</v>
      </c>
      <c r="I2373">
        <v>0.52208270000000001</v>
      </c>
      <c r="J2373">
        <v>2013</v>
      </c>
      <c r="K2373">
        <v>4</v>
      </c>
      <c r="L2373">
        <v>16</v>
      </c>
      <c r="M2373" t="s">
        <v>93</v>
      </c>
      <c r="N2373">
        <v>0</v>
      </c>
      <c r="O2373">
        <v>0</v>
      </c>
    </row>
    <row r="2374" spans="1:15" x14ac:dyDescent="0.3">
      <c r="A2374">
        <v>2469</v>
      </c>
      <c r="B2374" s="34">
        <v>41381</v>
      </c>
      <c r="C2374">
        <v>1.3179000000000001</v>
      </c>
      <c r="D2374">
        <v>0</v>
      </c>
      <c r="F2374">
        <v>0.42538999999999799</v>
      </c>
      <c r="G2374">
        <v>24.816189466242498</v>
      </c>
      <c r="H2374">
        <v>1</v>
      </c>
      <c r="I2374">
        <v>0.52227619999999997</v>
      </c>
      <c r="J2374">
        <v>2013</v>
      </c>
      <c r="K2374">
        <v>4</v>
      </c>
      <c r="L2374">
        <v>17</v>
      </c>
      <c r="M2374" t="s">
        <v>89</v>
      </c>
      <c r="N2374">
        <v>0</v>
      </c>
      <c r="O2374">
        <v>0</v>
      </c>
    </row>
    <row r="2375" spans="1:15" x14ac:dyDescent="0.3">
      <c r="A2375">
        <v>2470</v>
      </c>
      <c r="B2375" s="34">
        <v>41382</v>
      </c>
      <c r="C2375">
        <v>1.30355</v>
      </c>
      <c r="D2375">
        <v>0</v>
      </c>
      <c r="F2375">
        <v>0.42538999999999799</v>
      </c>
      <c r="G2375">
        <v>24.816189466242498</v>
      </c>
      <c r="H2375">
        <v>1</v>
      </c>
      <c r="I2375">
        <v>0.52246959999999998</v>
      </c>
      <c r="J2375">
        <v>2013</v>
      </c>
      <c r="K2375">
        <v>4</v>
      </c>
      <c r="L2375">
        <v>18</v>
      </c>
      <c r="M2375" t="s">
        <v>90</v>
      </c>
      <c r="N2375">
        <v>0</v>
      </c>
      <c r="O2375">
        <v>0</v>
      </c>
    </row>
    <row r="2376" spans="1:15" x14ac:dyDescent="0.3">
      <c r="A2376">
        <v>2471</v>
      </c>
      <c r="B2376" s="34">
        <v>41383</v>
      </c>
      <c r="C2376">
        <v>1.3048299999999999</v>
      </c>
      <c r="D2376">
        <v>0</v>
      </c>
      <c r="F2376">
        <v>0.42538999999999799</v>
      </c>
      <c r="G2376">
        <v>24.816189466242498</v>
      </c>
      <c r="H2376">
        <v>1</v>
      </c>
      <c r="I2376">
        <v>0.52266290000000004</v>
      </c>
      <c r="J2376">
        <v>2013</v>
      </c>
      <c r="K2376">
        <v>4</v>
      </c>
      <c r="L2376">
        <v>19</v>
      </c>
      <c r="M2376" t="s">
        <v>91</v>
      </c>
      <c r="N2376">
        <v>0</v>
      </c>
      <c r="O2376">
        <v>0</v>
      </c>
    </row>
    <row r="2377" spans="1:15" x14ac:dyDescent="0.3">
      <c r="A2377">
        <v>2472</v>
      </c>
      <c r="B2377" s="34">
        <v>41386</v>
      </c>
      <c r="C2377">
        <v>1.3050999999999999</v>
      </c>
      <c r="D2377">
        <v>0</v>
      </c>
      <c r="F2377">
        <v>0.42538999999999799</v>
      </c>
      <c r="G2377">
        <v>24.816189466242498</v>
      </c>
      <c r="H2377">
        <v>1</v>
      </c>
      <c r="I2377">
        <v>0.52285599999999999</v>
      </c>
      <c r="J2377">
        <v>2013</v>
      </c>
      <c r="K2377">
        <v>4</v>
      </c>
      <c r="L2377">
        <v>22</v>
      </c>
      <c r="M2377" t="s">
        <v>92</v>
      </c>
      <c r="N2377">
        <v>0</v>
      </c>
      <c r="O2377">
        <v>0</v>
      </c>
    </row>
    <row r="2378" spans="1:15" x14ac:dyDescent="0.3">
      <c r="A2378">
        <v>2473</v>
      </c>
      <c r="B2378" s="34">
        <v>41387</v>
      </c>
      <c r="C2378">
        <v>1.3061499999999999</v>
      </c>
      <c r="D2378">
        <v>-2</v>
      </c>
      <c r="F2378">
        <v>0.43147999999999798</v>
      </c>
      <c r="G2378">
        <v>23.739837398374</v>
      </c>
      <c r="H2378">
        <v>1</v>
      </c>
      <c r="I2378">
        <v>0.52304890000000004</v>
      </c>
      <c r="J2378">
        <v>2013</v>
      </c>
      <c r="K2378">
        <v>4</v>
      </c>
      <c r="L2378">
        <v>23</v>
      </c>
      <c r="M2378" t="s">
        <v>93</v>
      </c>
      <c r="N2378">
        <v>0</v>
      </c>
      <c r="O2378">
        <v>0</v>
      </c>
    </row>
    <row r="2379" spans="1:15" x14ac:dyDescent="0.3">
      <c r="A2379">
        <v>2474</v>
      </c>
      <c r="B2379" s="34">
        <v>41388</v>
      </c>
      <c r="C2379">
        <v>1.30006</v>
      </c>
      <c r="D2379">
        <v>0</v>
      </c>
      <c r="F2379">
        <v>0.43147999999999798</v>
      </c>
      <c r="G2379">
        <v>23.739837398374</v>
      </c>
      <c r="H2379">
        <v>1</v>
      </c>
      <c r="I2379">
        <v>0.52324170000000003</v>
      </c>
      <c r="J2379">
        <v>2013</v>
      </c>
      <c r="K2379">
        <v>4</v>
      </c>
      <c r="L2379">
        <v>24</v>
      </c>
      <c r="M2379" t="s">
        <v>89</v>
      </c>
      <c r="N2379">
        <v>0</v>
      </c>
      <c r="O2379">
        <v>0</v>
      </c>
    </row>
    <row r="2380" spans="1:15" x14ac:dyDescent="0.3">
      <c r="A2380">
        <v>2475</v>
      </c>
      <c r="B2380" s="34">
        <v>41389</v>
      </c>
      <c r="C2380">
        <v>1.30111</v>
      </c>
      <c r="D2380">
        <v>0</v>
      </c>
      <c r="F2380">
        <v>0.43147999999999798</v>
      </c>
      <c r="G2380">
        <v>23.739837398374</v>
      </c>
      <c r="H2380">
        <v>1</v>
      </c>
      <c r="I2380">
        <v>0.52343430000000002</v>
      </c>
      <c r="J2380">
        <v>2013</v>
      </c>
      <c r="K2380">
        <v>4</v>
      </c>
      <c r="L2380">
        <v>25</v>
      </c>
      <c r="M2380" t="s">
        <v>90</v>
      </c>
      <c r="N2380">
        <v>0</v>
      </c>
      <c r="O2380">
        <v>0</v>
      </c>
    </row>
    <row r="2381" spans="1:15" x14ac:dyDescent="0.3">
      <c r="A2381">
        <v>2476</v>
      </c>
      <c r="B2381" s="34">
        <v>41390</v>
      </c>
      <c r="C2381">
        <v>1.30088</v>
      </c>
      <c r="D2381">
        <v>0</v>
      </c>
      <c r="F2381">
        <v>0.43147999999999798</v>
      </c>
      <c r="G2381">
        <v>23.739837398374</v>
      </c>
      <c r="H2381">
        <v>0</v>
      </c>
      <c r="I2381">
        <v>0.52322290000000005</v>
      </c>
      <c r="J2381">
        <v>2013</v>
      </c>
      <c r="K2381">
        <v>4</v>
      </c>
      <c r="L2381">
        <v>26</v>
      </c>
      <c r="M2381" t="s">
        <v>91</v>
      </c>
      <c r="N2381">
        <v>0</v>
      </c>
      <c r="O2381">
        <v>0</v>
      </c>
    </row>
    <row r="2382" spans="1:15" x14ac:dyDescent="0.3">
      <c r="A2382">
        <v>2477</v>
      </c>
      <c r="B2382" s="34">
        <v>41393</v>
      </c>
      <c r="C2382">
        <v>1.30267</v>
      </c>
      <c r="D2382">
        <v>0</v>
      </c>
      <c r="F2382">
        <v>0.43147999999999798</v>
      </c>
      <c r="G2382">
        <v>23.739837398374</v>
      </c>
      <c r="H2382">
        <v>1</v>
      </c>
      <c r="I2382">
        <v>0.52341539999999998</v>
      </c>
      <c r="J2382">
        <v>2013</v>
      </c>
      <c r="K2382">
        <v>4</v>
      </c>
      <c r="L2382">
        <v>29</v>
      </c>
      <c r="M2382" t="s">
        <v>92</v>
      </c>
      <c r="N2382">
        <v>0</v>
      </c>
      <c r="O2382">
        <v>0</v>
      </c>
    </row>
    <row r="2383" spans="1:15" x14ac:dyDescent="0.3">
      <c r="A2383">
        <v>2478</v>
      </c>
      <c r="B2383" s="34">
        <v>41394</v>
      </c>
      <c r="C2383">
        <v>1.3092900000000001</v>
      </c>
      <c r="D2383">
        <v>0</v>
      </c>
      <c r="F2383">
        <v>0.43147999999999798</v>
      </c>
      <c r="G2383">
        <v>23.739837398374</v>
      </c>
      <c r="H2383">
        <v>0</v>
      </c>
      <c r="I2383">
        <v>0.52320420000000001</v>
      </c>
      <c r="J2383">
        <v>2013</v>
      </c>
      <c r="K2383">
        <v>4</v>
      </c>
      <c r="L2383">
        <v>30</v>
      </c>
      <c r="M2383" t="s">
        <v>93</v>
      </c>
      <c r="N2383">
        <v>0</v>
      </c>
      <c r="O2383">
        <v>0</v>
      </c>
    </row>
    <row r="2384" spans="1:15" x14ac:dyDescent="0.3">
      <c r="A2384">
        <v>2479</v>
      </c>
      <c r="B2384" s="34">
        <v>41395</v>
      </c>
      <c r="C2384">
        <v>1.31664</v>
      </c>
      <c r="D2384">
        <v>0</v>
      </c>
      <c r="F2384">
        <v>0.43147999999999798</v>
      </c>
      <c r="G2384">
        <v>23.739837398374</v>
      </c>
      <c r="H2384">
        <v>0</v>
      </c>
      <c r="I2384">
        <v>0.52299309999999999</v>
      </c>
      <c r="J2384">
        <v>2013</v>
      </c>
      <c r="K2384">
        <v>5</v>
      </c>
      <c r="L2384">
        <v>1</v>
      </c>
      <c r="M2384" t="s">
        <v>89</v>
      </c>
      <c r="N2384">
        <v>0</v>
      </c>
      <c r="O2384">
        <v>0</v>
      </c>
    </row>
    <row r="2385" spans="1:15" x14ac:dyDescent="0.3">
      <c r="A2385">
        <v>2480</v>
      </c>
      <c r="B2385" s="34">
        <v>41396</v>
      </c>
      <c r="C2385">
        <v>1.31836</v>
      </c>
      <c r="D2385">
        <v>0</v>
      </c>
      <c r="F2385">
        <v>0.43147999999999798</v>
      </c>
      <c r="G2385">
        <v>23.739837398374</v>
      </c>
      <c r="H2385">
        <v>0</v>
      </c>
      <c r="I2385">
        <v>0.52278230000000003</v>
      </c>
      <c r="J2385">
        <v>2013</v>
      </c>
      <c r="K2385">
        <v>5</v>
      </c>
      <c r="L2385">
        <v>2</v>
      </c>
      <c r="M2385" t="s">
        <v>90</v>
      </c>
      <c r="N2385">
        <v>0</v>
      </c>
      <c r="O2385">
        <v>0</v>
      </c>
    </row>
    <row r="2386" spans="1:15" x14ac:dyDescent="0.3">
      <c r="A2386">
        <v>2481</v>
      </c>
      <c r="B2386" s="34">
        <v>41397</v>
      </c>
      <c r="C2386">
        <v>1.3061799999999999</v>
      </c>
      <c r="D2386">
        <v>0</v>
      </c>
      <c r="F2386">
        <v>0.43147999999999798</v>
      </c>
      <c r="G2386">
        <v>23.739837398374</v>
      </c>
      <c r="H2386">
        <v>1</v>
      </c>
      <c r="I2386">
        <v>0.52297459999999996</v>
      </c>
      <c r="J2386">
        <v>2013</v>
      </c>
      <c r="K2386">
        <v>5</v>
      </c>
      <c r="L2386">
        <v>3</v>
      </c>
      <c r="M2386" t="s">
        <v>91</v>
      </c>
      <c r="N2386">
        <v>0</v>
      </c>
      <c r="O2386">
        <v>0</v>
      </c>
    </row>
    <row r="2387" spans="1:15" x14ac:dyDescent="0.3">
      <c r="A2387">
        <v>2482</v>
      </c>
      <c r="B2387" s="34">
        <v>41400</v>
      </c>
      <c r="C2387">
        <v>1.31131</v>
      </c>
      <c r="D2387">
        <v>0</v>
      </c>
      <c r="F2387">
        <v>0.43147999999999798</v>
      </c>
      <c r="G2387">
        <v>23.739837398374</v>
      </c>
      <c r="H2387">
        <v>0</v>
      </c>
      <c r="I2387">
        <v>0.52276389999999995</v>
      </c>
      <c r="J2387">
        <v>2013</v>
      </c>
      <c r="K2387">
        <v>5</v>
      </c>
      <c r="L2387">
        <v>6</v>
      </c>
      <c r="M2387" t="s">
        <v>92</v>
      </c>
      <c r="N2387">
        <v>0</v>
      </c>
      <c r="O2387">
        <v>0</v>
      </c>
    </row>
    <row r="2388" spans="1:15" x14ac:dyDescent="0.3">
      <c r="A2388">
        <v>2483</v>
      </c>
      <c r="B2388" s="34">
        <v>41401</v>
      </c>
      <c r="C2388">
        <v>1.3072699999999999</v>
      </c>
      <c r="D2388">
        <v>0</v>
      </c>
      <c r="F2388">
        <v>0.43147999999999798</v>
      </c>
      <c r="G2388">
        <v>23.739837398374</v>
      </c>
      <c r="H2388">
        <v>1</v>
      </c>
      <c r="I2388">
        <v>0.52295610000000003</v>
      </c>
      <c r="J2388">
        <v>2013</v>
      </c>
      <c r="K2388">
        <v>5</v>
      </c>
      <c r="L2388">
        <v>7</v>
      </c>
      <c r="M2388" t="s">
        <v>93</v>
      </c>
      <c r="N2388">
        <v>0</v>
      </c>
      <c r="O2388">
        <v>0</v>
      </c>
    </row>
    <row r="2389" spans="1:15" x14ac:dyDescent="0.3">
      <c r="A2389">
        <v>2484</v>
      </c>
      <c r="B2389" s="34">
        <v>41402</v>
      </c>
      <c r="C2389">
        <v>1.3078700000000001</v>
      </c>
      <c r="D2389">
        <v>0</v>
      </c>
      <c r="F2389">
        <v>0.43147999999999798</v>
      </c>
      <c r="G2389">
        <v>23.739837398374</v>
      </c>
      <c r="H2389">
        <v>0</v>
      </c>
      <c r="I2389">
        <v>0.52274549999999997</v>
      </c>
      <c r="J2389">
        <v>2013</v>
      </c>
      <c r="K2389">
        <v>5</v>
      </c>
      <c r="L2389">
        <v>8</v>
      </c>
      <c r="M2389" t="s">
        <v>89</v>
      </c>
      <c r="N2389">
        <v>0</v>
      </c>
      <c r="O2389">
        <v>0</v>
      </c>
    </row>
    <row r="2390" spans="1:15" x14ac:dyDescent="0.3">
      <c r="A2390">
        <v>2485</v>
      </c>
      <c r="B2390" s="34">
        <v>41403</v>
      </c>
      <c r="C2390">
        <v>1.3160000000000001</v>
      </c>
      <c r="D2390">
        <v>0</v>
      </c>
      <c r="F2390">
        <v>0.43147999999999798</v>
      </c>
      <c r="G2390">
        <v>23.739837398374</v>
      </c>
      <c r="H2390">
        <v>0</v>
      </c>
      <c r="I2390">
        <v>0.52253519999999998</v>
      </c>
      <c r="J2390">
        <v>2013</v>
      </c>
      <c r="K2390">
        <v>5</v>
      </c>
      <c r="L2390">
        <v>9</v>
      </c>
      <c r="M2390" t="s">
        <v>90</v>
      </c>
      <c r="N2390">
        <v>0</v>
      </c>
      <c r="O2390">
        <v>0</v>
      </c>
    </row>
    <row r="2391" spans="1:15" x14ac:dyDescent="0.3">
      <c r="A2391">
        <v>2486</v>
      </c>
      <c r="B2391" s="34">
        <v>41404</v>
      </c>
      <c r="C2391">
        <v>1.3044100000000001</v>
      </c>
      <c r="D2391">
        <v>0</v>
      </c>
      <c r="F2391">
        <v>0.43147999999999798</v>
      </c>
      <c r="G2391">
        <v>23.739837398374</v>
      </c>
      <c r="H2391">
        <v>1</v>
      </c>
      <c r="I2391">
        <v>0.52272730000000001</v>
      </c>
      <c r="J2391">
        <v>2013</v>
      </c>
      <c r="K2391">
        <v>5</v>
      </c>
      <c r="L2391">
        <v>10</v>
      </c>
      <c r="M2391" t="s">
        <v>91</v>
      </c>
      <c r="N2391">
        <v>0</v>
      </c>
      <c r="O2391">
        <v>0</v>
      </c>
    </row>
    <row r="2392" spans="1:15" x14ac:dyDescent="0.3">
      <c r="A2392">
        <v>2487</v>
      </c>
      <c r="B2392" s="34">
        <v>41407</v>
      </c>
      <c r="C2392">
        <v>1.29853</v>
      </c>
      <c r="D2392">
        <v>0</v>
      </c>
      <c r="F2392">
        <v>0.43147999999999798</v>
      </c>
      <c r="G2392">
        <v>23.739837398374</v>
      </c>
      <c r="H2392">
        <v>0</v>
      </c>
      <c r="I2392">
        <v>0.52251709999999996</v>
      </c>
      <c r="J2392">
        <v>2013</v>
      </c>
      <c r="K2392">
        <v>5</v>
      </c>
      <c r="L2392">
        <v>13</v>
      </c>
      <c r="M2392" t="s">
        <v>92</v>
      </c>
      <c r="N2392">
        <v>0</v>
      </c>
      <c r="O2392">
        <v>0</v>
      </c>
    </row>
    <row r="2393" spans="1:15" x14ac:dyDescent="0.3">
      <c r="A2393">
        <v>2488</v>
      </c>
      <c r="B2393" s="34">
        <v>41408</v>
      </c>
      <c r="C2393">
        <v>1.2982</v>
      </c>
      <c r="D2393">
        <v>0</v>
      </c>
      <c r="F2393">
        <v>0.43147999999999798</v>
      </c>
      <c r="G2393">
        <v>23.739837398374</v>
      </c>
      <c r="H2393">
        <v>0</v>
      </c>
      <c r="I2393">
        <v>0.52230710000000002</v>
      </c>
      <c r="J2393">
        <v>2013</v>
      </c>
      <c r="K2393">
        <v>5</v>
      </c>
      <c r="L2393">
        <v>14</v>
      </c>
      <c r="M2393" t="s">
        <v>93</v>
      </c>
      <c r="N2393">
        <v>0</v>
      </c>
      <c r="O2393">
        <v>0</v>
      </c>
    </row>
    <row r="2394" spans="1:15" x14ac:dyDescent="0.3">
      <c r="A2394">
        <v>2489</v>
      </c>
      <c r="B2394" s="34">
        <v>41409</v>
      </c>
      <c r="C2394">
        <v>1.2931299999999999</v>
      </c>
      <c r="D2394">
        <v>1</v>
      </c>
      <c r="E2394" t="s">
        <v>407</v>
      </c>
      <c r="F2394">
        <v>0.42636999999999797</v>
      </c>
      <c r="G2394">
        <v>24.642983386355599</v>
      </c>
      <c r="H2394">
        <v>0</v>
      </c>
      <c r="I2394">
        <v>0.52209720000000004</v>
      </c>
      <c r="J2394">
        <v>2013</v>
      </c>
      <c r="K2394">
        <v>5</v>
      </c>
      <c r="L2394">
        <v>15</v>
      </c>
      <c r="M2394" t="s">
        <v>89</v>
      </c>
      <c r="N2394">
        <v>0</v>
      </c>
      <c r="O2394">
        <v>0</v>
      </c>
    </row>
    <row r="2395" spans="1:15" x14ac:dyDescent="0.3">
      <c r="A2395">
        <v>2490</v>
      </c>
      <c r="B2395" s="34">
        <v>41410</v>
      </c>
      <c r="C2395">
        <v>1.2880199999999999</v>
      </c>
      <c r="D2395">
        <v>0</v>
      </c>
      <c r="F2395">
        <v>0.42636999999999797</v>
      </c>
      <c r="G2395">
        <v>24.642983386355599</v>
      </c>
      <c r="H2395">
        <v>0</v>
      </c>
      <c r="I2395">
        <v>0.52188749999999995</v>
      </c>
      <c r="J2395">
        <v>2013</v>
      </c>
      <c r="K2395">
        <v>5</v>
      </c>
      <c r="L2395">
        <v>16</v>
      </c>
      <c r="M2395" t="s">
        <v>90</v>
      </c>
      <c r="N2395">
        <v>0</v>
      </c>
      <c r="O2395">
        <v>0</v>
      </c>
    </row>
    <row r="2396" spans="1:15" x14ac:dyDescent="0.3">
      <c r="A2396">
        <v>2491</v>
      </c>
      <c r="B2396" s="34">
        <v>41411</v>
      </c>
      <c r="C2396">
        <v>1.2882899999999999</v>
      </c>
      <c r="D2396">
        <v>0</v>
      </c>
      <c r="F2396">
        <v>0.42636999999999797</v>
      </c>
      <c r="G2396">
        <v>24.642983386355599</v>
      </c>
      <c r="H2396">
        <v>1</v>
      </c>
      <c r="I2396">
        <v>0.52207950000000003</v>
      </c>
      <c r="J2396">
        <v>2013</v>
      </c>
      <c r="K2396">
        <v>5</v>
      </c>
      <c r="L2396">
        <v>17</v>
      </c>
      <c r="M2396" t="s">
        <v>91</v>
      </c>
      <c r="N2396">
        <v>0</v>
      </c>
      <c r="O2396">
        <v>0</v>
      </c>
    </row>
    <row r="2397" spans="1:15" x14ac:dyDescent="0.3">
      <c r="A2397">
        <v>2492</v>
      </c>
      <c r="B2397" s="34">
        <v>41414</v>
      </c>
      <c r="C2397">
        <v>1.28363</v>
      </c>
      <c r="D2397">
        <v>0</v>
      </c>
      <c r="F2397">
        <v>0.42636999999999797</v>
      </c>
      <c r="G2397">
        <v>24.642983386355599</v>
      </c>
      <c r="H2397">
        <v>1</v>
      </c>
      <c r="I2397">
        <v>0.52227129999999999</v>
      </c>
      <c r="J2397">
        <v>2013</v>
      </c>
      <c r="K2397">
        <v>5</v>
      </c>
      <c r="L2397">
        <v>20</v>
      </c>
      <c r="M2397" t="s">
        <v>92</v>
      </c>
      <c r="N2397">
        <v>0</v>
      </c>
      <c r="O2397">
        <v>0</v>
      </c>
    </row>
    <row r="2398" spans="1:15" x14ac:dyDescent="0.3">
      <c r="A2398">
        <v>2493</v>
      </c>
      <c r="B2398" s="34">
        <v>41415</v>
      </c>
      <c r="C2398">
        <v>1.2883899999999999</v>
      </c>
      <c r="D2398">
        <v>0</v>
      </c>
      <c r="F2398">
        <v>0.42636999999999797</v>
      </c>
      <c r="G2398">
        <v>24.642983386355599</v>
      </c>
      <c r="H2398">
        <v>1</v>
      </c>
      <c r="I2398">
        <v>0.52246289999999995</v>
      </c>
      <c r="J2398">
        <v>2013</v>
      </c>
      <c r="K2398">
        <v>5</v>
      </c>
      <c r="L2398">
        <v>21</v>
      </c>
      <c r="M2398" t="s">
        <v>93</v>
      </c>
      <c r="N2398">
        <v>0</v>
      </c>
      <c r="O2398">
        <v>0</v>
      </c>
    </row>
    <row r="2399" spans="1:15" x14ac:dyDescent="0.3">
      <c r="A2399">
        <v>2494</v>
      </c>
      <c r="B2399" s="34">
        <v>41416</v>
      </c>
      <c r="C2399">
        <v>1.29061</v>
      </c>
      <c r="D2399">
        <v>0</v>
      </c>
      <c r="F2399">
        <v>0.42636999999999797</v>
      </c>
      <c r="G2399">
        <v>24.642983386355599</v>
      </c>
      <c r="H2399">
        <v>0</v>
      </c>
      <c r="I2399">
        <v>0.52225339999999998</v>
      </c>
      <c r="J2399">
        <v>2013</v>
      </c>
      <c r="K2399">
        <v>5</v>
      </c>
      <c r="L2399">
        <v>22</v>
      </c>
      <c r="M2399" t="s">
        <v>89</v>
      </c>
      <c r="N2399">
        <v>0</v>
      </c>
      <c r="O2399">
        <v>0</v>
      </c>
    </row>
    <row r="2400" spans="1:15" x14ac:dyDescent="0.3">
      <c r="A2400">
        <v>2495</v>
      </c>
      <c r="B2400" s="34">
        <v>41417</v>
      </c>
      <c r="C2400">
        <v>1.28529</v>
      </c>
      <c r="D2400">
        <v>0</v>
      </c>
      <c r="F2400">
        <v>0.42636999999999797</v>
      </c>
      <c r="G2400">
        <v>24.642983386355599</v>
      </c>
      <c r="H2400">
        <v>1</v>
      </c>
      <c r="I2400">
        <v>0.52244489999999999</v>
      </c>
      <c r="J2400">
        <v>2013</v>
      </c>
      <c r="K2400">
        <v>5</v>
      </c>
      <c r="L2400">
        <v>23</v>
      </c>
      <c r="M2400" t="s">
        <v>90</v>
      </c>
      <c r="N2400">
        <v>0</v>
      </c>
      <c r="O2400">
        <v>0</v>
      </c>
    </row>
    <row r="2401" spans="1:15" x14ac:dyDescent="0.3">
      <c r="A2401">
        <v>2496</v>
      </c>
      <c r="B2401" s="34">
        <v>41418</v>
      </c>
      <c r="C2401">
        <v>1.29321</v>
      </c>
      <c r="D2401">
        <v>0</v>
      </c>
      <c r="F2401">
        <v>0.42636999999999797</v>
      </c>
      <c r="G2401">
        <v>24.642983386355599</v>
      </c>
      <c r="H2401">
        <v>1</v>
      </c>
      <c r="I2401">
        <v>0.5226362</v>
      </c>
      <c r="J2401">
        <v>2013</v>
      </c>
      <c r="K2401">
        <v>5</v>
      </c>
      <c r="L2401">
        <v>24</v>
      </c>
      <c r="M2401" t="s">
        <v>91</v>
      </c>
      <c r="N2401">
        <v>0</v>
      </c>
      <c r="O2401">
        <v>0</v>
      </c>
    </row>
    <row r="2402" spans="1:15" x14ac:dyDescent="0.3">
      <c r="A2402">
        <v>2497</v>
      </c>
      <c r="B2402" s="34">
        <v>41421</v>
      </c>
      <c r="C2402">
        <v>1.29278</v>
      </c>
      <c r="D2402">
        <v>0</v>
      </c>
      <c r="F2402">
        <v>0.42636999999999797</v>
      </c>
      <c r="G2402">
        <v>24.642983386355599</v>
      </c>
      <c r="H2402">
        <v>1</v>
      </c>
      <c r="I2402">
        <v>0.52282740000000005</v>
      </c>
      <c r="J2402">
        <v>2013</v>
      </c>
      <c r="K2402">
        <v>5</v>
      </c>
      <c r="L2402">
        <v>27</v>
      </c>
      <c r="M2402" t="s">
        <v>92</v>
      </c>
      <c r="N2402">
        <v>0</v>
      </c>
      <c r="O2402">
        <v>0</v>
      </c>
    </row>
    <row r="2403" spans="1:15" x14ac:dyDescent="0.3">
      <c r="A2403">
        <v>2498</v>
      </c>
      <c r="B2403" s="34">
        <v>41422</v>
      </c>
      <c r="C2403">
        <v>1.29335</v>
      </c>
      <c r="D2403">
        <v>0</v>
      </c>
      <c r="F2403">
        <v>0.42636999999999797</v>
      </c>
      <c r="G2403">
        <v>24.642983386355599</v>
      </c>
      <c r="H2403">
        <v>0</v>
      </c>
      <c r="I2403">
        <v>0.52261809999999997</v>
      </c>
      <c r="J2403">
        <v>2013</v>
      </c>
      <c r="K2403">
        <v>5</v>
      </c>
      <c r="L2403">
        <v>28</v>
      </c>
      <c r="M2403" t="s">
        <v>93</v>
      </c>
      <c r="N2403">
        <v>0</v>
      </c>
      <c r="O2403">
        <v>0</v>
      </c>
    </row>
    <row r="2404" spans="1:15" x14ac:dyDescent="0.3">
      <c r="A2404">
        <v>2499</v>
      </c>
      <c r="B2404" s="34">
        <v>41423</v>
      </c>
      <c r="C2404">
        <v>1.28522</v>
      </c>
      <c r="D2404">
        <v>0</v>
      </c>
      <c r="F2404">
        <v>0.42636999999999797</v>
      </c>
      <c r="G2404">
        <v>24.642983386355599</v>
      </c>
      <c r="H2404">
        <v>1</v>
      </c>
      <c r="I2404">
        <v>0.52280910000000003</v>
      </c>
      <c r="J2404">
        <v>2013</v>
      </c>
      <c r="K2404">
        <v>5</v>
      </c>
      <c r="L2404">
        <v>29</v>
      </c>
      <c r="M2404" t="s">
        <v>89</v>
      </c>
      <c r="N2404">
        <v>0</v>
      </c>
      <c r="O2404">
        <v>0</v>
      </c>
    </row>
    <row r="2405" spans="1:15" x14ac:dyDescent="0.3">
      <c r="A2405">
        <v>2500</v>
      </c>
      <c r="B2405" s="34">
        <v>41424</v>
      </c>
      <c r="C2405">
        <v>1.2940100000000001</v>
      </c>
      <c r="D2405">
        <v>0</v>
      </c>
      <c r="F2405">
        <v>0.42636999999999797</v>
      </c>
      <c r="G2405">
        <v>24.642983386355599</v>
      </c>
      <c r="H2405">
        <v>1</v>
      </c>
      <c r="I2405">
        <v>0.52300000000000002</v>
      </c>
      <c r="J2405">
        <v>2013</v>
      </c>
      <c r="K2405">
        <v>5</v>
      </c>
      <c r="L2405">
        <v>30</v>
      </c>
      <c r="M2405" t="s">
        <v>90</v>
      </c>
      <c r="N2405">
        <v>0</v>
      </c>
      <c r="O2405">
        <v>0</v>
      </c>
    </row>
    <row r="2406" spans="1:15" x14ac:dyDescent="0.3">
      <c r="A2406">
        <v>2501</v>
      </c>
      <c r="B2406" s="34">
        <v>41425</v>
      </c>
      <c r="C2406">
        <v>1.3044</v>
      </c>
      <c r="D2406">
        <v>0</v>
      </c>
      <c r="F2406">
        <v>0.42636999999999797</v>
      </c>
      <c r="G2406">
        <v>24.642983386355599</v>
      </c>
      <c r="H2406">
        <v>0</v>
      </c>
      <c r="I2406">
        <v>0.52279089999999995</v>
      </c>
      <c r="J2406">
        <v>2013</v>
      </c>
      <c r="K2406">
        <v>5</v>
      </c>
      <c r="L2406">
        <v>31</v>
      </c>
      <c r="M2406" t="s">
        <v>91</v>
      </c>
      <c r="N2406">
        <v>0</v>
      </c>
      <c r="O2406">
        <v>0</v>
      </c>
    </row>
    <row r="2407" spans="1:15" x14ac:dyDescent="0.3">
      <c r="A2407">
        <v>2502</v>
      </c>
      <c r="B2407" s="34">
        <v>41428</v>
      </c>
      <c r="C2407">
        <v>1.29956</v>
      </c>
      <c r="D2407">
        <v>0</v>
      </c>
      <c r="F2407">
        <v>0.42636999999999797</v>
      </c>
      <c r="G2407">
        <v>24.642983386355599</v>
      </c>
      <c r="H2407">
        <v>1</v>
      </c>
      <c r="I2407">
        <v>0.52298160000000005</v>
      </c>
      <c r="J2407">
        <v>2013</v>
      </c>
      <c r="K2407">
        <v>6</v>
      </c>
      <c r="L2407">
        <v>3</v>
      </c>
      <c r="M2407" t="s">
        <v>92</v>
      </c>
      <c r="N2407">
        <v>0</v>
      </c>
      <c r="O2407">
        <v>0</v>
      </c>
    </row>
    <row r="2408" spans="1:15" x14ac:dyDescent="0.3">
      <c r="A2408">
        <v>2503</v>
      </c>
      <c r="B2408" s="34">
        <v>41429</v>
      </c>
      <c r="C2408">
        <v>1.3069999999999999</v>
      </c>
      <c r="D2408">
        <v>0</v>
      </c>
      <c r="F2408">
        <v>0.42636999999999797</v>
      </c>
      <c r="G2408">
        <v>24.642983386355599</v>
      </c>
      <c r="H2408">
        <v>0</v>
      </c>
      <c r="I2408">
        <v>0.52277269999999998</v>
      </c>
      <c r="J2408">
        <v>2013</v>
      </c>
      <c r="K2408">
        <v>6</v>
      </c>
      <c r="L2408">
        <v>4</v>
      </c>
      <c r="M2408" t="s">
        <v>93</v>
      </c>
      <c r="N2408">
        <v>0</v>
      </c>
      <c r="O2408">
        <v>0</v>
      </c>
    </row>
    <row r="2409" spans="1:15" x14ac:dyDescent="0.3">
      <c r="A2409">
        <v>2504</v>
      </c>
      <c r="B2409" s="34">
        <v>41430</v>
      </c>
      <c r="C2409">
        <v>1.30823</v>
      </c>
      <c r="D2409">
        <v>0</v>
      </c>
      <c r="F2409">
        <v>0.42636999999999797</v>
      </c>
      <c r="G2409">
        <v>24.642983386355599</v>
      </c>
      <c r="H2409">
        <v>0</v>
      </c>
      <c r="I2409">
        <v>0.52256389999999997</v>
      </c>
      <c r="J2409">
        <v>2013</v>
      </c>
      <c r="K2409">
        <v>6</v>
      </c>
      <c r="L2409">
        <v>5</v>
      </c>
      <c r="M2409" t="s">
        <v>89</v>
      </c>
      <c r="N2409">
        <v>0</v>
      </c>
      <c r="O2409">
        <v>0</v>
      </c>
    </row>
    <row r="2410" spans="1:15" x14ac:dyDescent="0.3">
      <c r="A2410">
        <v>2505</v>
      </c>
      <c r="B2410" s="34">
        <v>41431</v>
      </c>
      <c r="C2410">
        <v>1.3092299999999999</v>
      </c>
      <c r="D2410">
        <v>0</v>
      </c>
      <c r="F2410">
        <v>0.42636999999999797</v>
      </c>
      <c r="G2410">
        <v>24.642983386355599</v>
      </c>
      <c r="H2410">
        <v>0</v>
      </c>
      <c r="I2410">
        <v>0.52235529999999997</v>
      </c>
      <c r="J2410">
        <v>2013</v>
      </c>
      <c r="K2410">
        <v>6</v>
      </c>
      <c r="L2410">
        <v>6</v>
      </c>
      <c r="M2410" t="s">
        <v>90</v>
      </c>
      <c r="N2410">
        <v>0</v>
      </c>
      <c r="O2410">
        <v>0</v>
      </c>
    </row>
    <row r="2411" spans="1:15" x14ac:dyDescent="0.3">
      <c r="A2411">
        <v>2506</v>
      </c>
      <c r="B2411" s="34">
        <v>41432</v>
      </c>
      <c r="C2411">
        <v>1.32453</v>
      </c>
      <c r="D2411">
        <v>0</v>
      </c>
      <c r="F2411">
        <v>0.42636999999999797</v>
      </c>
      <c r="G2411">
        <v>24.642983386355599</v>
      </c>
      <c r="H2411">
        <v>0</v>
      </c>
      <c r="I2411">
        <v>0.52214680000000002</v>
      </c>
      <c r="J2411">
        <v>2013</v>
      </c>
      <c r="K2411">
        <v>6</v>
      </c>
      <c r="L2411">
        <v>7</v>
      </c>
      <c r="M2411" t="s">
        <v>91</v>
      </c>
      <c r="N2411">
        <v>0</v>
      </c>
      <c r="O2411">
        <v>0</v>
      </c>
    </row>
    <row r="2412" spans="1:15" x14ac:dyDescent="0.3">
      <c r="A2412">
        <v>2507</v>
      </c>
      <c r="B2412" s="34">
        <v>41435</v>
      </c>
      <c r="C2412">
        <v>1.32168</v>
      </c>
      <c r="D2412">
        <v>0</v>
      </c>
      <c r="F2412">
        <v>0.42636999999999797</v>
      </c>
      <c r="G2412">
        <v>24.642983386355599</v>
      </c>
      <c r="H2412">
        <v>1</v>
      </c>
      <c r="I2412">
        <v>0.52233739999999995</v>
      </c>
      <c r="J2412">
        <v>2013</v>
      </c>
      <c r="K2412">
        <v>6</v>
      </c>
      <c r="L2412">
        <v>10</v>
      </c>
      <c r="M2412" t="s">
        <v>92</v>
      </c>
      <c r="N2412">
        <v>0</v>
      </c>
      <c r="O2412">
        <v>0</v>
      </c>
    </row>
    <row r="2413" spans="1:15" x14ac:dyDescent="0.3">
      <c r="A2413">
        <v>2508</v>
      </c>
      <c r="B2413" s="34">
        <v>41436</v>
      </c>
      <c r="C2413">
        <v>1.3256600000000001</v>
      </c>
      <c r="D2413">
        <v>0</v>
      </c>
      <c r="F2413">
        <v>0.42636999999999797</v>
      </c>
      <c r="G2413">
        <v>24.642983386355599</v>
      </c>
      <c r="H2413">
        <v>0</v>
      </c>
      <c r="I2413">
        <v>0.52212919999999996</v>
      </c>
      <c r="J2413">
        <v>2013</v>
      </c>
      <c r="K2413">
        <v>6</v>
      </c>
      <c r="L2413">
        <v>11</v>
      </c>
      <c r="M2413" t="s">
        <v>93</v>
      </c>
      <c r="N2413">
        <v>0</v>
      </c>
      <c r="O2413">
        <v>0</v>
      </c>
    </row>
    <row r="2414" spans="1:15" x14ac:dyDescent="0.3">
      <c r="A2414">
        <v>2509</v>
      </c>
      <c r="B2414" s="34">
        <v>41437</v>
      </c>
      <c r="C2414">
        <v>1.3313699999999999</v>
      </c>
      <c r="D2414">
        <v>0</v>
      </c>
      <c r="F2414">
        <v>0.42636999999999797</v>
      </c>
      <c r="G2414">
        <v>24.642983386355599</v>
      </c>
      <c r="H2414">
        <v>0</v>
      </c>
      <c r="I2414">
        <v>0.52192110000000003</v>
      </c>
      <c r="J2414">
        <v>2013</v>
      </c>
      <c r="K2414">
        <v>6</v>
      </c>
      <c r="L2414">
        <v>12</v>
      </c>
      <c r="M2414" t="s">
        <v>89</v>
      </c>
      <c r="N2414">
        <v>0</v>
      </c>
      <c r="O2414">
        <v>0</v>
      </c>
    </row>
    <row r="2415" spans="1:15" x14ac:dyDescent="0.3">
      <c r="A2415">
        <v>2510</v>
      </c>
      <c r="B2415" s="34">
        <v>41438</v>
      </c>
      <c r="C2415">
        <v>1.3337000000000001</v>
      </c>
      <c r="D2415">
        <v>0</v>
      </c>
      <c r="F2415">
        <v>0.42636999999999797</v>
      </c>
      <c r="G2415">
        <v>24.642983386355599</v>
      </c>
      <c r="H2415">
        <v>0</v>
      </c>
      <c r="I2415">
        <v>0.52171310000000004</v>
      </c>
      <c r="J2415">
        <v>2013</v>
      </c>
      <c r="K2415">
        <v>6</v>
      </c>
      <c r="L2415">
        <v>13</v>
      </c>
      <c r="M2415" t="s">
        <v>90</v>
      </c>
      <c r="N2415">
        <v>0</v>
      </c>
      <c r="O2415">
        <v>0</v>
      </c>
    </row>
    <row r="2416" spans="1:15" x14ac:dyDescent="0.3">
      <c r="A2416">
        <v>2511</v>
      </c>
      <c r="B2416" s="34">
        <v>41439</v>
      </c>
      <c r="C2416">
        <v>1.3375600000000001</v>
      </c>
      <c r="D2416">
        <v>-1</v>
      </c>
      <c r="F2416">
        <v>0.42947999999999797</v>
      </c>
      <c r="G2416">
        <v>24.0933191940615</v>
      </c>
      <c r="H2416">
        <v>0</v>
      </c>
      <c r="I2416">
        <v>0.52150540000000001</v>
      </c>
      <c r="J2416">
        <v>2013</v>
      </c>
      <c r="K2416">
        <v>6</v>
      </c>
      <c r="L2416">
        <v>14</v>
      </c>
      <c r="M2416" t="s">
        <v>91</v>
      </c>
      <c r="N2416">
        <v>0</v>
      </c>
      <c r="O2416">
        <v>0</v>
      </c>
    </row>
    <row r="2417" spans="1:15" x14ac:dyDescent="0.3">
      <c r="A2417">
        <v>2512</v>
      </c>
      <c r="B2417" s="34">
        <v>41442</v>
      </c>
      <c r="C2417">
        <v>1.3344499999999999</v>
      </c>
      <c r="D2417">
        <v>0</v>
      </c>
      <c r="F2417">
        <v>0.42947999999999797</v>
      </c>
      <c r="G2417">
        <v>24.0933191940615</v>
      </c>
      <c r="H2417">
        <v>0</v>
      </c>
      <c r="I2417">
        <v>0.52129780000000003</v>
      </c>
      <c r="J2417">
        <v>2013</v>
      </c>
      <c r="K2417">
        <v>6</v>
      </c>
      <c r="L2417">
        <v>17</v>
      </c>
      <c r="M2417" t="s">
        <v>92</v>
      </c>
      <c r="N2417">
        <v>0</v>
      </c>
      <c r="O2417">
        <v>0</v>
      </c>
    </row>
    <row r="2418" spans="1:15" x14ac:dyDescent="0.3">
      <c r="A2418">
        <v>2513</v>
      </c>
      <c r="B2418" s="34">
        <v>41443</v>
      </c>
      <c r="C2418">
        <v>1.3362000000000001</v>
      </c>
      <c r="D2418">
        <v>0</v>
      </c>
      <c r="F2418">
        <v>0.42947999999999797</v>
      </c>
      <c r="G2418">
        <v>24.0933191940615</v>
      </c>
      <c r="H2418">
        <v>1</v>
      </c>
      <c r="I2418">
        <v>0.52148819999999996</v>
      </c>
      <c r="J2418">
        <v>2013</v>
      </c>
      <c r="K2418">
        <v>6</v>
      </c>
      <c r="L2418">
        <v>18</v>
      </c>
      <c r="M2418" t="s">
        <v>93</v>
      </c>
      <c r="N2418">
        <v>0</v>
      </c>
      <c r="O2418">
        <v>0</v>
      </c>
    </row>
    <row r="2419" spans="1:15" x14ac:dyDescent="0.3">
      <c r="A2419">
        <v>2514</v>
      </c>
      <c r="B2419" s="34">
        <v>41444</v>
      </c>
      <c r="C2419">
        <v>1.3393999999999999</v>
      </c>
      <c r="D2419">
        <v>-2</v>
      </c>
      <c r="F2419">
        <v>0.43928999999999802</v>
      </c>
      <c r="G2419">
        <v>22.359490986214201</v>
      </c>
      <c r="H2419">
        <v>0</v>
      </c>
      <c r="I2419">
        <v>0.52128079999999999</v>
      </c>
      <c r="J2419">
        <v>2013</v>
      </c>
      <c r="K2419">
        <v>6</v>
      </c>
      <c r="L2419">
        <v>19</v>
      </c>
      <c r="M2419" t="s">
        <v>89</v>
      </c>
      <c r="N2419">
        <v>0</v>
      </c>
      <c r="O2419">
        <v>0</v>
      </c>
    </row>
    <row r="2420" spans="1:15" x14ac:dyDescent="0.3">
      <c r="A2420">
        <v>2515</v>
      </c>
      <c r="B2420" s="34">
        <v>41445</v>
      </c>
      <c r="C2420">
        <v>1.32959</v>
      </c>
      <c r="D2420">
        <v>-1</v>
      </c>
      <c r="F2420">
        <v>0.44617999999999802</v>
      </c>
      <c r="G2420">
        <v>21.141746200070699</v>
      </c>
      <c r="H2420">
        <v>1</v>
      </c>
      <c r="I2420">
        <v>0.52147120000000002</v>
      </c>
      <c r="J2420">
        <v>2013</v>
      </c>
      <c r="K2420">
        <v>6</v>
      </c>
      <c r="L2420">
        <v>20</v>
      </c>
      <c r="M2420" t="s">
        <v>90</v>
      </c>
      <c r="N2420">
        <v>0</v>
      </c>
      <c r="O2420">
        <v>0</v>
      </c>
    </row>
    <row r="2421" spans="1:15" x14ac:dyDescent="0.3">
      <c r="A2421">
        <v>2516</v>
      </c>
      <c r="B2421" s="34">
        <v>41446</v>
      </c>
      <c r="C2421">
        <v>1.3227</v>
      </c>
      <c r="D2421">
        <v>0</v>
      </c>
      <c r="F2421">
        <v>0.44617999999999802</v>
      </c>
      <c r="G2421">
        <v>21.141746200070699</v>
      </c>
      <c r="H2421">
        <v>0</v>
      </c>
      <c r="I2421">
        <v>0.5212639</v>
      </c>
      <c r="J2421">
        <v>2013</v>
      </c>
      <c r="K2421">
        <v>6</v>
      </c>
      <c r="L2421">
        <v>21</v>
      </c>
      <c r="M2421" t="s">
        <v>91</v>
      </c>
      <c r="N2421">
        <v>0</v>
      </c>
      <c r="O2421">
        <v>0</v>
      </c>
    </row>
    <row r="2422" spans="1:15" x14ac:dyDescent="0.3">
      <c r="A2422">
        <v>2517</v>
      </c>
      <c r="B2422" s="34">
        <v>41449</v>
      </c>
      <c r="C2422">
        <v>1.31209</v>
      </c>
      <c r="D2422">
        <v>0</v>
      </c>
      <c r="F2422">
        <v>0.44617999999999802</v>
      </c>
      <c r="G2422">
        <v>21.141746200070699</v>
      </c>
      <c r="H2422">
        <v>0</v>
      </c>
      <c r="I2422">
        <v>0.52105679999999999</v>
      </c>
      <c r="J2422">
        <v>2013</v>
      </c>
      <c r="K2422">
        <v>6</v>
      </c>
      <c r="L2422">
        <v>24</v>
      </c>
      <c r="M2422" t="s">
        <v>92</v>
      </c>
      <c r="N2422">
        <v>0</v>
      </c>
      <c r="O2422">
        <v>0</v>
      </c>
    </row>
    <row r="2423" spans="1:15" x14ac:dyDescent="0.3">
      <c r="A2423">
        <v>2518</v>
      </c>
      <c r="B2423" s="34">
        <v>41450</v>
      </c>
      <c r="C2423">
        <v>1.3123199999999999</v>
      </c>
      <c r="D2423">
        <v>0</v>
      </c>
      <c r="F2423">
        <v>0.44617999999999802</v>
      </c>
      <c r="G2423">
        <v>21.141746200070699</v>
      </c>
      <c r="H2423">
        <v>1</v>
      </c>
      <c r="I2423">
        <v>0.52124700000000002</v>
      </c>
      <c r="J2423">
        <v>2013</v>
      </c>
      <c r="K2423">
        <v>6</v>
      </c>
      <c r="L2423">
        <v>25</v>
      </c>
      <c r="M2423" t="s">
        <v>93</v>
      </c>
      <c r="N2423">
        <v>0</v>
      </c>
      <c r="O2423">
        <v>0</v>
      </c>
    </row>
    <row r="2424" spans="1:15" x14ac:dyDescent="0.3">
      <c r="A2424">
        <v>2519</v>
      </c>
      <c r="B2424" s="34">
        <v>41451</v>
      </c>
      <c r="C2424">
        <v>1.3082100000000001</v>
      </c>
      <c r="D2424">
        <v>0</v>
      </c>
      <c r="F2424">
        <v>0.44617999999999802</v>
      </c>
      <c r="G2424">
        <v>21.141746200070699</v>
      </c>
      <c r="H2424">
        <v>0</v>
      </c>
      <c r="I2424">
        <v>0.52104010000000001</v>
      </c>
      <c r="J2424">
        <v>2013</v>
      </c>
      <c r="K2424">
        <v>6</v>
      </c>
      <c r="L2424">
        <v>26</v>
      </c>
      <c r="M2424" t="s">
        <v>89</v>
      </c>
      <c r="N2424">
        <v>0</v>
      </c>
      <c r="O2424">
        <v>0</v>
      </c>
    </row>
    <row r="2425" spans="1:15" x14ac:dyDescent="0.3">
      <c r="A2425">
        <v>2520</v>
      </c>
      <c r="B2425" s="34">
        <v>41452</v>
      </c>
      <c r="C2425">
        <v>1.30067</v>
      </c>
      <c r="D2425">
        <v>0</v>
      </c>
      <c r="F2425">
        <v>0.44617999999999802</v>
      </c>
      <c r="G2425">
        <v>21.141746200070699</v>
      </c>
      <c r="H2425">
        <v>0</v>
      </c>
      <c r="I2425">
        <v>0.52083330000000005</v>
      </c>
      <c r="J2425">
        <v>2013</v>
      </c>
      <c r="K2425">
        <v>6</v>
      </c>
      <c r="L2425">
        <v>27</v>
      </c>
      <c r="M2425" t="s">
        <v>90</v>
      </c>
      <c r="N2425">
        <v>0</v>
      </c>
      <c r="O2425">
        <v>0</v>
      </c>
    </row>
    <row r="2426" spans="1:15" x14ac:dyDescent="0.3">
      <c r="A2426">
        <v>2521</v>
      </c>
      <c r="B2426" s="34">
        <v>41453</v>
      </c>
      <c r="C2426">
        <v>1.3037700000000001</v>
      </c>
      <c r="D2426">
        <v>0</v>
      </c>
      <c r="F2426">
        <v>0.44617999999999802</v>
      </c>
      <c r="G2426">
        <v>21.141746200070699</v>
      </c>
      <c r="H2426">
        <v>1</v>
      </c>
      <c r="I2426">
        <v>0.52102340000000003</v>
      </c>
      <c r="J2426">
        <v>2013</v>
      </c>
      <c r="K2426">
        <v>6</v>
      </c>
      <c r="L2426">
        <v>28</v>
      </c>
      <c r="M2426" t="s">
        <v>91</v>
      </c>
      <c r="N2426">
        <v>0</v>
      </c>
      <c r="O2426">
        <v>0</v>
      </c>
    </row>
    <row r="2427" spans="1:15" x14ac:dyDescent="0.3">
      <c r="A2427">
        <v>2522</v>
      </c>
      <c r="B2427" s="34">
        <v>41456</v>
      </c>
      <c r="C2427">
        <v>1.30078</v>
      </c>
      <c r="D2427">
        <v>0</v>
      </c>
      <c r="F2427">
        <v>0.44617999999999802</v>
      </c>
      <c r="G2427">
        <v>21.141746200070699</v>
      </c>
      <c r="H2427">
        <v>1</v>
      </c>
      <c r="I2427">
        <v>0.52121329999999999</v>
      </c>
      <c r="J2427">
        <v>2013</v>
      </c>
      <c r="K2427">
        <v>7</v>
      </c>
      <c r="L2427">
        <v>1</v>
      </c>
      <c r="M2427" t="s">
        <v>92</v>
      </c>
      <c r="N2427">
        <v>0</v>
      </c>
      <c r="O2427">
        <v>0</v>
      </c>
    </row>
    <row r="2428" spans="1:15" x14ac:dyDescent="0.3">
      <c r="A2428">
        <v>2523</v>
      </c>
      <c r="B2428" s="34">
        <v>41457</v>
      </c>
      <c r="C2428">
        <v>1.3061400000000001</v>
      </c>
      <c r="D2428">
        <v>0</v>
      </c>
      <c r="F2428">
        <v>0.44617999999999802</v>
      </c>
      <c r="G2428">
        <v>21.141746200070699</v>
      </c>
      <c r="H2428">
        <v>1</v>
      </c>
      <c r="I2428">
        <v>0.52140310000000001</v>
      </c>
      <c r="J2428">
        <v>2013</v>
      </c>
      <c r="K2428">
        <v>7</v>
      </c>
      <c r="L2428">
        <v>2</v>
      </c>
      <c r="M2428" t="s">
        <v>93</v>
      </c>
      <c r="N2428">
        <v>0</v>
      </c>
      <c r="O2428">
        <v>0</v>
      </c>
    </row>
    <row r="2429" spans="1:15" x14ac:dyDescent="0.3">
      <c r="A2429">
        <v>2524</v>
      </c>
      <c r="B2429" s="34">
        <v>41458</v>
      </c>
      <c r="C2429">
        <v>1.29816</v>
      </c>
      <c r="D2429">
        <v>0</v>
      </c>
      <c r="F2429">
        <v>0.44617999999999802</v>
      </c>
      <c r="G2429">
        <v>21.141746200070699</v>
      </c>
      <c r="H2429">
        <v>1</v>
      </c>
      <c r="I2429">
        <v>0.52159270000000002</v>
      </c>
      <c r="J2429">
        <v>2013</v>
      </c>
      <c r="K2429">
        <v>7</v>
      </c>
      <c r="L2429">
        <v>3</v>
      </c>
      <c r="M2429" t="s">
        <v>89</v>
      </c>
      <c r="N2429">
        <v>0</v>
      </c>
      <c r="O2429">
        <v>0</v>
      </c>
    </row>
    <row r="2430" spans="1:15" x14ac:dyDescent="0.3">
      <c r="A2430">
        <v>2525</v>
      </c>
      <c r="B2430" s="34">
        <v>41459</v>
      </c>
      <c r="C2430">
        <v>1.30084</v>
      </c>
      <c r="D2430">
        <v>0</v>
      </c>
      <c r="F2430">
        <v>0.44617999999999802</v>
      </c>
      <c r="G2430">
        <v>21.141746200070699</v>
      </c>
      <c r="H2430">
        <v>1</v>
      </c>
      <c r="I2430">
        <v>0.52178219999999997</v>
      </c>
      <c r="J2430">
        <v>2013</v>
      </c>
      <c r="K2430">
        <v>7</v>
      </c>
      <c r="L2430">
        <v>4</v>
      </c>
      <c r="M2430" t="s">
        <v>90</v>
      </c>
      <c r="N2430">
        <v>0</v>
      </c>
      <c r="O2430">
        <v>0</v>
      </c>
    </row>
    <row r="2431" spans="1:15" x14ac:dyDescent="0.3">
      <c r="A2431">
        <v>2526</v>
      </c>
      <c r="B2431" s="34">
        <v>41460</v>
      </c>
      <c r="C2431">
        <v>1.2911999999999999</v>
      </c>
      <c r="D2431">
        <v>0</v>
      </c>
      <c r="F2431">
        <v>0.44617999999999802</v>
      </c>
      <c r="G2431">
        <v>21.141746200070699</v>
      </c>
      <c r="H2431">
        <v>0</v>
      </c>
      <c r="I2431">
        <v>0.52157560000000003</v>
      </c>
      <c r="J2431">
        <v>2013</v>
      </c>
      <c r="K2431">
        <v>7</v>
      </c>
      <c r="L2431">
        <v>5</v>
      </c>
      <c r="M2431" t="s">
        <v>91</v>
      </c>
      <c r="N2431">
        <v>0</v>
      </c>
      <c r="O2431">
        <v>0</v>
      </c>
    </row>
    <row r="2432" spans="1:15" x14ac:dyDescent="0.3">
      <c r="A2432">
        <v>2527</v>
      </c>
      <c r="B2432" s="34">
        <v>41463</v>
      </c>
      <c r="C2432">
        <v>1.28291</v>
      </c>
      <c r="D2432">
        <v>0</v>
      </c>
      <c r="F2432">
        <v>0.44617999999999802</v>
      </c>
      <c r="G2432">
        <v>21.141746200070699</v>
      </c>
      <c r="H2432">
        <v>0</v>
      </c>
      <c r="I2432">
        <v>0.52136919999999998</v>
      </c>
      <c r="J2432">
        <v>2013</v>
      </c>
      <c r="K2432">
        <v>7</v>
      </c>
      <c r="L2432">
        <v>8</v>
      </c>
      <c r="M2432" t="s">
        <v>92</v>
      </c>
      <c r="N2432">
        <v>0</v>
      </c>
      <c r="O2432">
        <v>0</v>
      </c>
    </row>
    <row r="2433" spans="1:15" x14ac:dyDescent="0.3">
      <c r="A2433">
        <v>2528</v>
      </c>
      <c r="B2433" s="34">
        <v>41464</v>
      </c>
      <c r="C2433">
        <v>1.2867900000000001</v>
      </c>
      <c r="D2433">
        <v>0</v>
      </c>
      <c r="F2433">
        <v>0.44617999999999802</v>
      </c>
      <c r="G2433">
        <v>21.141746200070699</v>
      </c>
      <c r="H2433">
        <v>1</v>
      </c>
      <c r="I2433">
        <v>0.52155850000000004</v>
      </c>
      <c r="J2433">
        <v>2013</v>
      </c>
      <c r="K2433">
        <v>7</v>
      </c>
      <c r="L2433">
        <v>9</v>
      </c>
      <c r="M2433" t="s">
        <v>93</v>
      </c>
      <c r="N2433">
        <v>0</v>
      </c>
      <c r="O2433">
        <v>0</v>
      </c>
    </row>
    <row r="2434" spans="1:15" x14ac:dyDescent="0.3">
      <c r="A2434">
        <v>2529</v>
      </c>
      <c r="B2434" s="34">
        <v>41465</v>
      </c>
      <c r="C2434">
        <v>1.2786299999999999</v>
      </c>
      <c r="D2434">
        <v>0</v>
      </c>
      <c r="F2434">
        <v>0.44617999999999802</v>
      </c>
      <c r="G2434">
        <v>21.141746200070699</v>
      </c>
      <c r="H2434">
        <v>0</v>
      </c>
      <c r="I2434">
        <v>0.52135229999999999</v>
      </c>
      <c r="J2434">
        <v>2013</v>
      </c>
      <c r="K2434">
        <v>7</v>
      </c>
      <c r="L2434">
        <v>10</v>
      </c>
      <c r="M2434" t="s">
        <v>89</v>
      </c>
      <c r="N2434">
        <v>0</v>
      </c>
      <c r="O2434">
        <v>0</v>
      </c>
    </row>
    <row r="2435" spans="1:15" x14ac:dyDescent="0.3">
      <c r="A2435">
        <v>2530</v>
      </c>
      <c r="B2435" s="34">
        <v>41466</v>
      </c>
      <c r="C2435">
        <v>1.3023499999999999</v>
      </c>
      <c r="D2435">
        <v>0</v>
      </c>
      <c r="F2435">
        <v>0.44617999999999802</v>
      </c>
      <c r="G2435">
        <v>21.141746200070699</v>
      </c>
      <c r="H2435">
        <v>1</v>
      </c>
      <c r="I2435">
        <v>0.52154149999999999</v>
      </c>
      <c r="J2435">
        <v>2013</v>
      </c>
      <c r="K2435">
        <v>7</v>
      </c>
      <c r="L2435">
        <v>11</v>
      </c>
      <c r="M2435" t="s">
        <v>90</v>
      </c>
      <c r="N2435">
        <v>0</v>
      </c>
      <c r="O2435">
        <v>0</v>
      </c>
    </row>
    <row r="2436" spans="1:15" x14ac:dyDescent="0.3">
      <c r="A2436">
        <v>2531</v>
      </c>
      <c r="B2436" s="34">
        <v>41467</v>
      </c>
      <c r="C2436">
        <v>1.3095699999999999</v>
      </c>
      <c r="D2436">
        <v>0</v>
      </c>
      <c r="F2436">
        <v>0.44617999999999802</v>
      </c>
      <c r="G2436">
        <v>21.141746200070699</v>
      </c>
      <c r="H2436">
        <v>0</v>
      </c>
      <c r="I2436">
        <v>0.5213354</v>
      </c>
      <c r="J2436">
        <v>2013</v>
      </c>
      <c r="K2436">
        <v>7</v>
      </c>
      <c r="L2436">
        <v>12</v>
      </c>
      <c r="M2436" t="s">
        <v>91</v>
      </c>
      <c r="N2436">
        <v>0</v>
      </c>
      <c r="O2436">
        <v>0</v>
      </c>
    </row>
    <row r="2437" spans="1:15" x14ac:dyDescent="0.3">
      <c r="A2437">
        <v>2532</v>
      </c>
      <c r="B2437" s="34">
        <v>41470</v>
      </c>
      <c r="C2437">
        <v>1.3065100000000001</v>
      </c>
      <c r="D2437">
        <v>0</v>
      </c>
      <c r="F2437">
        <v>0.44617999999999802</v>
      </c>
      <c r="G2437">
        <v>21.141746200070699</v>
      </c>
      <c r="H2437">
        <v>1</v>
      </c>
      <c r="I2437">
        <v>0.52152449999999995</v>
      </c>
      <c r="J2437">
        <v>2013</v>
      </c>
      <c r="K2437">
        <v>7</v>
      </c>
      <c r="L2437">
        <v>15</v>
      </c>
      <c r="M2437" t="s">
        <v>92</v>
      </c>
      <c r="N2437">
        <v>0</v>
      </c>
      <c r="O2437">
        <v>0</v>
      </c>
    </row>
    <row r="2438" spans="1:15" x14ac:dyDescent="0.3">
      <c r="A2438">
        <v>2533</v>
      </c>
      <c r="B2438" s="34">
        <v>41471</v>
      </c>
      <c r="C2438">
        <v>1.3066</v>
      </c>
      <c r="D2438">
        <v>0</v>
      </c>
      <c r="F2438">
        <v>0.44617999999999802</v>
      </c>
      <c r="G2438">
        <v>21.141746200070699</v>
      </c>
      <c r="H2438">
        <v>0</v>
      </c>
      <c r="I2438">
        <v>0.52131859999999997</v>
      </c>
      <c r="J2438">
        <v>2013</v>
      </c>
      <c r="K2438">
        <v>7</v>
      </c>
      <c r="L2438">
        <v>16</v>
      </c>
      <c r="M2438" t="s">
        <v>93</v>
      </c>
      <c r="N2438">
        <v>0</v>
      </c>
      <c r="O2438">
        <v>0</v>
      </c>
    </row>
    <row r="2439" spans="1:15" x14ac:dyDescent="0.3">
      <c r="A2439">
        <v>2534</v>
      </c>
      <c r="B2439" s="34">
        <v>41472</v>
      </c>
      <c r="C2439">
        <v>1.3153300000000001</v>
      </c>
      <c r="D2439">
        <v>-32</v>
      </c>
      <c r="F2439">
        <v>0.44922999999999802</v>
      </c>
      <c r="G2439">
        <v>20.602686461647199</v>
      </c>
      <c r="H2439">
        <v>0.5</v>
      </c>
      <c r="I2439">
        <v>0.52131019999999995</v>
      </c>
      <c r="J2439">
        <v>2013</v>
      </c>
      <c r="K2439">
        <v>7</v>
      </c>
      <c r="L2439">
        <v>17</v>
      </c>
      <c r="M2439" t="s">
        <v>89</v>
      </c>
      <c r="N2439">
        <v>0</v>
      </c>
      <c r="O2439">
        <v>0</v>
      </c>
    </row>
    <row r="2440" spans="1:15" x14ac:dyDescent="0.3">
      <c r="A2440">
        <v>2535</v>
      </c>
      <c r="B2440" s="34">
        <v>41473</v>
      </c>
      <c r="C2440">
        <v>1.3122799999999999</v>
      </c>
      <c r="D2440">
        <v>0</v>
      </c>
      <c r="F2440">
        <v>0.44922999999999802</v>
      </c>
      <c r="G2440">
        <v>20.602686461647199</v>
      </c>
      <c r="H2440">
        <v>1</v>
      </c>
      <c r="I2440">
        <v>0.52149900000000005</v>
      </c>
      <c r="J2440">
        <v>2013</v>
      </c>
      <c r="K2440">
        <v>7</v>
      </c>
      <c r="L2440">
        <v>18</v>
      </c>
      <c r="M2440" t="s">
        <v>90</v>
      </c>
      <c r="N2440">
        <v>0</v>
      </c>
      <c r="O2440">
        <v>0</v>
      </c>
    </row>
    <row r="2441" spans="1:15" x14ac:dyDescent="0.3">
      <c r="A2441">
        <v>2536</v>
      </c>
      <c r="B2441" s="34">
        <v>41474</v>
      </c>
      <c r="C2441">
        <v>1.3111299999999999</v>
      </c>
      <c r="D2441">
        <v>0</v>
      </c>
      <c r="F2441">
        <v>0.44922999999999802</v>
      </c>
      <c r="G2441">
        <v>20.602686461647199</v>
      </c>
      <c r="H2441">
        <v>1</v>
      </c>
      <c r="I2441">
        <v>0.52168769999999998</v>
      </c>
      <c r="J2441">
        <v>2013</v>
      </c>
      <c r="K2441">
        <v>7</v>
      </c>
      <c r="L2441">
        <v>19</v>
      </c>
      <c r="M2441" t="s">
        <v>91</v>
      </c>
      <c r="N2441">
        <v>0</v>
      </c>
      <c r="O2441">
        <v>0</v>
      </c>
    </row>
    <row r="2442" spans="1:15" x14ac:dyDescent="0.3">
      <c r="A2442">
        <v>2537</v>
      </c>
      <c r="B2442" s="34">
        <v>41477</v>
      </c>
      <c r="C2442">
        <v>1.3140799999999999</v>
      </c>
      <c r="D2442">
        <v>0</v>
      </c>
      <c r="F2442">
        <v>0.44922999999999802</v>
      </c>
      <c r="G2442">
        <v>20.602686461647199</v>
      </c>
      <c r="H2442">
        <v>0</v>
      </c>
      <c r="I2442">
        <v>0.52148209999999995</v>
      </c>
      <c r="J2442">
        <v>2013</v>
      </c>
      <c r="K2442">
        <v>7</v>
      </c>
      <c r="L2442">
        <v>22</v>
      </c>
      <c r="M2442" t="s">
        <v>92</v>
      </c>
      <c r="N2442">
        <v>0</v>
      </c>
      <c r="O2442">
        <v>0</v>
      </c>
    </row>
    <row r="2443" spans="1:15" x14ac:dyDescent="0.3">
      <c r="A2443">
        <v>2538</v>
      </c>
      <c r="B2443" s="34">
        <v>41478</v>
      </c>
      <c r="C2443">
        <v>1.3184199999999999</v>
      </c>
      <c r="D2443">
        <v>0</v>
      </c>
      <c r="F2443">
        <v>0.44922999999999802</v>
      </c>
      <c r="G2443">
        <v>20.602686461647199</v>
      </c>
      <c r="H2443">
        <v>0</v>
      </c>
      <c r="I2443">
        <v>0.52127659999999998</v>
      </c>
      <c r="J2443">
        <v>2013</v>
      </c>
      <c r="K2443">
        <v>7</v>
      </c>
      <c r="L2443">
        <v>23</v>
      </c>
      <c r="M2443" t="s">
        <v>93</v>
      </c>
      <c r="N2443">
        <v>0</v>
      </c>
      <c r="O2443">
        <v>0</v>
      </c>
    </row>
    <row r="2444" spans="1:15" x14ac:dyDescent="0.3">
      <c r="A2444">
        <v>2539</v>
      </c>
      <c r="B2444" s="34">
        <v>41479</v>
      </c>
      <c r="C2444">
        <v>1.3223199999999999</v>
      </c>
      <c r="D2444">
        <v>0</v>
      </c>
      <c r="F2444">
        <v>0.44922999999999802</v>
      </c>
      <c r="G2444">
        <v>20.602686461647199</v>
      </c>
      <c r="H2444">
        <v>0</v>
      </c>
      <c r="I2444">
        <v>0.52107130000000002</v>
      </c>
      <c r="J2444">
        <v>2013</v>
      </c>
      <c r="K2444">
        <v>7</v>
      </c>
      <c r="L2444">
        <v>24</v>
      </c>
      <c r="M2444" t="s">
        <v>89</v>
      </c>
      <c r="N2444">
        <v>0</v>
      </c>
      <c r="O2444">
        <v>0</v>
      </c>
    </row>
    <row r="2445" spans="1:15" x14ac:dyDescent="0.3">
      <c r="A2445">
        <v>2540</v>
      </c>
      <c r="B2445" s="34">
        <v>41480</v>
      </c>
      <c r="C2445">
        <v>1.31972</v>
      </c>
      <c r="D2445">
        <v>0</v>
      </c>
      <c r="F2445">
        <v>0.44922999999999802</v>
      </c>
      <c r="G2445">
        <v>20.602686461647199</v>
      </c>
      <c r="H2445">
        <v>1</v>
      </c>
      <c r="I2445">
        <v>0.52125980000000005</v>
      </c>
      <c r="J2445">
        <v>2013</v>
      </c>
      <c r="K2445">
        <v>7</v>
      </c>
      <c r="L2445">
        <v>25</v>
      </c>
      <c r="M2445" t="s">
        <v>90</v>
      </c>
      <c r="N2445">
        <v>0</v>
      </c>
      <c r="O2445">
        <v>0</v>
      </c>
    </row>
    <row r="2446" spans="1:15" x14ac:dyDescent="0.3">
      <c r="A2446">
        <v>2541</v>
      </c>
      <c r="B2446" s="34">
        <v>41481</v>
      </c>
      <c r="C2446">
        <v>1.32759</v>
      </c>
      <c r="D2446">
        <v>0</v>
      </c>
      <c r="F2446">
        <v>0.44922999999999802</v>
      </c>
      <c r="G2446">
        <v>20.602686461647199</v>
      </c>
      <c r="H2446">
        <v>0</v>
      </c>
      <c r="I2446">
        <v>0.52105469999999998</v>
      </c>
      <c r="J2446">
        <v>2013</v>
      </c>
      <c r="K2446">
        <v>7</v>
      </c>
      <c r="L2446">
        <v>26</v>
      </c>
      <c r="M2446" t="s">
        <v>91</v>
      </c>
      <c r="N2446">
        <v>0</v>
      </c>
      <c r="O2446">
        <v>0</v>
      </c>
    </row>
    <row r="2447" spans="1:15" x14ac:dyDescent="0.3">
      <c r="A2447">
        <v>2542</v>
      </c>
      <c r="B2447" s="34">
        <v>41484</v>
      </c>
      <c r="C2447">
        <v>1.32765</v>
      </c>
      <c r="D2447">
        <v>0</v>
      </c>
      <c r="F2447">
        <v>0.44922999999999802</v>
      </c>
      <c r="G2447">
        <v>20.602686461647199</v>
      </c>
      <c r="H2447">
        <v>0</v>
      </c>
      <c r="I2447">
        <v>0.52084969999999997</v>
      </c>
      <c r="J2447">
        <v>2013</v>
      </c>
      <c r="K2447">
        <v>7</v>
      </c>
      <c r="L2447">
        <v>29</v>
      </c>
      <c r="M2447" t="s">
        <v>92</v>
      </c>
      <c r="N2447">
        <v>0</v>
      </c>
      <c r="O2447">
        <v>0</v>
      </c>
    </row>
    <row r="2448" spans="1:15" x14ac:dyDescent="0.3">
      <c r="A2448">
        <v>2543</v>
      </c>
      <c r="B2448" s="34">
        <v>41485</v>
      </c>
      <c r="C2448">
        <v>1.3262</v>
      </c>
      <c r="D2448">
        <v>0</v>
      </c>
      <c r="F2448">
        <v>0.44922999999999802</v>
      </c>
      <c r="G2448">
        <v>20.602686461647199</v>
      </c>
      <c r="H2448">
        <v>1</v>
      </c>
      <c r="I2448">
        <v>0.52103809999999995</v>
      </c>
      <c r="J2448">
        <v>2013</v>
      </c>
      <c r="K2448">
        <v>7</v>
      </c>
      <c r="L2448">
        <v>30</v>
      </c>
      <c r="M2448" t="s">
        <v>93</v>
      </c>
      <c r="N2448">
        <v>0</v>
      </c>
      <c r="O2448">
        <v>0</v>
      </c>
    </row>
    <row r="2449" spans="1:15" x14ac:dyDescent="0.3">
      <c r="A2449">
        <v>2544</v>
      </c>
      <c r="B2449" s="34">
        <v>41486</v>
      </c>
      <c r="C2449">
        <v>1.32626</v>
      </c>
      <c r="D2449">
        <v>-2</v>
      </c>
      <c r="F2449">
        <v>0.44585999999999798</v>
      </c>
      <c r="G2449">
        <v>21.1983032873807</v>
      </c>
      <c r="H2449">
        <v>1</v>
      </c>
      <c r="I2449">
        <v>0.52122639999999998</v>
      </c>
      <c r="J2449">
        <v>2013</v>
      </c>
      <c r="K2449">
        <v>7</v>
      </c>
      <c r="L2449">
        <v>31</v>
      </c>
      <c r="M2449" t="s">
        <v>89</v>
      </c>
      <c r="N2449">
        <v>0</v>
      </c>
      <c r="O2449">
        <v>0</v>
      </c>
    </row>
    <row r="2450" spans="1:15" x14ac:dyDescent="0.3">
      <c r="A2450">
        <v>2545</v>
      </c>
      <c r="B2450" s="34">
        <v>41487</v>
      </c>
      <c r="C2450">
        <v>1.3296300000000001</v>
      </c>
      <c r="D2450">
        <v>0</v>
      </c>
      <c r="F2450">
        <v>0.44585999999999798</v>
      </c>
      <c r="G2450">
        <v>21.1983032873807</v>
      </c>
      <c r="H2450">
        <v>1</v>
      </c>
      <c r="I2450">
        <v>0.5214145</v>
      </c>
      <c r="J2450">
        <v>2013</v>
      </c>
      <c r="K2450">
        <v>8</v>
      </c>
      <c r="L2450">
        <v>1</v>
      </c>
      <c r="M2450" t="s">
        <v>90</v>
      </c>
      <c r="N2450">
        <v>0</v>
      </c>
      <c r="O2450">
        <v>0</v>
      </c>
    </row>
    <row r="2451" spans="1:15" x14ac:dyDescent="0.3">
      <c r="A2451">
        <v>2546</v>
      </c>
      <c r="B2451" s="34">
        <v>41488</v>
      </c>
      <c r="C2451">
        <v>1.3209599999999999</v>
      </c>
      <c r="D2451">
        <v>0</v>
      </c>
      <c r="F2451">
        <v>0.44585999999999798</v>
      </c>
      <c r="G2451">
        <v>21.1983032873807</v>
      </c>
      <c r="H2451">
        <v>1</v>
      </c>
      <c r="I2451">
        <v>0.52160249999999997</v>
      </c>
      <c r="J2451">
        <v>2013</v>
      </c>
      <c r="K2451">
        <v>8</v>
      </c>
      <c r="L2451">
        <v>2</v>
      </c>
      <c r="M2451" t="s">
        <v>91</v>
      </c>
      <c r="N2451">
        <v>0</v>
      </c>
      <c r="O2451">
        <v>0</v>
      </c>
    </row>
    <row r="2452" spans="1:15" x14ac:dyDescent="0.3">
      <c r="A2452">
        <v>2547</v>
      </c>
      <c r="B2452" s="34">
        <v>41491</v>
      </c>
      <c r="C2452">
        <v>1.3279799999999999</v>
      </c>
      <c r="D2452">
        <v>0</v>
      </c>
      <c r="F2452">
        <v>0.44585999999999798</v>
      </c>
      <c r="G2452">
        <v>21.1983032873807</v>
      </c>
      <c r="H2452">
        <v>1</v>
      </c>
      <c r="I2452">
        <v>0.52179030000000004</v>
      </c>
      <c r="J2452">
        <v>2013</v>
      </c>
      <c r="K2452">
        <v>8</v>
      </c>
      <c r="L2452">
        <v>5</v>
      </c>
      <c r="M2452" t="s">
        <v>92</v>
      </c>
      <c r="N2452">
        <v>0</v>
      </c>
      <c r="O2452">
        <v>0</v>
      </c>
    </row>
    <row r="2453" spans="1:15" x14ac:dyDescent="0.3">
      <c r="A2453">
        <v>2548</v>
      </c>
      <c r="B2453" s="34">
        <v>41492</v>
      </c>
      <c r="C2453">
        <v>1.3261099999999999</v>
      </c>
      <c r="D2453">
        <v>0</v>
      </c>
      <c r="F2453">
        <v>0.44585999999999798</v>
      </c>
      <c r="G2453">
        <v>21.1983032873807</v>
      </c>
      <c r="H2453">
        <v>1</v>
      </c>
      <c r="I2453">
        <v>0.52197800000000005</v>
      </c>
      <c r="J2453">
        <v>2013</v>
      </c>
      <c r="K2453">
        <v>8</v>
      </c>
      <c r="L2453">
        <v>6</v>
      </c>
      <c r="M2453" t="s">
        <v>93</v>
      </c>
      <c r="N2453">
        <v>0</v>
      </c>
      <c r="O2453">
        <v>0</v>
      </c>
    </row>
    <row r="2454" spans="1:15" x14ac:dyDescent="0.3">
      <c r="A2454">
        <v>2549</v>
      </c>
      <c r="B2454" s="34">
        <v>41493</v>
      </c>
      <c r="C2454">
        <v>1.33073</v>
      </c>
      <c r="D2454">
        <v>0</v>
      </c>
      <c r="F2454">
        <v>0.44585999999999798</v>
      </c>
      <c r="G2454">
        <v>21.1983032873807</v>
      </c>
      <c r="H2454">
        <v>0</v>
      </c>
      <c r="I2454">
        <v>0.52177320000000005</v>
      </c>
      <c r="J2454">
        <v>2013</v>
      </c>
      <c r="K2454">
        <v>8</v>
      </c>
      <c r="L2454">
        <v>7</v>
      </c>
      <c r="M2454" t="s">
        <v>89</v>
      </c>
      <c r="N2454">
        <v>0</v>
      </c>
      <c r="O2454">
        <v>0</v>
      </c>
    </row>
    <row r="2455" spans="1:15" x14ac:dyDescent="0.3">
      <c r="A2455">
        <v>2550</v>
      </c>
      <c r="B2455" s="34">
        <v>41494</v>
      </c>
      <c r="C2455">
        <v>1.33365</v>
      </c>
      <c r="D2455">
        <v>0</v>
      </c>
      <c r="F2455">
        <v>0.44585999999999798</v>
      </c>
      <c r="G2455">
        <v>21.1983032873807</v>
      </c>
      <c r="H2455">
        <v>0</v>
      </c>
      <c r="I2455">
        <v>0.5215687</v>
      </c>
      <c r="J2455">
        <v>2013</v>
      </c>
      <c r="K2455">
        <v>8</v>
      </c>
      <c r="L2455">
        <v>8</v>
      </c>
      <c r="M2455" t="s">
        <v>90</v>
      </c>
      <c r="N2455">
        <v>0</v>
      </c>
      <c r="O2455">
        <v>0</v>
      </c>
    </row>
    <row r="2456" spans="1:15" x14ac:dyDescent="0.3">
      <c r="A2456">
        <v>2551</v>
      </c>
      <c r="B2456" s="34">
        <v>41495</v>
      </c>
      <c r="C2456">
        <v>1.3381400000000001</v>
      </c>
      <c r="D2456">
        <v>0</v>
      </c>
      <c r="F2456">
        <v>0.44585999999999798</v>
      </c>
      <c r="G2456">
        <v>21.1983032873807</v>
      </c>
      <c r="H2456">
        <v>0</v>
      </c>
      <c r="I2456">
        <v>0.52136420000000006</v>
      </c>
      <c r="J2456">
        <v>2013</v>
      </c>
      <c r="K2456">
        <v>8</v>
      </c>
      <c r="L2456">
        <v>9</v>
      </c>
      <c r="M2456" t="s">
        <v>91</v>
      </c>
      <c r="N2456">
        <v>0</v>
      </c>
      <c r="O2456">
        <v>0</v>
      </c>
    </row>
    <row r="2457" spans="1:15" x14ac:dyDescent="0.3">
      <c r="A2457">
        <v>2552</v>
      </c>
      <c r="B2457" s="34">
        <v>41498</v>
      </c>
      <c r="C2457">
        <v>1.3338699999999999</v>
      </c>
      <c r="D2457">
        <v>0</v>
      </c>
      <c r="F2457">
        <v>0.44585999999999798</v>
      </c>
      <c r="G2457">
        <v>21.1983032873807</v>
      </c>
      <c r="H2457">
        <v>1</v>
      </c>
      <c r="I2457">
        <v>0.52155169999999995</v>
      </c>
      <c r="J2457">
        <v>2013</v>
      </c>
      <c r="K2457">
        <v>8</v>
      </c>
      <c r="L2457">
        <v>12</v>
      </c>
      <c r="M2457" t="s">
        <v>92</v>
      </c>
      <c r="N2457">
        <v>0</v>
      </c>
      <c r="O2457">
        <v>0</v>
      </c>
    </row>
    <row r="2458" spans="1:15" x14ac:dyDescent="0.3">
      <c r="A2458">
        <v>2553</v>
      </c>
      <c r="B2458" s="34">
        <v>41499</v>
      </c>
      <c r="C2458">
        <v>1.3299000000000001</v>
      </c>
      <c r="D2458">
        <v>0</v>
      </c>
      <c r="F2458">
        <v>0.44585999999999798</v>
      </c>
      <c r="G2458">
        <v>21.1983032873807</v>
      </c>
      <c r="H2458">
        <v>1</v>
      </c>
      <c r="I2458">
        <v>0.52173910000000001</v>
      </c>
      <c r="J2458">
        <v>2013</v>
      </c>
      <c r="K2458">
        <v>8</v>
      </c>
      <c r="L2458">
        <v>13</v>
      </c>
      <c r="M2458" t="s">
        <v>93</v>
      </c>
      <c r="N2458">
        <v>0</v>
      </c>
      <c r="O2458">
        <v>0</v>
      </c>
    </row>
    <row r="2459" spans="1:15" x14ac:dyDescent="0.3">
      <c r="A2459">
        <v>2554</v>
      </c>
      <c r="B2459" s="34">
        <v>41500</v>
      </c>
      <c r="C2459">
        <v>1.3260099999999999</v>
      </c>
      <c r="D2459">
        <v>0</v>
      </c>
      <c r="F2459">
        <v>0.44585999999999798</v>
      </c>
      <c r="G2459">
        <v>21.1983032873807</v>
      </c>
      <c r="H2459">
        <v>1</v>
      </c>
      <c r="I2459">
        <v>0.52192640000000001</v>
      </c>
      <c r="J2459">
        <v>2013</v>
      </c>
      <c r="K2459">
        <v>8</v>
      </c>
      <c r="L2459">
        <v>14</v>
      </c>
      <c r="M2459" t="s">
        <v>89</v>
      </c>
      <c r="N2459">
        <v>0</v>
      </c>
      <c r="O2459">
        <v>0</v>
      </c>
    </row>
    <row r="2460" spans="1:15" x14ac:dyDescent="0.3">
      <c r="A2460">
        <v>2555</v>
      </c>
      <c r="B2460" s="34">
        <v>41501</v>
      </c>
      <c r="C2460">
        <v>1.3257699999999999</v>
      </c>
      <c r="D2460">
        <v>0</v>
      </c>
      <c r="F2460">
        <v>0.44585999999999798</v>
      </c>
      <c r="G2460">
        <v>21.1983032873807</v>
      </c>
      <c r="H2460">
        <v>0</v>
      </c>
      <c r="I2460">
        <v>0.52172209999999997</v>
      </c>
      <c r="J2460">
        <v>2013</v>
      </c>
      <c r="K2460">
        <v>8</v>
      </c>
      <c r="L2460">
        <v>15</v>
      </c>
      <c r="M2460" t="s">
        <v>90</v>
      </c>
      <c r="N2460">
        <v>0</v>
      </c>
      <c r="O2460">
        <v>0</v>
      </c>
    </row>
    <row r="2461" spans="1:15" x14ac:dyDescent="0.3">
      <c r="A2461">
        <v>2556</v>
      </c>
      <c r="B2461" s="34">
        <v>41502</v>
      </c>
      <c r="C2461">
        <v>1.33504</v>
      </c>
      <c r="D2461">
        <v>0</v>
      </c>
      <c r="F2461">
        <v>0.44585999999999798</v>
      </c>
      <c r="G2461">
        <v>21.1983032873807</v>
      </c>
      <c r="H2461">
        <v>1</v>
      </c>
      <c r="I2461">
        <v>0.52190919999999996</v>
      </c>
      <c r="J2461">
        <v>2013</v>
      </c>
      <c r="K2461">
        <v>8</v>
      </c>
      <c r="L2461">
        <v>16</v>
      </c>
      <c r="M2461" t="s">
        <v>91</v>
      </c>
      <c r="N2461">
        <v>0</v>
      </c>
      <c r="O2461">
        <v>0</v>
      </c>
    </row>
    <row r="2462" spans="1:15" x14ac:dyDescent="0.3">
      <c r="A2462">
        <v>2557</v>
      </c>
      <c r="B2462" s="34">
        <v>41505</v>
      </c>
      <c r="C2462">
        <v>1.3327899999999999</v>
      </c>
      <c r="D2462">
        <v>0</v>
      </c>
      <c r="F2462">
        <v>0.44585999999999798</v>
      </c>
      <c r="G2462">
        <v>21.1983032873807</v>
      </c>
      <c r="H2462">
        <v>1</v>
      </c>
      <c r="I2462">
        <v>0.52209620000000001</v>
      </c>
      <c r="J2462">
        <v>2013</v>
      </c>
      <c r="K2462">
        <v>8</v>
      </c>
      <c r="L2462">
        <v>19</v>
      </c>
      <c r="M2462" t="s">
        <v>92</v>
      </c>
      <c r="N2462">
        <v>0</v>
      </c>
      <c r="O2462">
        <v>0</v>
      </c>
    </row>
    <row r="2463" spans="1:15" x14ac:dyDescent="0.3">
      <c r="A2463">
        <v>2558</v>
      </c>
      <c r="B2463" s="34">
        <v>41506</v>
      </c>
      <c r="C2463">
        <v>1.3335699999999999</v>
      </c>
      <c r="D2463">
        <v>0</v>
      </c>
      <c r="F2463">
        <v>0.44585999999999798</v>
      </c>
      <c r="G2463">
        <v>21.1983032873807</v>
      </c>
      <c r="H2463">
        <v>1</v>
      </c>
      <c r="I2463">
        <v>0.52228300000000005</v>
      </c>
      <c r="J2463">
        <v>2013</v>
      </c>
      <c r="K2463">
        <v>8</v>
      </c>
      <c r="L2463">
        <v>20</v>
      </c>
      <c r="M2463" t="s">
        <v>93</v>
      </c>
      <c r="N2463">
        <v>0</v>
      </c>
      <c r="O2463">
        <v>0</v>
      </c>
    </row>
    <row r="2464" spans="1:15" x14ac:dyDescent="0.3">
      <c r="A2464">
        <v>2559</v>
      </c>
      <c r="B2464" s="34">
        <v>41507</v>
      </c>
      <c r="C2464">
        <v>1.3417600000000001</v>
      </c>
      <c r="D2464">
        <v>0</v>
      </c>
      <c r="F2464">
        <v>0.44585999999999798</v>
      </c>
      <c r="G2464">
        <v>21.1983032873807</v>
      </c>
      <c r="H2464">
        <v>1</v>
      </c>
      <c r="I2464">
        <v>0.52246970000000004</v>
      </c>
      <c r="J2464">
        <v>2013</v>
      </c>
      <c r="K2464">
        <v>8</v>
      </c>
      <c r="L2464">
        <v>21</v>
      </c>
      <c r="M2464" t="s">
        <v>89</v>
      </c>
      <c r="N2464">
        <v>0</v>
      </c>
      <c r="O2464">
        <v>0</v>
      </c>
    </row>
    <row r="2465" spans="1:15" x14ac:dyDescent="0.3">
      <c r="A2465">
        <v>2560</v>
      </c>
      <c r="B2465" s="34">
        <v>41508</v>
      </c>
      <c r="C2465">
        <v>1.33579</v>
      </c>
      <c r="D2465">
        <v>0</v>
      </c>
      <c r="F2465">
        <v>0.44585999999999798</v>
      </c>
      <c r="G2465">
        <v>21.1983032873807</v>
      </c>
      <c r="H2465">
        <v>1</v>
      </c>
      <c r="I2465">
        <v>0.52265629999999996</v>
      </c>
      <c r="J2465">
        <v>2013</v>
      </c>
      <c r="K2465">
        <v>8</v>
      </c>
      <c r="L2465">
        <v>22</v>
      </c>
      <c r="M2465" t="s">
        <v>90</v>
      </c>
      <c r="N2465">
        <v>0</v>
      </c>
      <c r="O2465">
        <v>0</v>
      </c>
    </row>
    <row r="2466" spans="1:15" x14ac:dyDescent="0.3">
      <c r="A2466">
        <v>2561</v>
      </c>
      <c r="B2466" s="34">
        <v>41509</v>
      </c>
      <c r="C2466">
        <v>1.3355900000000001</v>
      </c>
      <c r="D2466">
        <v>0</v>
      </c>
      <c r="F2466">
        <v>0.44585999999999798</v>
      </c>
      <c r="G2466">
        <v>21.1983032873807</v>
      </c>
      <c r="H2466">
        <v>1</v>
      </c>
      <c r="I2466">
        <v>0.52284260000000005</v>
      </c>
      <c r="J2466">
        <v>2013</v>
      </c>
      <c r="K2466">
        <v>8</v>
      </c>
      <c r="L2466">
        <v>23</v>
      </c>
      <c r="M2466" t="s">
        <v>91</v>
      </c>
      <c r="N2466">
        <v>0</v>
      </c>
      <c r="O2466">
        <v>0</v>
      </c>
    </row>
    <row r="2467" spans="1:15" x14ac:dyDescent="0.3">
      <c r="A2467">
        <v>2562</v>
      </c>
      <c r="B2467" s="34">
        <v>41512</v>
      </c>
      <c r="C2467">
        <v>1.33788</v>
      </c>
      <c r="D2467">
        <v>0</v>
      </c>
      <c r="F2467">
        <v>0.44585999999999798</v>
      </c>
      <c r="G2467">
        <v>21.1983032873807</v>
      </c>
      <c r="H2467">
        <v>1</v>
      </c>
      <c r="I2467">
        <v>0.52302890000000002</v>
      </c>
      <c r="J2467">
        <v>2013</v>
      </c>
      <c r="K2467">
        <v>8</v>
      </c>
      <c r="L2467">
        <v>26</v>
      </c>
      <c r="M2467" t="s">
        <v>92</v>
      </c>
      <c r="N2467">
        <v>0</v>
      </c>
      <c r="O2467">
        <v>0</v>
      </c>
    </row>
    <row r="2468" spans="1:15" x14ac:dyDescent="0.3">
      <c r="A2468">
        <v>2563</v>
      </c>
      <c r="B2468" s="34">
        <v>41513</v>
      </c>
      <c r="C2468">
        <v>1.3370200000000001</v>
      </c>
      <c r="D2468">
        <v>0</v>
      </c>
      <c r="F2468">
        <v>0.44585999999999798</v>
      </c>
      <c r="G2468">
        <v>21.1983032873807</v>
      </c>
      <c r="H2468">
        <v>1</v>
      </c>
      <c r="I2468">
        <v>0.52321499999999999</v>
      </c>
      <c r="J2468">
        <v>2013</v>
      </c>
      <c r="K2468">
        <v>8</v>
      </c>
      <c r="L2468">
        <v>27</v>
      </c>
      <c r="M2468" t="s">
        <v>93</v>
      </c>
      <c r="N2468">
        <v>0</v>
      </c>
      <c r="O2468">
        <v>0</v>
      </c>
    </row>
    <row r="2469" spans="1:15" x14ac:dyDescent="0.3">
      <c r="A2469">
        <v>2564</v>
      </c>
      <c r="B2469" s="34">
        <v>41514</v>
      </c>
      <c r="C2469">
        <v>1.3390500000000001</v>
      </c>
      <c r="D2469">
        <v>0</v>
      </c>
      <c r="F2469">
        <v>0.44585999999999798</v>
      </c>
      <c r="G2469">
        <v>21.1983032873807</v>
      </c>
      <c r="H2469">
        <v>0</v>
      </c>
      <c r="I2469">
        <v>0.52301089999999995</v>
      </c>
      <c r="J2469">
        <v>2013</v>
      </c>
      <c r="K2469">
        <v>8</v>
      </c>
      <c r="L2469">
        <v>28</v>
      </c>
      <c r="M2469" t="s">
        <v>89</v>
      </c>
      <c r="N2469">
        <v>0</v>
      </c>
      <c r="O2469">
        <v>0</v>
      </c>
    </row>
    <row r="2470" spans="1:15" x14ac:dyDescent="0.3">
      <c r="A2470">
        <v>2565</v>
      </c>
      <c r="B2470" s="34">
        <v>41515</v>
      </c>
      <c r="C2470">
        <v>1.3340399999999999</v>
      </c>
      <c r="D2470">
        <v>0</v>
      </c>
      <c r="F2470">
        <v>0.44585999999999798</v>
      </c>
      <c r="G2470">
        <v>21.1983032873807</v>
      </c>
      <c r="H2470">
        <v>1</v>
      </c>
      <c r="I2470">
        <v>0.52319689999999996</v>
      </c>
      <c r="J2470">
        <v>2013</v>
      </c>
      <c r="K2470">
        <v>8</v>
      </c>
      <c r="L2470">
        <v>29</v>
      </c>
      <c r="M2470" t="s">
        <v>90</v>
      </c>
      <c r="N2470">
        <v>0</v>
      </c>
      <c r="O2470">
        <v>0</v>
      </c>
    </row>
    <row r="2471" spans="1:15" x14ac:dyDescent="0.3">
      <c r="A2471">
        <v>2566</v>
      </c>
      <c r="B2471" s="34">
        <v>41516</v>
      </c>
      <c r="C2471">
        <v>1.3237399999999999</v>
      </c>
      <c r="D2471">
        <v>0</v>
      </c>
      <c r="F2471">
        <v>0.44585999999999798</v>
      </c>
      <c r="G2471">
        <v>21.1983032873807</v>
      </c>
      <c r="H2471">
        <v>0</v>
      </c>
      <c r="I2471">
        <v>0.52299300000000004</v>
      </c>
      <c r="J2471">
        <v>2013</v>
      </c>
      <c r="K2471">
        <v>8</v>
      </c>
      <c r="L2471">
        <v>30</v>
      </c>
      <c r="M2471" t="s">
        <v>91</v>
      </c>
      <c r="N2471">
        <v>0</v>
      </c>
      <c r="O2471">
        <v>0</v>
      </c>
    </row>
    <row r="2472" spans="1:15" x14ac:dyDescent="0.3">
      <c r="A2472">
        <v>2567</v>
      </c>
      <c r="B2472" s="34">
        <v>41519</v>
      </c>
      <c r="C2472">
        <v>1.32195</v>
      </c>
      <c r="D2472">
        <v>0</v>
      </c>
      <c r="F2472">
        <v>0.44585999999999798</v>
      </c>
      <c r="G2472">
        <v>21.1983032873807</v>
      </c>
      <c r="H2472">
        <v>0</v>
      </c>
      <c r="I2472">
        <v>0.52278919999999995</v>
      </c>
      <c r="J2472">
        <v>2013</v>
      </c>
      <c r="K2472">
        <v>9</v>
      </c>
      <c r="L2472">
        <v>2</v>
      </c>
      <c r="M2472" t="s">
        <v>92</v>
      </c>
      <c r="N2472">
        <v>0</v>
      </c>
      <c r="O2472">
        <v>0</v>
      </c>
    </row>
    <row r="2473" spans="1:15" x14ac:dyDescent="0.3">
      <c r="A2473">
        <v>2568</v>
      </c>
      <c r="B2473" s="34">
        <v>41520</v>
      </c>
      <c r="C2473">
        <v>1.3195699999999999</v>
      </c>
      <c r="D2473">
        <v>0</v>
      </c>
      <c r="F2473">
        <v>0.44585999999999798</v>
      </c>
      <c r="G2473">
        <v>21.1983032873807</v>
      </c>
      <c r="H2473">
        <v>0</v>
      </c>
      <c r="I2473">
        <v>0.52258570000000004</v>
      </c>
      <c r="J2473">
        <v>2013</v>
      </c>
      <c r="K2473">
        <v>9</v>
      </c>
      <c r="L2473">
        <v>3</v>
      </c>
      <c r="M2473" t="s">
        <v>93</v>
      </c>
      <c r="N2473">
        <v>0</v>
      </c>
      <c r="O2473">
        <v>0</v>
      </c>
    </row>
    <row r="2474" spans="1:15" x14ac:dyDescent="0.3">
      <c r="A2474">
        <v>2569</v>
      </c>
      <c r="B2474" s="34">
        <v>41521</v>
      </c>
      <c r="C2474">
        <v>1.3166100000000001</v>
      </c>
      <c r="D2474">
        <v>0</v>
      </c>
      <c r="F2474">
        <v>0.44585999999999798</v>
      </c>
      <c r="G2474">
        <v>21.1983032873807</v>
      </c>
      <c r="H2474">
        <v>0</v>
      </c>
      <c r="I2474">
        <v>0.52238229999999997</v>
      </c>
      <c r="J2474">
        <v>2013</v>
      </c>
      <c r="K2474">
        <v>9</v>
      </c>
      <c r="L2474">
        <v>4</v>
      </c>
      <c r="M2474" t="s">
        <v>89</v>
      </c>
      <c r="N2474">
        <v>0</v>
      </c>
      <c r="O2474">
        <v>0</v>
      </c>
    </row>
    <row r="2475" spans="1:15" x14ac:dyDescent="0.3">
      <c r="A2475">
        <v>2570</v>
      </c>
      <c r="B2475" s="34">
        <v>41522</v>
      </c>
      <c r="C2475">
        <v>1.3202799999999999</v>
      </c>
      <c r="D2475">
        <v>0</v>
      </c>
      <c r="F2475">
        <v>0.44585999999999798</v>
      </c>
      <c r="G2475">
        <v>21.1983032873807</v>
      </c>
      <c r="H2475">
        <v>1</v>
      </c>
      <c r="I2475">
        <v>0.52256809999999998</v>
      </c>
      <c r="J2475">
        <v>2013</v>
      </c>
      <c r="K2475">
        <v>9</v>
      </c>
      <c r="L2475">
        <v>5</v>
      </c>
      <c r="M2475" t="s">
        <v>90</v>
      </c>
      <c r="N2475">
        <v>0</v>
      </c>
      <c r="O2475">
        <v>0</v>
      </c>
    </row>
    <row r="2476" spans="1:15" x14ac:dyDescent="0.3">
      <c r="A2476">
        <v>2571</v>
      </c>
      <c r="B2476" s="34">
        <v>41523</v>
      </c>
      <c r="C2476">
        <v>1.3117700000000001</v>
      </c>
      <c r="D2476">
        <v>0</v>
      </c>
      <c r="F2476">
        <v>0.44585999999999798</v>
      </c>
      <c r="G2476">
        <v>21.1983032873807</v>
      </c>
      <c r="H2476">
        <v>1</v>
      </c>
      <c r="I2476">
        <v>0.52275380000000005</v>
      </c>
      <c r="J2476">
        <v>2013</v>
      </c>
      <c r="K2476">
        <v>9</v>
      </c>
      <c r="L2476">
        <v>6</v>
      </c>
      <c r="M2476" t="s">
        <v>91</v>
      </c>
      <c r="N2476">
        <v>0</v>
      </c>
      <c r="O2476">
        <v>0</v>
      </c>
    </row>
    <row r="2477" spans="1:15" x14ac:dyDescent="0.3">
      <c r="A2477">
        <v>2572</v>
      </c>
      <c r="B2477" s="34">
        <v>41526</v>
      </c>
      <c r="C2477">
        <v>1.3176600000000001</v>
      </c>
      <c r="D2477">
        <v>0</v>
      </c>
      <c r="F2477">
        <v>0.44585999999999798</v>
      </c>
      <c r="G2477">
        <v>21.1983032873807</v>
      </c>
      <c r="H2477">
        <v>1</v>
      </c>
      <c r="I2477">
        <v>0.5229393</v>
      </c>
      <c r="J2477">
        <v>2013</v>
      </c>
      <c r="K2477">
        <v>9</v>
      </c>
      <c r="L2477">
        <v>9</v>
      </c>
      <c r="M2477" t="s">
        <v>92</v>
      </c>
      <c r="N2477">
        <v>0</v>
      </c>
      <c r="O2477">
        <v>0</v>
      </c>
    </row>
    <row r="2478" spans="1:15" x14ac:dyDescent="0.3">
      <c r="A2478">
        <v>2573</v>
      </c>
      <c r="B2478" s="34">
        <v>41527</v>
      </c>
      <c r="C2478">
        <v>1.32531</v>
      </c>
      <c r="D2478">
        <v>0</v>
      </c>
      <c r="F2478">
        <v>0.44585999999999798</v>
      </c>
      <c r="G2478">
        <v>21.1983032873807</v>
      </c>
      <c r="H2478">
        <v>0</v>
      </c>
      <c r="I2478">
        <v>0.52273610000000004</v>
      </c>
      <c r="J2478">
        <v>2013</v>
      </c>
      <c r="K2478">
        <v>9</v>
      </c>
      <c r="L2478">
        <v>10</v>
      </c>
      <c r="M2478" t="s">
        <v>93</v>
      </c>
      <c r="N2478">
        <v>0</v>
      </c>
      <c r="O2478">
        <v>0</v>
      </c>
    </row>
    <row r="2479" spans="1:15" x14ac:dyDescent="0.3">
      <c r="A2479">
        <v>2574</v>
      </c>
      <c r="B2479" s="34">
        <v>41528</v>
      </c>
      <c r="C2479">
        <v>1.3265499999999999</v>
      </c>
      <c r="D2479">
        <v>0</v>
      </c>
      <c r="F2479">
        <v>0.44585999999999798</v>
      </c>
      <c r="G2479">
        <v>21.1983032873807</v>
      </c>
      <c r="H2479">
        <v>0</v>
      </c>
      <c r="I2479">
        <v>0.52253300000000003</v>
      </c>
      <c r="J2479">
        <v>2013</v>
      </c>
      <c r="K2479">
        <v>9</v>
      </c>
      <c r="L2479">
        <v>11</v>
      </c>
      <c r="M2479" t="s">
        <v>89</v>
      </c>
      <c r="N2479">
        <v>0</v>
      </c>
      <c r="O2479">
        <v>0</v>
      </c>
    </row>
    <row r="2480" spans="1:15" x14ac:dyDescent="0.3">
      <c r="A2480">
        <v>2575</v>
      </c>
      <c r="B2480" s="34">
        <v>41529</v>
      </c>
      <c r="C2480">
        <v>1.33108</v>
      </c>
      <c r="D2480">
        <v>0</v>
      </c>
      <c r="F2480">
        <v>0.44585999999999798</v>
      </c>
      <c r="G2480">
        <v>21.1983032873807</v>
      </c>
      <c r="H2480">
        <v>0</v>
      </c>
      <c r="I2480">
        <v>0.52233010000000002</v>
      </c>
      <c r="J2480">
        <v>2013</v>
      </c>
      <c r="K2480">
        <v>9</v>
      </c>
      <c r="L2480">
        <v>12</v>
      </c>
      <c r="M2480" t="s">
        <v>90</v>
      </c>
      <c r="N2480">
        <v>0</v>
      </c>
      <c r="O2480">
        <v>0</v>
      </c>
    </row>
    <row r="2481" spans="1:15" x14ac:dyDescent="0.3">
      <c r="A2481">
        <v>2576</v>
      </c>
      <c r="B2481" s="34">
        <v>41530</v>
      </c>
      <c r="C2481">
        <v>1.3299799999999999</v>
      </c>
      <c r="D2481">
        <v>0</v>
      </c>
      <c r="F2481">
        <v>0.44585999999999798</v>
      </c>
      <c r="G2481">
        <v>21.1983032873807</v>
      </c>
      <c r="H2481">
        <v>1</v>
      </c>
      <c r="I2481">
        <v>0.52251550000000002</v>
      </c>
      <c r="J2481">
        <v>2013</v>
      </c>
      <c r="K2481">
        <v>9</v>
      </c>
      <c r="L2481">
        <v>13</v>
      </c>
      <c r="M2481" t="s">
        <v>91</v>
      </c>
      <c r="N2481">
        <v>0</v>
      </c>
      <c r="O2481">
        <v>0</v>
      </c>
    </row>
    <row r="2482" spans="1:15" x14ac:dyDescent="0.3">
      <c r="A2482">
        <v>2577</v>
      </c>
      <c r="B2482" s="34">
        <v>41533</v>
      </c>
      <c r="C2482">
        <v>1.3293200000000001</v>
      </c>
      <c r="D2482">
        <v>0</v>
      </c>
      <c r="F2482">
        <v>0.44585999999999798</v>
      </c>
      <c r="G2482">
        <v>21.1983032873807</v>
      </c>
      <c r="H2482">
        <v>1</v>
      </c>
      <c r="I2482">
        <v>0.52270079999999997</v>
      </c>
      <c r="J2482">
        <v>2013</v>
      </c>
      <c r="K2482">
        <v>9</v>
      </c>
      <c r="L2482">
        <v>16</v>
      </c>
      <c r="M2482" t="s">
        <v>92</v>
      </c>
      <c r="N2482">
        <v>0</v>
      </c>
      <c r="O2482">
        <v>0</v>
      </c>
    </row>
    <row r="2483" spans="1:15" x14ac:dyDescent="0.3">
      <c r="A2483">
        <v>2578</v>
      </c>
      <c r="B2483" s="34">
        <v>41534</v>
      </c>
      <c r="C2483">
        <v>1.3334900000000001</v>
      </c>
      <c r="D2483">
        <v>0</v>
      </c>
      <c r="F2483">
        <v>0.44585999999999798</v>
      </c>
      <c r="G2483">
        <v>21.1983032873807</v>
      </c>
      <c r="H2483">
        <v>0</v>
      </c>
      <c r="I2483">
        <v>0.52249809999999997</v>
      </c>
      <c r="J2483">
        <v>2013</v>
      </c>
      <c r="K2483">
        <v>9</v>
      </c>
      <c r="L2483">
        <v>17</v>
      </c>
      <c r="M2483" t="s">
        <v>93</v>
      </c>
      <c r="N2483">
        <v>0</v>
      </c>
      <c r="O2483">
        <v>0</v>
      </c>
    </row>
    <row r="2484" spans="1:15" x14ac:dyDescent="0.3">
      <c r="A2484">
        <v>2579</v>
      </c>
      <c r="B2484" s="34">
        <v>41535</v>
      </c>
      <c r="C2484">
        <v>1.33578</v>
      </c>
      <c r="D2484">
        <v>0</v>
      </c>
      <c r="F2484">
        <v>0.44585999999999798</v>
      </c>
      <c r="G2484">
        <v>21.1983032873807</v>
      </c>
      <c r="H2484">
        <v>0</v>
      </c>
      <c r="I2484">
        <v>0.52229550000000002</v>
      </c>
      <c r="J2484">
        <v>2013</v>
      </c>
      <c r="K2484">
        <v>9</v>
      </c>
      <c r="L2484">
        <v>18</v>
      </c>
      <c r="M2484" t="s">
        <v>89</v>
      </c>
      <c r="N2484">
        <v>0</v>
      </c>
      <c r="O2484">
        <v>0</v>
      </c>
    </row>
    <row r="2485" spans="1:15" x14ac:dyDescent="0.3">
      <c r="A2485">
        <v>2580</v>
      </c>
      <c r="B2485" s="34">
        <v>41536</v>
      </c>
      <c r="C2485">
        <v>1.3508199999999999</v>
      </c>
      <c r="D2485">
        <v>0</v>
      </c>
      <c r="F2485">
        <v>0.44585999999999798</v>
      </c>
      <c r="G2485">
        <v>21.1983032873807</v>
      </c>
      <c r="H2485">
        <v>0</v>
      </c>
      <c r="I2485">
        <v>0.52209300000000003</v>
      </c>
      <c r="J2485">
        <v>2013</v>
      </c>
      <c r="K2485">
        <v>9</v>
      </c>
      <c r="L2485">
        <v>19</v>
      </c>
      <c r="M2485" t="s">
        <v>90</v>
      </c>
      <c r="N2485">
        <v>0</v>
      </c>
      <c r="O2485">
        <v>0</v>
      </c>
    </row>
    <row r="2486" spans="1:15" x14ac:dyDescent="0.3">
      <c r="A2486">
        <v>2581</v>
      </c>
      <c r="B2486" s="34">
        <v>41537</v>
      </c>
      <c r="C2486">
        <v>1.3529100000000001</v>
      </c>
      <c r="D2486">
        <v>0</v>
      </c>
      <c r="F2486">
        <v>0.44585999999999798</v>
      </c>
      <c r="G2486">
        <v>21.1983032873807</v>
      </c>
      <c r="H2486">
        <v>0</v>
      </c>
      <c r="I2486">
        <v>0.52189079999999999</v>
      </c>
      <c r="J2486">
        <v>2013</v>
      </c>
      <c r="K2486">
        <v>9</v>
      </c>
      <c r="L2486">
        <v>20</v>
      </c>
      <c r="M2486" t="s">
        <v>91</v>
      </c>
      <c r="N2486">
        <v>0</v>
      </c>
      <c r="O2486">
        <v>0</v>
      </c>
    </row>
    <row r="2487" spans="1:15" x14ac:dyDescent="0.3">
      <c r="A2487">
        <v>2582</v>
      </c>
      <c r="B2487" s="34">
        <v>41540</v>
      </c>
      <c r="C2487">
        <v>1.3521700000000001</v>
      </c>
      <c r="D2487">
        <v>0</v>
      </c>
      <c r="F2487">
        <v>0.44585999999999798</v>
      </c>
      <c r="G2487">
        <v>21.1983032873807</v>
      </c>
      <c r="H2487">
        <v>1</v>
      </c>
      <c r="I2487">
        <v>0.52207590000000004</v>
      </c>
      <c r="J2487">
        <v>2013</v>
      </c>
      <c r="K2487">
        <v>9</v>
      </c>
      <c r="L2487">
        <v>23</v>
      </c>
      <c r="M2487" t="s">
        <v>92</v>
      </c>
      <c r="N2487">
        <v>0</v>
      </c>
      <c r="O2487">
        <v>0</v>
      </c>
    </row>
    <row r="2488" spans="1:15" x14ac:dyDescent="0.3">
      <c r="A2488">
        <v>2583</v>
      </c>
      <c r="B2488" s="34">
        <v>41541</v>
      </c>
      <c r="C2488">
        <v>1.34927</v>
      </c>
      <c r="D2488">
        <v>0</v>
      </c>
      <c r="F2488">
        <v>0.44585999999999798</v>
      </c>
      <c r="G2488">
        <v>21.1983032873807</v>
      </c>
      <c r="H2488">
        <v>1</v>
      </c>
      <c r="I2488">
        <v>0.52226099999999998</v>
      </c>
      <c r="J2488">
        <v>2013</v>
      </c>
      <c r="K2488">
        <v>9</v>
      </c>
      <c r="L2488">
        <v>24</v>
      </c>
      <c r="M2488" t="s">
        <v>93</v>
      </c>
      <c r="N2488">
        <v>0</v>
      </c>
      <c r="O2488">
        <v>0</v>
      </c>
    </row>
    <row r="2489" spans="1:15" x14ac:dyDescent="0.3">
      <c r="A2489">
        <v>2584</v>
      </c>
      <c r="B2489" s="34">
        <v>41542</v>
      </c>
      <c r="C2489">
        <v>1.3470200000000001</v>
      </c>
      <c r="D2489">
        <v>0</v>
      </c>
      <c r="F2489">
        <v>0.44585999999999798</v>
      </c>
      <c r="G2489">
        <v>21.1983032873807</v>
      </c>
      <c r="H2489">
        <v>1</v>
      </c>
      <c r="I2489">
        <v>0.52244579999999996</v>
      </c>
      <c r="J2489">
        <v>2013</v>
      </c>
      <c r="K2489">
        <v>9</v>
      </c>
      <c r="L2489">
        <v>25</v>
      </c>
      <c r="M2489" t="s">
        <v>89</v>
      </c>
      <c r="N2489">
        <v>0</v>
      </c>
      <c r="O2489">
        <v>0</v>
      </c>
    </row>
    <row r="2490" spans="1:15" x14ac:dyDescent="0.3">
      <c r="A2490">
        <v>2585</v>
      </c>
      <c r="B2490" s="34">
        <v>41543</v>
      </c>
      <c r="C2490">
        <v>1.35219</v>
      </c>
      <c r="D2490">
        <v>0</v>
      </c>
      <c r="F2490">
        <v>0.44585999999999798</v>
      </c>
      <c r="G2490">
        <v>21.1983032873807</v>
      </c>
      <c r="H2490">
        <v>1</v>
      </c>
      <c r="I2490">
        <v>0.52263059999999995</v>
      </c>
      <c r="J2490">
        <v>2013</v>
      </c>
      <c r="K2490">
        <v>9</v>
      </c>
      <c r="L2490">
        <v>26</v>
      </c>
      <c r="M2490" t="s">
        <v>90</v>
      </c>
      <c r="N2490">
        <v>0</v>
      </c>
      <c r="O2490">
        <v>0</v>
      </c>
    </row>
    <row r="2491" spans="1:15" x14ac:dyDescent="0.3">
      <c r="A2491">
        <v>2586</v>
      </c>
      <c r="B2491" s="34">
        <v>41544</v>
      </c>
      <c r="C2491">
        <v>1.3486499999999999</v>
      </c>
      <c r="D2491">
        <v>0</v>
      </c>
      <c r="F2491">
        <v>0.44585999999999798</v>
      </c>
      <c r="G2491">
        <v>21.1983032873807</v>
      </c>
      <c r="H2491">
        <v>1</v>
      </c>
      <c r="I2491">
        <v>0.52281520000000004</v>
      </c>
      <c r="J2491">
        <v>2013</v>
      </c>
      <c r="K2491">
        <v>9</v>
      </c>
      <c r="L2491">
        <v>27</v>
      </c>
      <c r="M2491" t="s">
        <v>91</v>
      </c>
      <c r="N2491">
        <v>0</v>
      </c>
      <c r="O2491">
        <v>0</v>
      </c>
    </row>
    <row r="2492" spans="1:15" x14ac:dyDescent="0.3">
      <c r="A2492">
        <v>2587</v>
      </c>
      <c r="B2492" s="34">
        <v>41547</v>
      </c>
      <c r="C2492">
        <v>1.35216</v>
      </c>
      <c r="D2492">
        <v>0</v>
      </c>
      <c r="F2492">
        <v>0.44585999999999798</v>
      </c>
      <c r="G2492">
        <v>21.1983032873807</v>
      </c>
      <c r="H2492">
        <v>1</v>
      </c>
      <c r="I2492">
        <v>0.52299960000000001</v>
      </c>
      <c r="J2492">
        <v>2013</v>
      </c>
      <c r="K2492">
        <v>9</v>
      </c>
      <c r="L2492">
        <v>30</v>
      </c>
      <c r="M2492" t="s">
        <v>92</v>
      </c>
      <c r="N2492">
        <v>0</v>
      </c>
      <c r="O2492">
        <v>0</v>
      </c>
    </row>
    <row r="2493" spans="1:15" x14ac:dyDescent="0.3">
      <c r="A2493">
        <v>2588</v>
      </c>
      <c r="B2493" s="34">
        <v>41548</v>
      </c>
      <c r="C2493">
        <v>1.35215</v>
      </c>
      <c r="D2493">
        <v>0</v>
      </c>
      <c r="F2493">
        <v>0.44585999999999798</v>
      </c>
      <c r="G2493">
        <v>21.1983032873807</v>
      </c>
      <c r="H2493">
        <v>1</v>
      </c>
      <c r="I2493">
        <v>0.52318390000000004</v>
      </c>
      <c r="J2493">
        <v>2013</v>
      </c>
      <c r="K2493">
        <v>10</v>
      </c>
      <c r="L2493">
        <v>1</v>
      </c>
      <c r="M2493" t="s">
        <v>93</v>
      </c>
      <c r="N2493">
        <v>0</v>
      </c>
      <c r="O2493">
        <v>0</v>
      </c>
    </row>
    <row r="2494" spans="1:15" x14ac:dyDescent="0.3">
      <c r="A2494">
        <v>2589</v>
      </c>
      <c r="B2494" s="34">
        <v>41549</v>
      </c>
      <c r="C2494">
        <v>1.3524099999999999</v>
      </c>
      <c r="D2494">
        <v>0</v>
      </c>
      <c r="F2494">
        <v>0.44585999999999798</v>
      </c>
      <c r="G2494">
        <v>21.1983032873807</v>
      </c>
      <c r="H2494">
        <v>0</v>
      </c>
      <c r="I2494">
        <v>0.52298180000000005</v>
      </c>
      <c r="J2494">
        <v>2013</v>
      </c>
      <c r="K2494">
        <v>10</v>
      </c>
      <c r="L2494">
        <v>2</v>
      </c>
      <c r="M2494" t="s">
        <v>89</v>
      </c>
      <c r="N2494">
        <v>0</v>
      </c>
      <c r="O2494">
        <v>0</v>
      </c>
    </row>
    <row r="2495" spans="1:15" x14ac:dyDescent="0.3">
      <c r="A2495">
        <v>2590</v>
      </c>
      <c r="B2495" s="34">
        <v>41550</v>
      </c>
      <c r="C2495">
        <v>1.3581099999999999</v>
      </c>
      <c r="D2495">
        <v>0</v>
      </c>
      <c r="F2495">
        <v>0.44585999999999798</v>
      </c>
      <c r="G2495">
        <v>21.1983032873807</v>
      </c>
      <c r="H2495">
        <v>0</v>
      </c>
      <c r="I2495">
        <v>0.52277989999999996</v>
      </c>
      <c r="J2495">
        <v>2013</v>
      </c>
      <c r="K2495">
        <v>10</v>
      </c>
      <c r="L2495">
        <v>3</v>
      </c>
      <c r="M2495" t="s">
        <v>90</v>
      </c>
      <c r="N2495">
        <v>0</v>
      </c>
      <c r="O2495">
        <v>0</v>
      </c>
    </row>
    <row r="2496" spans="1:15" x14ac:dyDescent="0.3">
      <c r="A2496">
        <v>2591</v>
      </c>
      <c r="B2496" s="34">
        <v>41551</v>
      </c>
      <c r="C2496">
        <v>1.36215</v>
      </c>
      <c r="D2496">
        <v>0</v>
      </c>
      <c r="F2496">
        <v>0.44585999999999798</v>
      </c>
      <c r="G2496">
        <v>21.1983032873807</v>
      </c>
      <c r="H2496">
        <v>0</v>
      </c>
      <c r="I2496">
        <v>0.52257819999999999</v>
      </c>
      <c r="J2496">
        <v>2013</v>
      </c>
      <c r="K2496">
        <v>10</v>
      </c>
      <c r="L2496">
        <v>4</v>
      </c>
      <c r="M2496" t="s">
        <v>91</v>
      </c>
      <c r="N2496">
        <v>0</v>
      </c>
      <c r="O2496">
        <v>0</v>
      </c>
    </row>
    <row r="2497" spans="1:15" x14ac:dyDescent="0.3">
      <c r="A2497">
        <v>2592</v>
      </c>
      <c r="B2497" s="34">
        <v>41554</v>
      </c>
      <c r="C2497">
        <v>1.35565</v>
      </c>
      <c r="D2497">
        <v>0</v>
      </c>
      <c r="F2497">
        <v>0.44585999999999798</v>
      </c>
      <c r="G2497">
        <v>21.1983032873807</v>
      </c>
      <c r="H2497">
        <v>1</v>
      </c>
      <c r="I2497">
        <v>0.52276239999999996</v>
      </c>
      <c r="J2497">
        <v>2013</v>
      </c>
      <c r="K2497">
        <v>10</v>
      </c>
      <c r="L2497">
        <v>7</v>
      </c>
      <c r="M2497" t="s">
        <v>92</v>
      </c>
      <c r="N2497">
        <v>0</v>
      </c>
      <c r="O2497">
        <v>0</v>
      </c>
    </row>
    <row r="2498" spans="1:15" x14ac:dyDescent="0.3">
      <c r="A2498">
        <v>2593</v>
      </c>
      <c r="B2498" s="34">
        <v>41555</v>
      </c>
      <c r="C2498">
        <v>1.3576600000000001</v>
      </c>
      <c r="D2498">
        <v>0</v>
      </c>
      <c r="F2498">
        <v>0.44585999999999798</v>
      </c>
      <c r="G2498">
        <v>21.1983032873807</v>
      </c>
      <c r="H2498">
        <v>0</v>
      </c>
      <c r="I2498">
        <v>0.52256069999999999</v>
      </c>
      <c r="J2498">
        <v>2013</v>
      </c>
      <c r="K2498">
        <v>10</v>
      </c>
      <c r="L2498">
        <v>8</v>
      </c>
      <c r="M2498" t="s">
        <v>93</v>
      </c>
      <c r="N2498">
        <v>0</v>
      </c>
      <c r="O2498">
        <v>0</v>
      </c>
    </row>
    <row r="2499" spans="1:15" x14ac:dyDescent="0.3">
      <c r="A2499">
        <v>2594</v>
      </c>
      <c r="B2499" s="34">
        <v>41556</v>
      </c>
      <c r="C2499">
        <v>1.35727</v>
      </c>
      <c r="D2499">
        <v>0</v>
      </c>
      <c r="F2499">
        <v>0.44585999999999798</v>
      </c>
      <c r="G2499">
        <v>21.1983032873807</v>
      </c>
      <c r="H2499">
        <v>1</v>
      </c>
      <c r="I2499">
        <v>0.52274480000000001</v>
      </c>
      <c r="J2499">
        <v>2013</v>
      </c>
      <c r="K2499">
        <v>10</v>
      </c>
      <c r="L2499">
        <v>9</v>
      </c>
      <c r="M2499" t="s">
        <v>89</v>
      </c>
      <c r="N2499">
        <v>0</v>
      </c>
      <c r="O2499">
        <v>0</v>
      </c>
    </row>
    <row r="2500" spans="1:15" x14ac:dyDescent="0.3">
      <c r="A2500">
        <v>2595</v>
      </c>
      <c r="B2500" s="34">
        <v>41557</v>
      </c>
      <c r="C2500">
        <v>1.35232</v>
      </c>
      <c r="D2500">
        <v>0</v>
      </c>
      <c r="F2500">
        <v>0.44585999999999798</v>
      </c>
      <c r="G2500">
        <v>21.1983032873807</v>
      </c>
      <c r="H2500">
        <v>1</v>
      </c>
      <c r="I2500">
        <v>0.52292870000000002</v>
      </c>
      <c r="J2500">
        <v>2013</v>
      </c>
      <c r="K2500">
        <v>10</v>
      </c>
      <c r="L2500">
        <v>10</v>
      </c>
      <c r="M2500" t="s">
        <v>90</v>
      </c>
      <c r="N2500">
        <v>0</v>
      </c>
      <c r="O2500">
        <v>0</v>
      </c>
    </row>
    <row r="2501" spans="1:15" x14ac:dyDescent="0.3">
      <c r="A2501">
        <v>2596</v>
      </c>
      <c r="B2501" s="34">
        <v>41558</v>
      </c>
      <c r="C2501">
        <v>1.35253</v>
      </c>
      <c r="D2501">
        <v>0</v>
      </c>
      <c r="F2501">
        <v>0.44585999999999798</v>
      </c>
      <c r="G2501">
        <v>21.1983032873807</v>
      </c>
      <c r="H2501">
        <v>1</v>
      </c>
      <c r="I2501">
        <v>0.52311249999999998</v>
      </c>
      <c r="J2501">
        <v>2013</v>
      </c>
      <c r="K2501">
        <v>10</v>
      </c>
      <c r="L2501">
        <v>11</v>
      </c>
      <c r="M2501" t="s">
        <v>91</v>
      </c>
      <c r="N2501">
        <v>0</v>
      </c>
      <c r="O2501">
        <v>0</v>
      </c>
    </row>
    <row r="2502" spans="1:15" x14ac:dyDescent="0.3">
      <c r="A2502">
        <v>2597</v>
      </c>
      <c r="B2502" s="34">
        <v>41561</v>
      </c>
      <c r="C2502">
        <v>1.35372</v>
      </c>
      <c r="D2502">
        <v>0</v>
      </c>
      <c r="F2502">
        <v>0.44585999999999798</v>
      </c>
      <c r="G2502">
        <v>21.1983032873807</v>
      </c>
      <c r="H2502">
        <v>1</v>
      </c>
      <c r="I2502">
        <v>0.52329610000000004</v>
      </c>
      <c r="J2502">
        <v>2013</v>
      </c>
      <c r="K2502">
        <v>10</v>
      </c>
      <c r="L2502">
        <v>14</v>
      </c>
      <c r="M2502" t="s">
        <v>92</v>
      </c>
      <c r="N2502">
        <v>0</v>
      </c>
      <c r="O2502">
        <v>0</v>
      </c>
    </row>
    <row r="2503" spans="1:15" x14ac:dyDescent="0.3">
      <c r="A2503">
        <v>2598</v>
      </c>
      <c r="B2503" s="34">
        <v>41562</v>
      </c>
      <c r="C2503">
        <v>1.3559099999999999</v>
      </c>
      <c r="D2503">
        <v>0</v>
      </c>
      <c r="F2503">
        <v>0.44585999999999798</v>
      </c>
      <c r="G2503">
        <v>21.1983032873807</v>
      </c>
      <c r="H2503">
        <v>0</v>
      </c>
      <c r="I2503">
        <v>0.52309470000000002</v>
      </c>
      <c r="J2503">
        <v>2013</v>
      </c>
      <c r="K2503">
        <v>10</v>
      </c>
      <c r="L2503">
        <v>15</v>
      </c>
      <c r="M2503" t="s">
        <v>93</v>
      </c>
      <c r="N2503">
        <v>0</v>
      </c>
      <c r="O2503">
        <v>0</v>
      </c>
    </row>
    <row r="2504" spans="1:15" x14ac:dyDescent="0.3">
      <c r="A2504">
        <v>2599</v>
      </c>
      <c r="B2504" s="34">
        <v>41563</v>
      </c>
      <c r="C2504">
        <v>1.35256</v>
      </c>
      <c r="D2504">
        <v>0</v>
      </c>
      <c r="F2504">
        <v>0.44585999999999798</v>
      </c>
      <c r="G2504">
        <v>21.1983032873807</v>
      </c>
      <c r="H2504">
        <v>1</v>
      </c>
      <c r="I2504">
        <v>0.52327820000000003</v>
      </c>
      <c r="J2504">
        <v>2013</v>
      </c>
      <c r="K2504">
        <v>10</v>
      </c>
      <c r="L2504">
        <v>16</v>
      </c>
      <c r="M2504" t="s">
        <v>89</v>
      </c>
      <c r="N2504">
        <v>0</v>
      </c>
      <c r="O2504">
        <v>0</v>
      </c>
    </row>
    <row r="2505" spans="1:15" x14ac:dyDescent="0.3">
      <c r="A2505">
        <v>2600</v>
      </c>
      <c r="B2505" s="34">
        <v>41564</v>
      </c>
      <c r="C2505">
        <v>1.35334</v>
      </c>
      <c r="D2505">
        <v>0</v>
      </c>
      <c r="F2505">
        <v>0.44585999999999798</v>
      </c>
      <c r="G2505">
        <v>21.1983032873807</v>
      </c>
      <c r="H2505">
        <v>1</v>
      </c>
      <c r="I2505">
        <v>0.52346150000000002</v>
      </c>
      <c r="J2505">
        <v>2013</v>
      </c>
      <c r="K2505">
        <v>10</v>
      </c>
      <c r="L2505">
        <v>17</v>
      </c>
      <c r="M2505" t="s">
        <v>90</v>
      </c>
      <c r="N2505">
        <v>0</v>
      </c>
      <c r="O2505">
        <v>0</v>
      </c>
    </row>
    <row r="2506" spans="1:15" x14ac:dyDescent="0.3">
      <c r="A2506">
        <v>2601</v>
      </c>
      <c r="B2506" s="34">
        <v>41565</v>
      </c>
      <c r="C2506">
        <v>1.3672299999999999</v>
      </c>
      <c r="D2506">
        <v>0</v>
      </c>
      <c r="F2506">
        <v>0.44585999999999798</v>
      </c>
      <c r="G2506">
        <v>21.1983032873807</v>
      </c>
      <c r="H2506">
        <v>1</v>
      </c>
      <c r="I2506">
        <v>0.52364469999999996</v>
      </c>
      <c r="J2506">
        <v>2013</v>
      </c>
      <c r="K2506">
        <v>10</v>
      </c>
      <c r="L2506">
        <v>18</v>
      </c>
      <c r="M2506" t="s">
        <v>91</v>
      </c>
      <c r="N2506">
        <v>0</v>
      </c>
      <c r="O2506">
        <v>0</v>
      </c>
    </row>
    <row r="2507" spans="1:15" x14ac:dyDescent="0.3">
      <c r="A2507">
        <v>2602</v>
      </c>
      <c r="B2507" s="34">
        <v>41568</v>
      </c>
      <c r="C2507">
        <v>1.36853</v>
      </c>
      <c r="D2507">
        <v>0</v>
      </c>
      <c r="F2507">
        <v>0.44585999999999798</v>
      </c>
      <c r="G2507">
        <v>21.1983032873807</v>
      </c>
      <c r="H2507">
        <v>0</v>
      </c>
      <c r="I2507">
        <v>0.52344349999999995</v>
      </c>
      <c r="J2507">
        <v>2013</v>
      </c>
      <c r="K2507">
        <v>10</v>
      </c>
      <c r="L2507">
        <v>21</v>
      </c>
      <c r="M2507" t="s">
        <v>92</v>
      </c>
      <c r="N2507">
        <v>0</v>
      </c>
      <c r="O2507">
        <v>0</v>
      </c>
    </row>
    <row r="2508" spans="1:15" x14ac:dyDescent="0.3">
      <c r="A2508">
        <v>2603</v>
      </c>
      <c r="B2508" s="34">
        <v>41569</v>
      </c>
      <c r="C2508">
        <v>1.36768</v>
      </c>
      <c r="D2508">
        <v>0</v>
      </c>
      <c r="F2508">
        <v>0.44585999999999798</v>
      </c>
      <c r="G2508">
        <v>21.1983032873807</v>
      </c>
      <c r="H2508">
        <v>1</v>
      </c>
      <c r="I2508">
        <v>0.52362660000000005</v>
      </c>
      <c r="J2508">
        <v>2013</v>
      </c>
      <c r="K2508">
        <v>10</v>
      </c>
      <c r="L2508">
        <v>22</v>
      </c>
      <c r="M2508" t="s">
        <v>93</v>
      </c>
      <c r="N2508">
        <v>0</v>
      </c>
      <c r="O2508">
        <v>0</v>
      </c>
    </row>
    <row r="2509" spans="1:15" x14ac:dyDescent="0.3">
      <c r="A2509">
        <v>2604</v>
      </c>
      <c r="B2509" s="34">
        <v>41570</v>
      </c>
      <c r="C2509">
        <v>1.37781</v>
      </c>
      <c r="D2509">
        <v>0</v>
      </c>
      <c r="F2509">
        <v>0.44585999999999798</v>
      </c>
      <c r="G2509">
        <v>21.1983032873807</v>
      </c>
      <c r="H2509">
        <v>0</v>
      </c>
      <c r="I2509">
        <v>0.52342549999999999</v>
      </c>
      <c r="J2509">
        <v>2013</v>
      </c>
      <c r="K2509">
        <v>10</v>
      </c>
      <c r="L2509">
        <v>23</v>
      </c>
      <c r="M2509" t="s">
        <v>89</v>
      </c>
      <c r="N2509">
        <v>0</v>
      </c>
      <c r="O2509">
        <v>0</v>
      </c>
    </row>
    <row r="2510" spans="1:15" x14ac:dyDescent="0.3">
      <c r="A2510">
        <v>2605</v>
      </c>
      <c r="B2510" s="34">
        <v>41571</v>
      </c>
      <c r="C2510">
        <v>1.3774999999999999</v>
      </c>
      <c r="D2510">
        <v>0</v>
      </c>
      <c r="F2510">
        <v>0.44585999999999798</v>
      </c>
      <c r="G2510">
        <v>21.1983032873807</v>
      </c>
      <c r="H2510">
        <v>1</v>
      </c>
      <c r="I2510">
        <v>0.52360839999999997</v>
      </c>
      <c r="J2510">
        <v>2013</v>
      </c>
      <c r="K2510">
        <v>10</v>
      </c>
      <c r="L2510">
        <v>24</v>
      </c>
      <c r="M2510" t="s">
        <v>90</v>
      </c>
      <c r="N2510">
        <v>0</v>
      </c>
      <c r="O2510">
        <v>0</v>
      </c>
    </row>
    <row r="2511" spans="1:15" x14ac:dyDescent="0.3">
      <c r="A2511">
        <v>2606</v>
      </c>
      <c r="B2511" s="34">
        <v>41572</v>
      </c>
      <c r="C2511">
        <v>1.3798900000000001</v>
      </c>
      <c r="D2511">
        <v>-2</v>
      </c>
      <c r="F2511">
        <v>0.445549999999998</v>
      </c>
      <c r="G2511">
        <v>21.253092965712199</v>
      </c>
      <c r="H2511">
        <v>0</v>
      </c>
      <c r="I2511">
        <v>0.52340750000000003</v>
      </c>
      <c r="J2511">
        <v>2013</v>
      </c>
      <c r="K2511">
        <v>10</v>
      </c>
      <c r="L2511">
        <v>25</v>
      </c>
      <c r="M2511" t="s">
        <v>91</v>
      </c>
      <c r="N2511">
        <v>0</v>
      </c>
      <c r="O2511">
        <v>0</v>
      </c>
    </row>
    <row r="2512" spans="1:15" x14ac:dyDescent="0.3">
      <c r="A2512">
        <v>2607</v>
      </c>
      <c r="B2512" s="34">
        <v>41575</v>
      </c>
      <c r="C2512">
        <v>1.3802000000000001</v>
      </c>
      <c r="D2512">
        <v>0</v>
      </c>
      <c r="F2512">
        <v>0.445549999999998</v>
      </c>
      <c r="G2512">
        <v>21.253092965712199</v>
      </c>
      <c r="H2512">
        <v>0</v>
      </c>
      <c r="I2512">
        <v>0.52320679999999997</v>
      </c>
      <c r="J2512">
        <v>2013</v>
      </c>
      <c r="K2512">
        <v>10</v>
      </c>
      <c r="L2512">
        <v>28</v>
      </c>
      <c r="M2512" t="s">
        <v>92</v>
      </c>
      <c r="N2512">
        <v>0</v>
      </c>
      <c r="O2512">
        <v>0</v>
      </c>
    </row>
    <row r="2513" spans="1:15" x14ac:dyDescent="0.3">
      <c r="A2513">
        <v>2608</v>
      </c>
      <c r="B2513" s="34">
        <v>41576</v>
      </c>
      <c r="C2513">
        <v>1.37829</v>
      </c>
      <c r="D2513">
        <v>2</v>
      </c>
      <c r="E2513" t="s">
        <v>408</v>
      </c>
      <c r="F2513">
        <v>0.44190999999999803</v>
      </c>
      <c r="G2513">
        <v>21.8964298338636</v>
      </c>
      <c r="H2513">
        <v>1</v>
      </c>
      <c r="I2513">
        <v>0.52338960000000001</v>
      </c>
      <c r="J2513">
        <v>2013</v>
      </c>
      <c r="K2513">
        <v>10</v>
      </c>
      <c r="L2513">
        <v>29</v>
      </c>
      <c r="M2513" t="s">
        <v>93</v>
      </c>
      <c r="N2513">
        <v>0</v>
      </c>
      <c r="O2513">
        <v>0</v>
      </c>
    </row>
    <row r="2514" spans="1:15" x14ac:dyDescent="0.3">
      <c r="A2514">
        <v>2609</v>
      </c>
      <c r="B2514" s="34">
        <v>41577</v>
      </c>
      <c r="C2514">
        <v>1.3746499999999999</v>
      </c>
      <c r="D2514">
        <v>0</v>
      </c>
      <c r="F2514">
        <v>0.44190999999999803</v>
      </c>
      <c r="G2514">
        <v>21.8964298338636</v>
      </c>
      <c r="H2514">
        <v>0</v>
      </c>
      <c r="I2514">
        <v>0.52318889999999996</v>
      </c>
      <c r="J2514">
        <v>2013</v>
      </c>
      <c r="K2514">
        <v>10</v>
      </c>
      <c r="L2514">
        <v>30</v>
      </c>
      <c r="M2514" t="s">
        <v>89</v>
      </c>
      <c r="N2514">
        <v>0</v>
      </c>
      <c r="O2514">
        <v>0</v>
      </c>
    </row>
    <row r="2515" spans="1:15" x14ac:dyDescent="0.3">
      <c r="A2515">
        <v>2610</v>
      </c>
      <c r="B2515" s="34">
        <v>41578</v>
      </c>
      <c r="C2515">
        <v>1.3721699999999999</v>
      </c>
      <c r="D2515">
        <v>0</v>
      </c>
      <c r="F2515">
        <v>0.44190999999999803</v>
      </c>
      <c r="G2515">
        <v>21.8964298338636</v>
      </c>
      <c r="H2515">
        <v>0</v>
      </c>
      <c r="I2515">
        <v>0.52298849999999997</v>
      </c>
      <c r="J2515">
        <v>2013</v>
      </c>
      <c r="K2515">
        <v>10</v>
      </c>
      <c r="L2515">
        <v>31</v>
      </c>
      <c r="M2515" t="s">
        <v>90</v>
      </c>
      <c r="N2515">
        <v>0</v>
      </c>
      <c r="O2515">
        <v>0</v>
      </c>
    </row>
    <row r="2516" spans="1:15" x14ac:dyDescent="0.3">
      <c r="A2516">
        <v>2611</v>
      </c>
      <c r="B2516" s="34">
        <v>41579</v>
      </c>
      <c r="C2516">
        <v>1.3588</v>
      </c>
      <c r="D2516">
        <v>0</v>
      </c>
      <c r="F2516">
        <v>0.44190999999999803</v>
      </c>
      <c r="G2516">
        <v>21.8964298338636</v>
      </c>
      <c r="H2516">
        <v>0</v>
      </c>
      <c r="I2516">
        <v>0.52278820000000004</v>
      </c>
      <c r="J2516">
        <v>2013</v>
      </c>
      <c r="K2516">
        <v>11</v>
      </c>
      <c r="L2516">
        <v>1</v>
      </c>
      <c r="M2516" t="s">
        <v>91</v>
      </c>
      <c r="N2516">
        <v>0</v>
      </c>
      <c r="O2516">
        <v>0</v>
      </c>
    </row>
    <row r="2517" spans="1:15" x14ac:dyDescent="0.3">
      <c r="A2517">
        <v>2612</v>
      </c>
      <c r="B2517" s="34">
        <v>41582</v>
      </c>
      <c r="C2517">
        <v>1.3485799999999999</v>
      </c>
      <c r="D2517">
        <v>0</v>
      </c>
      <c r="F2517">
        <v>0.44190999999999803</v>
      </c>
      <c r="G2517">
        <v>21.8964298338636</v>
      </c>
      <c r="H2517">
        <v>0</v>
      </c>
      <c r="I2517">
        <v>0.5225881</v>
      </c>
      <c r="J2517">
        <v>2013</v>
      </c>
      <c r="K2517">
        <v>11</v>
      </c>
      <c r="L2517">
        <v>4</v>
      </c>
      <c r="M2517" t="s">
        <v>92</v>
      </c>
      <c r="N2517">
        <v>0</v>
      </c>
      <c r="O2517">
        <v>0</v>
      </c>
    </row>
    <row r="2518" spans="1:15" x14ac:dyDescent="0.3">
      <c r="A2518">
        <v>2613</v>
      </c>
      <c r="B2518" s="34">
        <v>41583</v>
      </c>
      <c r="C2518">
        <v>1.35121</v>
      </c>
      <c r="D2518">
        <v>0</v>
      </c>
      <c r="F2518">
        <v>0.44190999999999803</v>
      </c>
      <c r="G2518">
        <v>21.8964298338636</v>
      </c>
      <c r="H2518">
        <v>1</v>
      </c>
      <c r="I2518">
        <v>0.52277079999999998</v>
      </c>
      <c r="J2518">
        <v>2013</v>
      </c>
      <c r="K2518">
        <v>11</v>
      </c>
      <c r="L2518">
        <v>5</v>
      </c>
      <c r="M2518" t="s">
        <v>93</v>
      </c>
      <c r="N2518">
        <v>0</v>
      </c>
      <c r="O2518">
        <v>0</v>
      </c>
    </row>
    <row r="2519" spans="1:15" x14ac:dyDescent="0.3">
      <c r="A2519">
        <v>2614</v>
      </c>
      <c r="B2519" s="34">
        <v>41584</v>
      </c>
      <c r="C2519">
        <v>1.34717</v>
      </c>
      <c r="D2519">
        <v>0</v>
      </c>
      <c r="F2519">
        <v>0.44190999999999803</v>
      </c>
      <c r="G2519">
        <v>21.8964298338636</v>
      </c>
      <c r="H2519">
        <v>0</v>
      </c>
      <c r="I2519">
        <v>0.5225708</v>
      </c>
      <c r="J2519">
        <v>2013</v>
      </c>
      <c r="K2519">
        <v>11</v>
      </c>
      <c r="L2519">
        <v>6</v>
      </c>
      <c r="M2519" t="s">
        <v>89</v>
      </c>
      <c r="N2519">
        <v>0</v>
      </c>
      <c r="O2519">
        <v>0</v>
      </c>
    </row>
    <row r="2520" spans="1:15" x14ac:dyDescent="0.3">
      <c r="A2520">
        <v>2615</v>
      </c>
      <c r="B2520" s="34">
        <v>41585</v>
      </c>
      <c r="C2520">
        <v>1.3514900000000001</v>
      </c>
      <c r="D2520">
        <v>0</v>
      </c>
      <c r="F2520">
        <v>0.44190999999999803</v>
      </c>
      <c r="G2520">
        <v>21.8964298338636</v>
      </c>
      <c r="H2520">
        <v>1</v>
      </c>
      <c r="I2520">
        <v>0.52275340000000003</v>
      </c>
      <c r="J2520">
        <v>2013</v>
      </c>
      <c r="K2520">
        <v>11</v>
      </c>
      <c r="L2520">
        <v>7</v>
      </c>
      <c r="M2520" t="s">
        <v>90</v>
      </c>
      <c r="N2520">
        <v>0</v>
      </c>
      <c r="O2520">
        <v>0</v>
      </c>
    </row>
    <row r="2521" spans="1:15" x14ac:dyDescent="0.3">
      <c r="A2521">
        <v>2616</v>
      </c>
      <c r="B2521" s="34">
        <v>41586</v>
      </c>
      <c r="C2521">
        <v>1.34131</v>
      </c>
      <c r="D2521">
        <v>0</v>
      </c>
      <c r="F2521">
        <v>0.44190999999999803</v>
      </c>
      <c r="G2521">
        <v>21.8964298338636</v>
      </c>
      <c r="H2521">
        <v>1</v>
      </c>
      <c r="I2521">
        <v>0.52293579999999995</v>
      </c>
      <c r="J2521">
        <v>2013</v>
      </c>
      <c r="K2521">
        <v>11</v>
      </c>
      <c r="L2521">
        <v>8</v>
      </c>
      <c r="M2521" t="s">
        <v>91</v>
      </c>
      <c r="N2521">
        <v>0</v>
      </c>
      <c r="O2521">
        <v>0</v>
      </c>
    </row>
    <row r="2522" spans="1:15" x14ac:dyDescent="0.3">
      <c r="A2522">
        <v>2617</v>
      </c>
      <c r="B2522" s="34">
        <v>41589</v>
      </c>
      <c r="C2522">
        <v>1.3364400000000001</v>
      </c>
      <c r="D2522">
        <v>0</v>
      </c>
      <c r="F2522">
        <v>0.44190999999999803</v>
      </c>
      <c r="G2522">
        <v>21.8964298338636</v>
      </c>
      <c r="H2522">
        <v>0</v>
      </c>
      <c r="I2522">
        <v>0.52273599999999998</v>
      </c>
      <c r="J2522">
        <v>2013</v>
      </c>
      <c r="K2522">
        <v>11</v>
      </c>
      <c r="L2522">
        <v>11</v>
      </c>
      <c r="M2522" t="s">
        <v>92</v>
      </c>
      <c r="N2522">
        <v>0</v>
      </c>
      <c r="O2522">
        <v>0</v>
      </c>
    </row>
    <row r="2523" spans="1:15" x14ac:dyDescent="0.3">
      <c r="A2523">
        <v>2618</v>
      </c>
      <c r="B2523" s="34">
        <v>41590</v>
      </c>
      <c r="C2523">
        <v>1.3406499999999999</v>
      </c>
      <c r="D2523">
        <v>0</v>
      </c>
      <c r="F2523">
        <v>0.44190999999999803</v>
      </c>
      <c r="G2523">
        <v>21.8964298338636</v>
      </c>
      <c r="H2523">
        <v>1</v>
      </c>
      <c r="I2523">
        <v>0.52291829999999995</v>
      </c>
      <c r="J2523">
        <v>2013</v>
      </c>
      <c r="K2523">
        <v>11</v>
      </c>
      <c r="L2523">
        <v>12</v>
      </c>
      <c r="M2523" t="s">
        <v>93</v>
      </c>
      <c r="N2523">
        <v>0</v>
      </c>
      <c r="O2523">
        <v>0</v>
      </c>
    </row>
    <row r="2524" spans="1:15" x14ac:dyDescent="0.3">
      <c r="A2524">
        <v>2619</v>
      </c>
      <c r="B2524" s="34">
        <v>41591</v>
      </c>
      <c r="C2524">
        <v>1.34345</v>
      </c>
      <c r="D2524">
        <v>0</v>
      </c>
      <c r="F2524">
        <v>0.44190999999999803</v>
      </c>
      <c r="G2524">
        <v>21.8964298338636</v>
      </c>
      <c r="H2524">
        <v>0</v>
      </c>
      <c r="I2524">
        <v>0.52271860000000003</v>
      </c>
      <c r="J2524">
        <v>2013</v>
      </c>
      <c r="K2524">
        <v>11</v>
      </c>
      <c r="L2524">
        <v>13</v>
      </c>
      <c r="M2524" t="s">
        <v>89</v>
      </c>
      <c r="N2524">
        <v>0</v>
      </c>
      <c r="O2524">
        <v>0</v>
      </c>
    </row>
    <row r="2525" spans="1:15" x14ac:dyDescent="0.3">
      <c r="A2525">
        <v>2620</v>
      </c>
      <c r="B2525" s="34">
        <v>41592</v>
      </c>
      <c r="C2525">
        <v>1.34816</v>
      </c>
      <c r="D2525">
        <v>0</v>
      </c>
      <c r="F2525">
        <v>0.44190999999999803</v>
      </c>
      <c r="G2525">
        <v>21.8964298338636</v>
      </c>
      <c r="H2525">
        <v>0</v>
      </c>
      <c r="I2525">
        <v>0.52251910000000001</v>
      </c>
      <c r="J2525">
        <v>2013</v>
      </c>
      <c r="K2525">
        <v>11</v>
      </c>
      <c r="L2525">
        <v>14</v>
      </c>
      <c r="M2525" t="s">
        <v>90</v>
      </c>
      <c r="N2525">
        <v>0</v>
      </c>
      <c r="O2525">
        <v>0</v>
      </c>
    </row>
    <row r="2526" spans="1:15" x14ac:dyDescent="0.3">
      <c r="A2526">
        <v>2621</v>
      </c>
      <c r="B2526" s="34">
        <v>41593</v>
      </c>
      <c r="C2526">
        <v>1.34585</v>
      </c>
      <c r="D2526">
        <v>0</v>
      </c>
      <c r="F2526">
        <v>0.44190999999999803</v>
      </c>
      <c r="G2526">
        <v>21.8964298338636</v>
      </c>
      <c r="H2526">
        <v>1</v>
      </c>
      <c r="I2526">
        <v>0.52270130000000004</v>
      </c>
      <c r="J2526">
        <v>2013</v>
      </c>
      <c r="K2526">
        <v>11</v>
      </c>
      <c r="L2526">
        <v>15</v>
      </c>
      <c r="M2526" t="s">
        <v>91</v>
      </c>
      <c r="N2526">
        <v>0</v>
      </c>
      <c r="O2526">
        <v>0</v>
      </c>
    </row>
    <row r="2527" spans="1:15" x14ac:dyDescent="0.3">
      <c r="A2527">
        <v>2622</v>
      </c>
      <c r="B2527" s="34">
        <v>41596</v>
      </c>
      <c r="C2527">
        <v>1.3494299999999999</v>
      </c>
      <c r="D2527">
        <v>0</v>
      </c>
      <c r="F2527">
        <v>0.44190999999999803</v>
      </c>
      <c r="G2527">
        <v>21.8964298338636</v>
      </c>
      <c r="H2527">
        <v>0</v>
      </c>
      <c r="I2527">
        <v>0.52250189999999996</v>
      </c>
      <c r="J2527">
        <v>2013</v>
      </c>
      <c r="K2527">
        <v>11</v>
      </c>
      <c r="L2527">
        <v>18</v>
      </c>
      <c r="M2527" t="s">
        <v>92</v>
      </c>
      <c r="N2527">
        <v>0</v>
      </c>
      <c r="O2527">
        <v>0</v>
      </c>
    </row>
    <row r="2528" spans="1:15" x14ac:dyDescent="0.3">
      <c r="A2528">
        <v>2623</v>
      </c>
      <c r="B2528" s="34">
        <v>41597</v>
      </c>
      <c r="C2528">
        <v>1.3503700000000001</v>
      </c>
      <c r="D2528">
        <v>0</v>
      </c>
      <c r="F2528">
        <v>0.44190999999999803</v>
      </c>
      <c r="G2528">
        <v>21.8964298338636</v>
      </c>
      <c r="H2528">
        <v>0</v>
      </c>
      <c r="I2528">
        <v>0.52230270000000001</v>
      </c>
      <c r="J2528">
        <v>2013</v>
      </c>
      <c r="K2528">
        <v>11</v>
      </c>
      <c r="L2528">
        <v>19</v>
      </c>
      <c r="M2528" t="s">
        <v>93</v>
      </c>
      <c r="N2528">
        <v>0</v>
      </c>
      <c r="O2528">
        <v>0</v>
      </c>
    </row>
    <row r="2529" spans="1:15" x14ac:dyDescent="0.3">
      <c r="A2529">
        <v>2624</v>
      </c>
      <c r="B2529" s="34">
        <v>41598</v>
      </c>
      <c r="C2529">
        <v>1.35354</v>
      </c>
      <c r="D2529">
        <v>0</v>
      </c>
      <c r="F2529">
        <v>0.44190999999999803</v>
      </c>
      <c r="G2529">
        <v>21.8964298338636</v>
      </c>
      <c r="H2529">
        <v>0</v>
      </c>
      <c r="I2529">
        <v>0.52210369999999995</v>
      </c>
      <c r="J2529">
        <v>2013</v>
      </c>
      <c r="K2529">
        <v>11</v>
      </c>
      <c r="L2529">
        <v>20</v>
      </c>
      <c r="M2529" t="s">
        <v>89</v>
      </c>
      <c r="N2529">
        <v>0</v>
      </c>
      <c r="O2529">
        <v>0</v>
      </c>
    </row>
    <row r="2530" spans="1:15" x14ac:dyDescent="0.3">
      <c r="A2530">
        <v>2625</v>
      </c>
      <c r="B2530" s="34">
        <v>41599</v>
      </c>
      <c r="C2530">
        <v>1.3439000000000001</v>
      </c>
      <c r="D2530">
        <v>0</v>
      </c>
      <c r="F2530">
        <v>0.44190999999999803</v>
      </c>
      <c r="G2530">
        <v>21.8964298338636</v>
      </c>
      <c r="H2530">
        <v>1</v>
      </c>
      <c r="I2530">
        <v>0.52228569999999996</v>
      </c>
      <c r="J2530">
        <v>2013</v>
      </c>
      <c r="K2530">
        <v>11</v>
      </c>
      <c r="L2530">
        <v>21</v>
      </c>
      <c r="M2530" t="s">
        <v>90</v>
      </c>
      <c r="N2530">
        <v>0</v>
      </c>
      <c r="O2530">
        <v>0</v>
      </c>
    </row>
    <row r="2531" spans="1:15" x14ac:dyDescent="0.3">
      <c r="A2531">
        <v>2626</v>
      </c>
      <c r="B2531" s="34">
        <v>41600</v>
      </c>
      <c r="C2531">
        <v>1.3475299999999999</v>
      </c>
      <c r="D2531">
        <v>0</v>
      </c>
      <c r="F2531">
        <v>0.44190999999999803</v>
      </c>
      <c r="G2531">
        <v>21.8964298338636</v>
      </c>
      <c r="H2531">
        <v>1</v>
      </c>
      <c r="I2531">
        <v>0.52246760000000003</v>
      </c>
      <c r="J2531">
        <v>2013</v>
      </c>
      <c r="K2531">
        <v>11</v>
      </c>
      <c r="L2531">
        <v>22</v>
      </c>
      <c r="M2531" t="s">
        <v>91</v>
      </c>
      <c r="N2531">
        <v>0</v>
      </c>
      <c r="O2531">
        <v>0</v>
      </c>
    </row>
    <row r="2532" spans="1:15" x14ac:dyDescent="0.3">
      <c r="A2532">
        <v>2627</v>
      </c>
      <c r="B2532" s="34">
        <v>41603</v>
      </c>
      <c r="C2532">
        <v>1.35554</v>
      </c>
      <c r="D2532">
        <v>0</v>
      </c>
      <c r="F2532">
        <v>0.44190999999999803</v>
      </c>
      <c r="G2532">
        <v>21.8964298338636</v>
      </c>
      <c r="H2532">
        <v>1</v>
      </c>
      <c r="I2532">
        <v>0.52264940000000004</v>
      </c>
      <c r="J2532">
        <v>2013</v>
      </c>
      <c r="K2532">
        <v>11</v>
      </c>
      <c r="L2532">
        <v>25</v>
      </c>
      <c r="M2532" t="s">
        <v>92</v>
      </c>
      <c r="N2532">
        <v>0</v>
      </c>
      <c r="O2532">
        <v>0</v>
      </c>
    </row>
    <row r="2533" spans="1:15" x14ac:dyDescent="0.3">
      <c r="A2533">
        <v>2628</v>
      </c>
      <c r="B2533" s="34">
        <v>41604</v>
      </c>
      <c r="C2533">
        <v>1.3522000000000001</v>
      </c>
      <c r="D2533">
        <v>0</v>
      </c>
      <c r="F2533">
        <v>0.44190999999999803</v>
      </c>
      <c r="G2533">
        <v>21.8964298338636</v>
      </c>
      <c r="H2533">
        <v>1</v>
      </c>
      <c r="I2533">
        <v>0.52283100000000005</v>
      </c>
      <c r="J2533">
        <v>2013</v>
      </c>
      <c r="K2533">
        <v>11</v>
      </c>
      <c r="L2533">
        <v>26</v>
      </c>
      <c r="M2533" t="s">
        <v>93</v>
      </c>
      <c r="N2533">
        <v>0</v>
      </c>
      <c r="O2533">
        <v>0</v>
      </c>
    </row>
    <row r="2534" spans="1:15" x14ac:dyDescent="0.3">
      <c r="A2534">
        <v>2629</v>
      </c>
      <c r="B2534" s="34">
        <v>41605</v>
      </c>
      <c r="C2534">
        <v>1.35666</v>
      </c>
      <c r="D2534">
        <v>-1</v>
      </c>
      <c r="F2534">
        <v>0.44080999999999798</v>
      </c>
      <c r="G2534">
        <v>22.0908448214917</v>
      </c>
      <c r="H2534">
        <v>0</v>
      </c>
      <c r="I2534">
        <v>0.52263219999999999</v>
      </c>
      <c r="J2534">
        <v>2013</v>
      </c>
      <c r="K2534">
        <v>11</v>
      </c>
      <c r="L2534">
        <v>27</v>
      </c>
      <c r="M2534" t="s">
        <v>89</v>
      </c>
      <c r="N2534">
        <v>0</v>
      </c>
      <c r="O2534">
        <v>0</v>
      </c>
    </row>
    <row r="2535" spans="1:15" x14ac:dyDescent="0.3">
      <c r="A2535">
        <v>2630</v>
      </c>
      <c r="B2535" s="34">
        <v>41606</v>
      </c>
      <c r="C2535">
        <v>1.3577600000000001</v>
      </c>
      <c r="D2535">
        <v>0</v>
      </c>
      <c r="F2535">
        <v>0.44080999999999798</v>
      </c>
      <c r="G2535">
        <v>22.0908448214917</v>
      </c>
      <c r="H2535">
        <v>0</v>
      </c>
      <c r="I2535">
        <v>0.5224335</v>
      </c>
      <c r="J2535">
        <v>2013</v>
      </c>
      <c r="K2535">
        <v>11</v>
      </c>
      <c r="L2535">
        <v>28</v>
      </c>
      <c r="M2535" t="s">
        <v>90</v>
      </c>
      <c r="N2535">
        <v>0</v>
      </c>
      <c r="O2535">
        <v>0</v>
      </c>
    </row>
    <row r="2536" spans="1:15" x14ac:dyDescent="0.3">
      <c r="A2536">
        <v>2631</v>
      </c>
      <c r="B2536" s="34">
        <v>41607</v>
      </c>
      <c r="C2536">
        <v>1.36025</v>
      </c>
      <c r="D2536">
        <v>0</v>
      </c>
      <c r="F2536">
        <v>0.44080999999999798</v>
      </c>
      <c r="G2536">
        <v>22.0908448214917</v>
      </c>
      <c r="H2536">
        <v>0</v>
      </c>
      <c r="I2536">
        <v>0.52223489999999995</v>
      </c>
      <c r="J2536">
        <v>2013</v>
      </c>
      <c r="K2536">
        <v>11</v>
      </c>
      <c r="L2536">
        <v>29</v>
      </c>
      <c r="M2536" t="s">
        <v>91</v>
      </c>
      <c r="N2536">
        <v>0</v>
      </c>
      <c r="O2536">
        <v>0</v>
      </c>
    </row>
    <row r="2537" spans="1:15" x14ac:dyDescent="0.3">
      <c r="A2537">
        <v>2632</v>
      </c>
      <c r="B2537" s="34">
        <v>41610</v>
      </c>
      <c r="C2537">
        <v>1.3590100000000001</v>
      </c>
      <c r="D2537">
        <v>0</v>
      </c>
      <c r="F2537">
        <v>0.44080999999999798</v>
      </c>
      <c r="G2537">
        <v>22.0908448214917</v>
      </c>
      <c r="H2537">
        <v>1</v>
      </c>
      <c r="I2537">
        <v>0.5224164</v>
      </c>
      <c r="J2537">
        <v>2013</v>
      </c>
      <c r="K2537">
        <v>12</v>
      </c>
      <c r="L2537">
        <v>2</v>
      </c>
      <c r="M2537" t="s">
        <v>92</v>
      </c>
      <c r="N2537">
        <v>0</v>
      </c>
      <c r="O2537">
        <v>0</v>
      </c>
    </row>
    <row r="2538" spans="1:15" x14ac:dyDescent="0.3">
      <c r="A2538">
        <v>2633</v>
      </c>
      <c r="B2538" s="34">
        <v>41611</v>
      </c>
      <c r="C2538">
        <v>1.35385</v>
      </c>
      <c r="D2538">
        <v>0</v>
      </c>
      <c r="F2538">
        <v>0.44080999999999798</v>
      </c>
      <c r="G2538">
        <v>22.0908448214917</v>
      </c>
      <c r="H2538">
        <v>1</v>
      </c>
      <c r="I2538">
        <v>0.5225978</v>
      </c>
      <c r="J2538">
        <v>2013</v>
      </c>
      <c r="K2538">
        <v>12</v>
      </c>
      <c r="L2538">
        <v>3</v>
      </c>
      <c r="M2538" t="s">
        <v>93</v>
      </c>
      <c r="N2538">
        <v>0</v>
      </c>
      <c r="O2538">
        <v>0</v>
      </c>
    </row>
    <row r="2539" spans="1:15" x14ac:dyDescent="0.3">
      <c r="A2539">
        <v>2634</v>
      </c>
      <c r="B2539" s="34">
        <v>41612</v>
      </c>
      <c r="C2539">
        <v>1.3588499999999999</v>
      </c>
      <c r="D2539">
        <v>0</v>
      </c>
      <c r="F2539">
        <v>0.44080999999999798</v>
      </c>
      <c r="G2539">
        <v>22.0908448214917</v>
      </c>
      <c r="H2539">
        <v>0</v>
      </c>
      <c r="I2539">
        <v>0.52239939999999996</v>
      </c>
      <c r="J2539">
        <v>2013</v>
      </c>
      <c r="K2539">
        <v>12</v>
      </c>
      <c r="L2539">
        <v>4</v>
      </c>
      <c r="M2539" t="s">
        <v>89</v>
      </c>
      <c r="N2539">
        <v>0</v>
      </c>
      <c r="O2539">
        <v>0</v>
      </c>
    </row>
    <row r="2540" spans="1:15" x14ac:dyDescent="0.3">
      <c r="A2540">
        <v>2635</v>
      </c>
      <c r="B2540" s="34">
        <v>41613</v>
      </c>
      <c r="C2540">
        <v>1.3589800000000001</v>
      </c>
      <c r="D2540">
        <v>0</v>
      </c>
      <c r="F2540">
        <v>0.44080999999999798</v>
      </c>
      <c r="G2540">
        <v>22.0908448214917</v>
      </c>
      <c r="H2540">
        <v>0</v>
      </c>
      <c r="I2540">
        <v>0.52220109999999997</v>
      </c>
      <c r="J2540">
        <v>2013</v>
      </c>
      <c r="K2540">
        <v>12</v>
      </c>
      <c r="L2540">
        <v>5</v>
      </c>
      <c r="M2540" t="s">
        <v>90</v>
      </c>
      <c r="N2540">
        <v>0</v>
      </c>
      <c r="O2540">
        <v>0</v>
      </c>
    </row>
    <row r="2541" spans="1:15" x14ac:dyDescent="0.3">
      <c r="A2541">
        <v>2636</v>
      </c>
      <c r="B2541" s="34">
        <v>41614</v>
      </c>
      <c r="C2541">
        <v>1.3672200000000001</v>
      </c>
      <c r="D2541">
        <v>0</v>
      </c>
      <c r="F2541">
        <v>0.44080999999999798</v>
      </c>
      <c r="G2541">
        <v>22.0908448214917</v>
      </c>
      <c r="H2541">
        <v>0</v>
      </c>
      <c r="I2541">
        <v>0.52200310000000005</v>
      </c>
      <c r="J2541">
        <v>2013</v>
      </c>
      <c r="K2541">
        <v>12</v>
      </c>
      <c r="L2541">
        <v>6</v>
      </c>
      <c r="M2541" t="s">
        <v>91</v>
      </c>
      <c r="N2541">
        <v>0</v>
      </c>
      <c r="O2541">
        <v>0</v>
      </c>
    </row>
    <row r="2542" spans="1:15" x14ac:dyDescent="0.3">
      <c r="A2542">
        <v>2637</v>
      </c>
      <c r="B2542" s="34">
        <v>41617</v>
      </c>
      <c r="C2542">
        <v>1.3704499999999999</v>
      </c>
      <c r="D2542">
        <v>0</v>
      </c>
      <c r="F2542">
        <v>0.44080999999999798</v>
      </c>
      <c r="G2542">
        <v>22.0908448214917</v>
      </c>
      <c r="H2542">
        <v>0</v>
      </c>
      <c r="I2542">
        <v>0.52180510000000002</v>
      </c>
      <c r="J2542">
        <v>2013</v>
      </c>
      <c r="K2542">
        <v>12</v>
      </c>
      <c r="L2542">
        <v>9</v>
      </c>
      <c r="M2542" t="s">
        <v>92</v>
      </c>
      <c r="N2542">
        <v>0</v>
      </c>
      <c r="O2542">
        <v>0</v>
      </c>
    </row>
    <row r="2543" spans="1:15" x14ac:dyDescent="0.3">
      <c r="A2543">
        <v>2638</v>
      </c>
      <c r="B2543" s="34">
        <v>41618</v>
      </c>
      <c r="C2543">
        <v>1.37351</v>
      </c>
      <c r="D2543">
        <v>0</v>
      </c>
      <c r="F2543">
        <v>0.44080999999999798</v>
      </c>
      <c r="G2543">
        <v>22.0908448214917</v>
      </c>
      <c r="H2543">
        <v>0</v>
      </c>
      <c r="I2543">
        <v>0.5216073</v>
      </c>
      <c r="J2543">
        <v>2013</v>
      </c>
      <c r="K2543">
        <v>12</v>
      </c>
      <c r="L2543">
        <v>10</v>
      </c>
      <c r="M2543" t="s">
        <v>93</v>
      </c>
      <c r="N2543">
        <v>0</v>
      </c>
      <c r="O2543">
        <v>0</v>
      </c>
    </row>
    <row r="2544" spans="1:15" x14ac:dyDescent="0.3">
      <c r="A2544">
        <v>2639</v>
      </c>
      <c r="B2544" s="34">
        <v>41619</v>
      </c>
      <c r="C2544">
        <v>1.3758900000000001</v>
      </c>
      <c r="D2544">
        <v>0</v>
      </c>
      <c r="F2544">
        <v>0.44080999999999798</v>
      </c>
      <c r="G2544">
        <v>22.0908448214917</v>
      </c>
      <c r="H2544">
        <v>0</v>
      </c>
      <c r="I2544">
        <v>0.52140960000000003</v>
      </c>
      <c r="J2544">
        <v>2013</v>
      </c>
      <c r="K2544">
        <v>12</v>
      </c>
      <c r="L2544">
        <v>11</v>
      </c>
      <c r="M2544" t="s">
        <v>89</v>
      </c>
      <c r="N2544">
        <v>0</v>
      </c>
      <c r="O2544">
        <v>0</v>
      </c>
    </row>
    <row r="2545" spans="1:15" x14ac:dyDescent="0.3">
      <c r="A2545">
        <v>2640</v>
      </c>
      <c r="B2545" s="34">
        <v>41620</v>
      </c>
      <c r="C2545">
        <v>1.3786099999999999</v>
      </c>
      <c r="D2545">
        <v>0</v>
      </c>
      <c r="F2545">
        <v>0.44080999999999798</v>
      </c>
      <c r="G2545">
        <v>22.0908448214917</v>
      </c>
      <c r="H2545">
        <v>1</v>
      </c>
      <c r="I2545">
        <v>0.52159089999999997</v>
      </c>
      <c r="J2545">
        <v>2013</v>
      </c>
      <c r="K2545">
        <v>12</v>
      </c>
      <c r="L2545">
        <v>12</v>
      </c>
      <c r="M2545" t="s">
        <v>90</v>
      </c>
      <c r="N2545">
        <v>0</v>
      </c>
      <c r="O2545">
        <v>0</v>
      </c>
    </row>
    <row r="2546" spans="1:15" x14ac:dyDescent="0.3">
      <c r="A2546">
        <v>2641</v>
      </c>
      <c r="B2546" s="34">
        <v>41621</v>
      </c>
      <c r="C2546">
        <v>1.3750100000000001</v>
      </c>
      <c r="D2546">
        <v>0</v>
      </c>
      <c r="F2546">
        <v>0.44080999999999798</v>
      </c>
      <c r="G2546">
        <v>22.0908448214917</v>
      </c>
      <c r="H2546">
        <v>1</v>
      </c>
      <c r="I2546">
        <v>0.52177200000000001</v>
      </c>
      <c r="J2546">
        <v>2013</v>
      </c>
      <c r="K2546">
        <v>12</v>
      </c>
      <c r="L2546">
        <v>13</v>
      </c>
      <c r="M2546" t="s">
        <v>91</v>
      </c>
      <c r="N2546">
        <v>0</v>
      </c>
      <c r="O2546">
        <v>0</v>
      </c>
    </row>
    <row r="2547" spans="1:15" x14ac:dyDescent="0.3">
      <c r="A2547">
        <v>2642</v>
      </c>
      <c r="B2547" s="34">
        <v>41624</v>
      </c>
      <c r="C2547">
        <v>1.3737600000000001</v>
      </c>
      <c r="D2547">
        <v>0</v>
      </c>
      <c r="F2547">
        <v>0.44080999999999798</v>
      </c>
      <c r="G2547">
        <v>22.0908448214917</v>
      </c>
      <c r="H2547">
        <v>0</v>
      </c>
      <c r="I2547">
        <v>0.5215746</v>
      </c>
      <c r="J2547">
        <v>2013</v>
      </c>
      <c r="K2547">
        <v>12</v>
      </c>
      <c r="L2547">
        <v>16</v>
      </c>
      <c r="M2547" t="s">
        <v>92</v>
      </c>
      <c r="N2547">
        <v>0</v>
      </c>
      <c r="O2547">
        <v>0</v>
      </c>
    </row>
    <row r="2548" spans="1:15" x14ac:dyDescent="0.3">
      <c r="A2548">
        <v>2643</v>
      </c>
      <c r="B2548" s="34">
        <v>41625</v>
      </c>
      <c r="C2548">
        <v>1.37582</v>
      </c>
      <c r="D2548">
        <v>0</v>
      </c>
      <c r="F2548">
        <v>0.44080999999999798</v>
      </c>
      <c r="G2548">
        <v>22.0908448214917</v>
      </c>
      <c r="H2548">
        <v>1</v>
      </c>
      <c r="I2548">
        <v>0.52175559999999999</v>
      </c>
      <c r="J2548">
        <v>2013</v>
      </c>
      <c r="K2548">
        <v>12</v>
      </c>
      <c r="L2548">
        <v>17</v>
      </c>
      <c r="M2548" t="s">
        <v>93</v>
      </c>
      <c r="N2548">
        <v>0</v>
      </c>
      <c r="O2548">
        <v>0</v>
      </c>
    </row>
    <row r="2549" spans="1:15" x14ac:dyDescent="0.3">
      <c r="A2549">
        <v>2644</v>
      </c>
      <c r="B2549" s="34">
        <v>41626</v>
      </c>
      <c r="C2549">
        <v>1.3771100000000001</v>
      </c>
      <c r="D2549">
        <v>0</v>
      </c>
      <c r="F2549">
        <v>0.44080999999999798</v>
      </c>
      <c r="G2549">
        <v>22.0908448214917</v>
      </c>
      <c r="H2549">
        <v>0</v>
      </c>
      <c r="I2549">
        <v>0.52155819999999997</v>
      </c>
      <c r="J2549">
        <v>2013</v>
      </c>
      <c r="K2549">
        <v>12</v>
      </c>
      <c r="L2549">
        <v>18</v>
      </c>
      <c r="M2549" t="s">
        <v>89</v>
      </c>
      <c r="N2549">
        <v>0</v>
      </c>
      <c r="O2549">
        <v>0</v>
      </c>
    </row>
    <row r="2550" spans="1:15" x14ac:dyDescent="0.3">
      <c r="A2550">
        <v>2645</v>
      </c>
      <c r="B2550" s="34">
        <v>41627</v>
      </c>
      <c r="C2550">
        <v>1.3674999999999999</v>
      </c>
      <c r="D2550">
        <v>0</v>
      </c>
      <c r="F2550">
        <v>0.44080999999999798</v>
      </c>
      <c r="G2550">
        <v>22.0908448214917</v>
      </c>
      <c r="H2550">
        <v>1</v>
      </c>
      <c r="I2550">
        <v>0.52173910000000001</v>
      </c>
      <c r="J2550">
        <v>2013</v>
      </c>
      <c r="K2550">
        <v>12</v>
      </c>
      <c r="L2550">
        <v>19</v>
      </c>
      <c r="M2550" t="s">
        <v>90</v>
      </c>
      <c r="N2550">
        <v>0</v>
      </c>
      <c r="O2550">
        <v>0</v>
      </c>
    </row>
    <row r="2551" spans="1:15" x14ac:dyDescent="0.3">
      <c r="A2551">
        <v>2646</v>
      </c>
      <c r="B2551" s="34">
        <v>41628</v>
      </c>
      <c r="C2551">
        <v>1.3654900000000001</v>
      </c>
      <c r="D2551">
        <v>1</v>
      </c>
      <c r="E2551" t="s">
        <v>409</v>
      </c>
      <c r="F2551">
        <v>0.44231999999999799</v>
      </c>
      <c r="G2551">
        <v>21.823966065747602</v>
      </c>
      <c r="H2551">
        <v>0</v>
      </c>
      <c r="I2551">
        <v>0.52154199999999995</v>
      </c>
      <c r="J2551">
        <v>2013</v>
      </c>
      <c r="K2551">
        <v>12</v>
      </c>
      <c r="L2551">
        <v>20</v>
      </c>
      <c r="M2551" t="s">
        <v>91</v>
      </c>
      <c r="N2551">
        <v>0</v>
      </c>
      <c r="O2551">
        <v>0</v>
      </c>
    </row>
    <row r="2552" spans="1:15" x14ac:dyDescent="0.3">
      <c r="A2552">
        <v>2647</v>
      </c>
      <c r="B2552" s="34">
        <v>41631</v>
      </c>
      <c r="C2552">
        <v>1.367</v>
      </c>
      <c r="D2552">
        <v>0</v>
      </c>
      <c r="F2552">
        <v>0.44231999999999799</v>
      </c>
      <c r="G2552">
        <v>21.823966065747602</v>
      </c>
      <c r="H2552">
        <v>1</v>
      </c>
      <c r="I2552">
        <v>0.52172269999999998</v>
      </c>
      <c r="J2552">
        <v>2013</v>
      </c>
      <c r="K2552">
        <v>12</v>
      </c>
      <c r="L2552">
        <v>23</v>
      </c>
      <c r="M2552" t="s">
        <v>92</v>
      </c>
      <c r="N2552">
        <v>0</v>
      </c>
      <c r="O2552">
        <v>0</v>
      </c>
    </row>
    <row r="2553" spans="1:15" x14ac:dyDescent="0.3">
      <c r="A2553">
        <v>2648</v>
      </c>
      <c r="B2553" s="34">
        <v>41632</v>
      </c>
      <c r="C2553">
        <v>1.36957</v>
      </c>
      <c r="D2553">
        <v>-9</v>
      </c>
      <c r="F2553">
        <v>0.44394999999999801</v>
      </c>
      <c r="G2553">
        <v>21.535878402262298</v>
      </c>
      <c r="H2553">
        <v>0</v>
      </c>
      <c r="I2553">
        <v>0.52152569999999998</v>
      </c>
      <c r="J2553">
        <v>2013</v>
      </c>
      <c r="K2553">
        <v>12</v>
      </c>
      <c r="L2553">
        <v>24</v>
      </c>
      <c r="M2553" t="s">
        <v>93</v>
      </c>
      <c r="N2553">
        <v>0</v>
      </c>
      <c r="O2553">
        <v>0</v>
      </c>
    </row>
    <row r="2554" spans="1:15" x14ac:dyDescent="0.3">
      <c r="A2554">
        <v>2649</v>
      </c>
      <c r="B2554" s="34">
        <v>41634</v>
      </c>
      <c r="C2554">
        <v>1.3679399999999999</v>
      </c>
      <c r="D2554">
        <v>0</v>
      </c>
      <c r="F2554">
        <v>0.44394999999999801</v>
      </c>
      <c r="G2554">
        <v>21.535878402262298</v>
      </c>
      <c r="H2554">
        <v>1</v>
      </c>
      <c r="I2554">
        <v>0.52170629999999996</v>
      </c>
      <c r="J2554">
        <v>2013</v>
      </c>
      <c r="K2554">
        <v>12</v>
      </c>
      <c r="L2554">
        <v>26</v>
      </c>
      <c r="M2554" t="s">
        <v>90</v>
      </c>
      <c r="N2554">
        <v>0</v>
      </c>
      <c r="O2554">
        <v>0</v>
      </c>
    </row>
    <row r="2555" spans="1:15" x14ac:dyDescent="0.3">
      <c r="A2555">
        <v>2650</v>
      </c>
      <c r="B2555" s="34">
        <v>41635</v>
      </c>
      <c r="C2555">
        <v>1.3688899999999999</v>
      </c>
      <c r="D2555">
        <v>0</v>
      </c>
      <c r="F2555">
        <v>0.44394999999999801</v>
      </c>
      <c r="G2555">
        <v>21.535878402262298</v>
      </c>
      <c r="H2555">
        <v>1</v>
      </c>
      <c r="I2555">
        <v>0.52188679999999998</v>
      </c>
      <c r="J2555">
        <v>2013</v>
      </c>
      <c r="K2555">
        <v>12</v>
      </c>
      <c r="L2555">
        <v>27</v>
      </c>
      <c r="M2555" t="s">
        <v>91</v>
      </c>
      <c r="N2555">
        <v>0</v>
      </c>
      <c r="O2555">
        <v>0</v>
      </c>
    </row>
    <row r="2556" spans="1:15" x14ac:dyDescent="0.3">
      <c r="A2556">
        <v>2651</v>
      </c>
      <c r="B2556" s="34">
        <v>41638</v>
      </c>
      <c r="C2556">
        <v>1.37462</v>
      </c>
      <c r="D2556">
        <v>0</v>
      </c>
      <c r="F2556">
        <v>0.44394999999999801</v>
      </c>
      <c r="G2556">
        <v>21.535878402262298</v>
      </c>
      <c r="H2556">
        <v>0</v>
      </c>
      <c r="I2556">
        <v>0.52168999999999999</v>
      </c>
      <c r="J2556">
        <v>2013</v>
      </c>
      <c r="K2556">
        <v>12</v>
      </c>
      <c r="L2556">
        <v>30</v>
      </c>
      <c r="M2556" t="s">
        <v>92</v>
      </c>
      <c r="N2556">
        <v>0</v>
      </c>
      <c r="O2556">
        <v>0</v>
      </c>
    </row>
    <row r="2557" spans="1:15" x14ac:dyDescent="0.3">
      <c r="A2557">
        <v>2652</v>
      </c>
      <c r="B2557" s="34">
        <v>41639</v>
      </c>
      <c r="C2557">
        <v>1.37937</v>
      </c>
      <c r="D2557">
        <v>0</v>
      </c>
      <c r="F2557">
        <v>0.44394999999999801</v>
      </c>
      <c r="G2557">
        <v>21.535878402262298</v>
      </c>
      <c r="H2557">
        <v>0</v>
      </c>
      <c r="I2557">
        <v>0.52149319999999999</v>
      </c>
      <c r="J2557">
        <v>2013</v>
      </c>
      <c r="K2557">
        <v>12</v>
      </c>
      <c r="L2557">
        <v>31</v>
      </c>
      <c r="M2557" t="s">
        <v>93</v>
      </c>
      <c r="N2557">
        <v>0</v>
      </c>
      <c r="O2557">
        <v>0</v>
      </c>
    </row>
    <row r="2558" spans="1:15" x14ac:dyDescent="0.3">
      <c r="A2558">
        <v>2653</v>
      </c>
      <c r="B2558" s="34">
        <v>41640</v>
      </c>
      <c r="C2558">
        <v>1.37686</v>
      </c>
      <c r="D2558">
        <v>0</v>
      </c>
      <c r="F2558">
        <v>0.44394999999999801</v>
      </c>
      <c r="G2558">
        <v>21.535878402262298</v>
      </c>
      <c r="H2558">
        <v>1</v>
      </c>
      <c r="I2558">
        <v>0.52167359999999996</v>
      </c>
      <c r="J2558">
        <v>2014</v>
      </c>
      <c r="K2558">
        <v>1</v>
      </c>
      <c r="L2558">
        <v>1</v>
      </c>
      <c r="M2558" t="s">
        <v>89</v>
      </c>
      <c r="N2558">
        <v>0</v>
      </c>
      <c r="O2558">
        <v>0</v>
      </c>
    </row>
    <row r="2559" spans="1:15" x14ac:dyDescent="0.3">
      <c r="A2559">
        <v>2654</v>
      </c>
      <c r="B2559" s="34">
        <v>41641</v>
      </c>
      <c r="C2559">
        <v>1.3757999999999999</v>
      </c>
      <c r="D2559">
        <v>0</v>
      </c>
      <c r="F2559">
        <v>0.44394999999999801</v>
      </c>
      <c r="G2559">
        <v>21.535878402262298</v>
      </c>
      <c r="H2559">
        <v>1</v>
      </c>
      <c r="I2559">
        <v>0.52185380000000003</v>
      </c>
      <c r="J2559">
        <v>2014</v>
      </c>
      <c r="K2559">
        <v>1</v>
      </c>
      <c r="L2559">
        <v>2</v>
      </c>
      <c r="M2559" t="s">
        <v>90</v>
      </c>
      <c r="N2559">
        <v>0</v>
      </c>
      <c r="O2559">
        <v>0</v>
      </c>
    </row>
    <row r="2560" spans="1:15" x14ac:dyDescent="0.3">
      <c r="A2560">
        <v>2655</v>
      </c>
      <c r="B2560" s="34">
        <v>41642</v>
      </c>
      <c r="C2560">
        <v>1.36643</v>
      </c>
      <c r="D2560">
        <v>1</v>
      </c>
      <c r="E2560" t="s">
        <v>410</v>
      </c>
      <c r="F2560">
        <v>0.43625999999999798</v>
      </c>
      <c r="G2560">
        <v>22.895015906680801</v>
      </c>
      <c r="H2560">
        <v>1</v>
      </c>
      <c r="I2560">
        <v>0.52203390000000005</v>
      </c>
      <c r="J2560">
        <v>2014</v>
      </c>
      <c r="K2560">
        <v>1</v>
      </c>
      <c r="L2560">
        <v>3</v>
      </c>
      <c r="M2560" t="s">
        <v>91</v>
      </c>
      <c r="N2560">
        <v>0</v>
      </c>
      <c r="O2560">
        <v>0</v>
      </c>
    </row>
    <row r="2561" spans="1:15" x14ac:dyDescent="0.3">
      <c r="A2561">
        <v>2656</v>
      </c>
      <c r="B2561" s="34">
        <v>41645</v>
      </c>
      <c r="C2561">
        <v>1.3587400000000001</v>
      </c>
      <c r="D2561">
        <v>0</v>
      </c>
      <c r="F2561">
        <v>0.43625999999999798</v>
      </c>
      <c r="G2561">
        <v>22.895015906680801</v>
      </c>
      <c r="H2561">
        <v>0</v>
      </c>
      <c r="I2561">
        <v>0.52183740000000001</v>
      </c>
      <c r="J2561">
        <v>2014</v>
      </c>
      <c r="K2561">
        <v>1</v>
      </c>
      <c r="L2561">
        <v>6</v>
      </c>
      <c r="M2561" t="s">
        <v>92</v>
      </c>
      <c r="N2561">
        <v>0</v>
      </c>
      <c r="O2561">
        <v>0</v>
      </c>
    </row>
    <row r="2562" spans="1:15" x14ac:dyDescent="0.3">
      <c r="A2562">
        <v>2657</v>
      </c>
      <c r="B2562" s="34">
        <v>41646</v>
      </c>
      <c r="C2562">
        <v>1.36334</v>
      </c>
      <c r="D2562">
        <v>0</v>
      </c>
      <c r="F2562">
        <v>0.43625999999999798</v>
      </c>
      <c r="G2562">
        <v>22.895015906680801</v>
      </c>
      <c r="H2562">
        <v>1</v>
      </c>
      <c r="I2562">
        <v>0.52201730000000002</v>
      </c>
      <c r="J2562">
        <v>2014</v>
      </c>
      <c r="K2562">
        <v>1</v>
      </c>
      <c r="L2562">
        <v>7</v>
      </c>
      <c r="M2562" t="s">
        <v>93</v>
      </c>
      <c r="N2562">
        <v>0</v>
      </c>
      <c r="O2562">
        <v>0</v>
      </c>
    </row>
    <row r="2563" spans="1:15" x14ac:dyDescent="0.3">
      <c r="A2563">
        <v>2658</v>
      </c>
      <c r="B2563" s="34">
        <v>41647</v>
      </c>
      <c r="C2563">
        <v>1.36138</v>
      </c>
      <c r="D2563">
        <v>0</v>
      </c>
      <c r="F2563">
        <v>0.43625999999999798</v>
      </c>
      <c r="G2563">
        <v>22.895015906680801</v>
      </c>
      <c r="H2563">
        <v>1</v>
      </c>
      <c r="I2563">
        <v>0.52219709999999997</v>
      </c>
      <c r="J2563">
        <v>2014</v>
      </c>
      <c r="K2563">
        <v>1</v>
      </c>
      <c r="L2563">
        <v>8</v>
      </c>
      <c r="M2563" t="s">
        <v>89</v>
      </c>
      <c r="N2563">
        <v>0</v>
      </c>
      <c r="O2563">
        <v>0</v>
      </c>
    </row>
    <row r="2564" spans="1:15" x14ac:dyDescent="0.3">
      <c r="A2564">
        <v>2659</v>
      </c>
      <c r="B2564" s="34">
        <v>41648</v>
      </c>
      <c r="C2564">
        <v>1.3574900000000001</v>
      </c>
      <c r="D2564">
        <v>0</v>
      </c>
      <c r="F2564">
        <v>0.43625999999999798</v>
      </c>
      <c r="G2564">
        <v>22.895015906680801</v>
      </c>
      <c r="H2564">
        <v>0</v>
      </c>
      <c r="I2564">
        <v>0.52200069999999998</v>
      </c>
      <c r="J2564">
        <v>2014</v>
      </c>
      <c r="K2564">
        <v>1</v>
      </c>
      <c r="L2564">
        <v>9</v>
      </c>
      <c r="M2564" t="s">
        <v>90</v>
      </c>
      <c r="N2564">
        <v>0</v>
      </c>
      <c r="O2564">
        <v>0</v>
      </c>
    </row>
    <row r="2565" spans="1:15" x14ac:dyDescent="0.3">
      <c r="A2565">
        <v>2660</v>
      </c>
      <c r="B2565" s="34">
        <v>41649</v>
      </c>
      <c r="C2565">
        <v>1.3601700000000001</v>
      </c>
      <c r="D2565">
        <v>0</v>
      </c>
      <c r="F2565">
        <v>0.43625999999999798</v>
      </c>
      <c r="G2565">
        <v>22.895015906680801</v>
      </c>
      <c r="H2565">
        <v>1</v>
      </c>
      <c r="I2565">
        <v>0.52218039999999999</v>
      </c>
      <c r="J2565">
        <v>2014</v>
      </c>
      <c r="K2565">
        <v>1</v>
      </c>
      <c r="L2565">
        <v>10</v>
      </c>
      <c r="M2565" t="s">
        <v>91</v>
      </c>
      <c r="N2565">
        <v>0</v>
      </c>
      <c r="O2565">
        <v>0</v>
      </c>
    </row>
    <row r="2566" spans="1:15" x14ac:dyDescent="0.3">
      <c r="A2566">
        <v>2661</v>
      </c>
      <c r="B2566" s="34">
        <v>41652</v>
      </c>
      <c r="C2566">
        <v>1.3666499999999999</v>
      </c>
      <c r="D2566">
        <v>0</v>
      </c>
      <c r="F2566">
        <v>0.43625999999999798</v>
      </c>
      <c r="G2566">
        <v>22.895015906680801</v>
      </c>
      <c r="H2566">
        <v>1</v>
      </c>
      <c r="I2566">
        <v>0.52236000000000005</v>
      </c>
      <c r="J2566">
        <v>2014</v>
      </c>
      <c r="K2566">
        <v>1</v>
      </c>
      <c r="L2566">
        <v>13</v>
      </c>
      <c r="M2566" t="s">
        <v>92</v>
      </c>
      <c r="N2566">
        <v>0</v>
      </c>
      <c r="O2566">
        <v>0</v>
      </c>
    </row>
    <row r="2567" spans="1:15" x14ac:dyDescent="0.3">
      <c r="A2567">
        <v>2662</v>
      </c>
      <c r="B2567" s="34">
        <v>41653</v>
      </c>
      <c r="C2567">
        <v>1.3668</v>
      </c>
      <c r="D2567">
        <v>0</v>
      </c>
      <c r="F2567">
        <v>0.43625999999999798</v>
      </c>
      <c r="G2567">
        <v>22.895015906680801</v>
      </c>
      <c r="H2567">
        <v>0</v>
      </c>
      <c r="I2567">
        <v>0.52216379999999996</v>
      </c>
      <c r="J2567">
        <v>2014</v>
      </c>
      <c r="K2567">
        <v>1</v>
      </c>
      <c r="L2567">
        <v>14</v>
      </c>
      <c r="M2567" t="s">
        <v>93</v>
      </c>
      <c r="N2567">
        <v>0</v>
      </c>
      <c r="O2567">
        <v>0</v>
      </c>
    </row>
    <row r="2568" spans="1:15" x14ac:dyDescent="0.3">
      <c r="A2568">
        <v>2663</v>
      </c>
      <c r="B2568" s="34">
        <v>41654</v>
      </c>
      <c r="C2568">
        <v>1.3672200000000001</v>
      </c>
      <c r="D2568">
        <v>4</v>
      </c>
      <c r="E2568" t="s">
        <v>411</v>
      </c>
      <c r="F2568">
        <v>0.42945999999999701</v>
      </c>
      <c r="G2568">
        <v>24.096854012018401</v>
      </c>
      <c r="H2568">
        <v>0</v>
      </c>
      <c r="I2568">
        <v>0.52196770000000003</v>
      </c>
      <c r="J2568">
        <v>2014</v>
      </c>
      <c r="K2568">
        <v>1</v>
      </c>
      <c r="L2568">
        <v>15</v>
      </c>
      <c r="M2568" t="s">
        <v>89</v>
      </c>
      <c r="N2568">
        <v>0</v>
      </c>
      <c r="O2568">
        <v>0</v>
      </c>
    </row>
    <row r="2569" spans="1:15" x14ac:dyDescent="0.3">
      <c r="A2569">
        <v>2664</v>
      </c>
      <c r="B2569" s="34">
        <v>41655</v>
      </c>
      <c r="C2569">
        <v>1.36042</v>
      </c>
      <c r="D2569">
        <v>0</v>
      </c>
      <c r="F2569">
        <v>0.42945999999999701</v>
      </c>
      <c r="G2569">
        <v>24.096854012018401</v>
      </c>
      <c r="H2569">
        <v>1</v>
      </c>
      <c r="I2569">
        <v>0.52214709999999998</v>
      </c>
      <c r="J2569">
        <v>2014</v>
      </c>
      <c r="K2569">
        <v>1</v>
      </c>
      <c r="L2569">
        <v>16</v>
      </c>
      <c r="M2569" t="s">
        <v>90</v>
      </c>
      <c r="N2569">
        <v>0</v>
      </c>
      <c r="O2569">
        <v>0</v>
      </c>
    </row>
    <row r="2570" spans="1:15" x14ac:dyDescent="0.3">
      <c r="A2570">
        <v>2665</v>
      </c>
      <c r="B2570" s="34">
        <v>41656</v>
      </c>
      <c r="C2570">
        <v>1.3616200000000001</v>
      </c>
      <c r="D2570">
        <v>0</v>
      </c>
      <c r="F2570">
        <v>0.42945999999999701</v>
      </c>
      <c r="G2570">
        <v>24.096854012018401</v>
      </c>
      <c r="H2570">
        <v>1</v>
      </c>
      <c r="I2570">
        <v>0.52232650000000003</v>
      </c>
      <c r="J2570">
        <v>2014</v>
      </c>
      <c r="K2570">
        <v>1</v>
      </c>
      <c r="L2570">
        <v>17</v>
      </c>
      <c r="M2570" t="s">
        <v>91</v>
      </c>
      <c r="N2570">
        <v>0</v>
      </c>
      <c r="O2570">
        <v>0</v>
      </c>
    </row>
    <row r="2571" spans="1:15" x14ac:dyDescent="0.3">
      <c r="A2571">
        <v>2666</v>
      </c>
      <c r="B2571" s="34">
        <v>41659</v>
      </c>
      <c r="C2571">
        <v>1.35405</v>
      </c>
      <c r="D2571">
        <v>0</v>
      </c>
      <c r="F2571">
        <v>0.42945999999999701</v>
      </c>
      <c r="G2571">
        <v>24.096854012018401</v>
      </c>
      <c r="H2571">
        <v>0</v>
      </c>
      <c r="I2571">
        <v>0.52213050000000005</v>
      </c>
      <c r="J2571">
        <v>2014</v>
      </c>
      <c r="K2571">
        <v>1</v>
      </c>
      <c r="L2571">
        <v>20</v>
      </c>
      <c r="M2571" t="s">
        <v>92</v>
      </c>
      <c r="N2571">
        <v>0</v>
      </c>
      <c r="O2571">
        <v>0</v>
      </c>
    </row>
    <row r="2572" spans="1:15" x14ac:dyDescent="0.3">
      <c r="A2572">
        <v>2667</v>
      </c>
      <c r="B2572" s="34">
        <v>41660</v>
      </c>
      <c r="C2572">
        <v>1.3555699999999999</v>
      </c>
      <c r="D2572">
        <v>0</v>
      </c>
      <c r="F2572">
        <v>0.42945999999999701</v>
      </c>
      <c r="G2572">
        <v>24.096854012018401</v>
      </c>
      <c r="H2572">
        <v>1</v>
      </c>
      <c r="I2572">
        <v>0.52230969999999999</v>
      </c>
      <c r="J2572">
        <v>2014</v>
      </c>
      <c r="K2572">
        <v>1</v>
      </c>
      <c r="L2572">
        <v>21</v>
      </c>
      <c r="M2572" t="s">
        <v>93</v>
      </c>
      <c r="N2572">
        <v>0</v>
      </c>
      <c r="O2572">
        <v>0</v>
      </c>
    </row>
    <row r="2573" spans="1:15" x14ac:dyDescent="0.3">
      <c r="A2573">
        <v>2668</v>
      </c>
      <c r="B2573" s="34">
        <v>41661</v>
      </c>
      <c r="C2573">
        <v>1.3559099999999999</v>
      </c>
      <c r="D2573">
        <v>0</v>
      </c>
      <c r="F2573">
        <v>0.42945999999999701</v>
      </c>
      <c r="G2573">
        <v>24.096854012018401</v>
      </c>
      <c r="H2573">
        <v>1</v>
      </c>
      <c r="I2573">
        <v>0.52248879999999998</v>
      </c>
      <c r="J2573">
        <v>2014</v>
      </c>
      <c r="K2573">
        <v>1</v>
      </c>
      <c r="L2573">
        <v>22</v>
      </c>
      <c r="M2573" t="s">
        <v>89</v>
      </c>
      <c r="N2573">
        <v>0</v>
      </c>
      <c r="O2573">
        <v>0</v>
      </c>
    </row>
    <row r="2574" spans="1:15" x14ac:dyDescent="0.3">
      <c r="A2574">
        <v>2669</v>
      </c>
      <c r="B2574" s="34">
        <v>41662</v>
      </c>
      <c r="C2574">
        <v>1.3544700000000001</v>
      </c>
      <c r="D2574">
        <v>0</v>
      </c>
      <c r="F2574">
        <v>0.42945999999999701</v>
      </c>
      <c r="G2574">
        <v>24.096854012018401</v>
      </c>
      <c r="H2574">
        <v>0</v>
      </c>
      <c r="I2574">
        <v>0.52229300000000001</v>
      </c>
      <c r="J2574">
        <v>2014</v>
      </c>
      <c r="K2574">
        <v>1</v>
      </c>
      <c r="L2574">
        <v>23</v>
      </c>
      <c r="M2574" t="s">
        <v>90</v>
      </c>
      <c r="N2574">
        <v>0</v>
      </c>
      <c r="O2574">
        <v>0</v>
      </c>
    </row>
    <row r="2575" spans="1:15" x14ac:dyDescent="0.3">
      <c r="A2575">
        <v>2670</v>
      </c>
      <c r="B2575" s="34">
        <v>41663</v>
      </c>
      <c r="C2575">
        <v>1.36931</v>
      </c>
      <c r="D2575">
        <v>0</v>
      </c>
      <c r="F2575">
        <v>0.42945999999999701</v>
      </c>
      <c r="G2575">
        <v>24.096854012018401</v>
      </c>
      <c r="H2575">
        <v>1</v>
      </c>
      <c r="I2575">
        <v>0.52247189999999999</v>
      </c>
      <c r="J2575">
        <v>2014</v>
      </c>
      <c r="K2575">
        <v>1</v>
      </c>
      <c r="L2575">
        <v>24</v>
      </c>
      <c r="M2575" t="s">
        <v>91</v>
      </c>
      <c r="N2575">
        <v>0</v>
      </c>
      <c r="O2575">
        <v>0</v>
      </c>
    </row>
    <row r="2576" spans="1:15" x14ac:dyDescent="0.3">
      <c r="A2576">
        <v>2671</v>
      </c>
      <c r="B2576" s="34">
        <v>41666</v>
      </c>
      <c r="C2576">
        <v>1.3675200000000001</v>
      </c>
      <c r="D2576">
        <v>0</v>
      </c>
      <c r="F2576">
        <v>0.42945999999999701</v>
      </c>
      <c r="G2576">
        <v>24.096854012018401</v>
      </c>
      <c r="H2576">
        <v>1</v>
      </c>
      <c r="I2576">
        <v>0.52265070000000002</v>
      </c>
      <c r="J2576">
        <v>2014</v>
      </c>
      <c r="K2576">
        <v>1</v>
      </c>
      <c r="L2576">
        <v>27</v>
      </c>
      <c r="M2576" t="s">
        <v>92</v>
      </c>
      <c r="N2576">
        <v>0</v>
      </c>
      <c r="O2576">
        <v>0</v>
      </c>
    </row>
    <row r="2577" spans="1:15" x14ac:dyDescent="0.3">
      <c r="A2577">
        <v>2672</v>
      </c>
      <c r="B2577" s="34">
        <v>41667</v>
      </c>
      <c r="C2577">
        <v>1.3672800000000001</v>
      </c>
      <c r="D2577">
        <v>0</v>
      </c>
      <c r="F2577">
        <v>0.42945999999999701</v>
      </c>
      <c r="G2577">
        <v>24.096854012018401</v>
      </c>
      <c r="H2577">
        <v>1</v>
      </c>
      <c r="I2577">
        <v>0.5228294</v>
      </c>
      <c r="J2577">
        <v>2014</v>
      </c>
      <c r="K2577">
        <v>1</v>
      </c>
      <c r="L2577">
        <v>28</v>
      </c>
      <c r="M2577" t="s">
        <v>93</v>
      </c>
      <c r="N2577">
        <v>0</v>
      </c>
      <c r="O2577">
        <v>0</v>
      </c>
    </row>
    <row r="2578" spans="1:15" x14ac:dyDescent="0.3">
      <c r="A2578">
        <v>2673</v>
      </c>
      <c r="B2578" s="34">
        <v>41668</v>
      </c>
      <c r="C2578">
        <v>1.36517</v>
      </c>
      <c r="D2578">
        <v>0</v>
      </c>
      <c r="F2578">
        <v>0.42945999999999701</v>
      </c>
      <c r="G2578">
        <v>24.096854012018401</v>
      </c>
      <c r="H2578">
        <v>1</v>
      </c>
      <c r="I2578">
        <v>0.52300789999999997</v>
      </c>
      <c r="J2578">
        <v>2014</v>
      </c>
      <c r="K2578">
        <v>1</v>
      </c>
      <c r="L2578">
        <v>29</v>
      </c>
      <c r="M2578" t="s">
        <v>89</v>
      </c>
      <c r="N2578">
        <v>0</v>
      </c>
      <c r="O2578">
        <v>0</v>
      </c>
    </row>
    <row r="2579" spans="1:15" x14ac:dyDescent="0.3">
      <c r="A2579">
        <v>2674</v>
      </c>
      <c r="B2579" s="34">
        <v>41669</v>
      </c>
      <c r="C2579">
        <v>1.36608</v>
      </c>
      <c r="D2579">
        <v>0</v>
      </c>
      <c r="F2579">
        <v>0.42945999999999701</v>
      </c>
      <c r="G2579">
        <v>24.096854012018401</v>
      </c>
      <c r="H2579">
        <v>0</v>
      </c>
      <c r="I2579">
        <v>0.52281219999999995</v>
      </c>
      <c r="J2579">
        <v>2014</v>
      </c>
      <c r="K2579">
        <v>1</v>
      </c>
      <c r="L2579">
        <v>30</v>
      </c>
      <c r="M2579" t="s">
        <v>90</v>
      </c>
      <c r="N2579">
        <v>0</v>
      </c>
      <c r="O2579">
        <v>0</v>
      </c>
    </row>
    <row r="2580" spans="1:15" x14ac:dyDescent="0.3">
      <c r="A2580">
        <v>2675</v>
      </c>
      <c r="B2580" s="34">
        <v>41670</v>
      </c>
      <c r="C2580">
        <v>1.35565</v>
      </c>
      <c r="D2580">
        <v>0</v>
      </c>
      <c r="F2580">
        <v>0.42945999999999701</v>
      </c>
      <c r="G2580">
        <v>24.096854012018401</v>
      </c>
      <c r="H2580">
        <v>1</v>
      </c>
      <c r="I2580">
        <v>0.52299059999999997</v>
      </c>
      <c r="J2580">
        <v>2014</v>
      </c>
      <c r="K2580">
        <v>1</v>
      </c>
      <c r="L2580">
        <v>31</v>
      </c>
      <c r="M2580" t="s">
        <v>91</v>
      </c>
      <c r="N2580">
        <v>0</v>
      </c>
      <c r="O2580">
        <v>0</v>
      </c>
    </row>
    <row r="2581" spans="1:15" x14ac:dyDescent="0.3">
      <c r="A2581">
        <v>2676</v>
      </c>
      <c r="B2581" s="34">
        <v>41673</v>
      </c>
      <c r="C2581">
        <v>1.34849</v>
      </c>
      <c r="D2581">
        <v>0</v>
      </c>
      <c r="F2581">
        <v>0.42945999999999701</v>
      </c>
      <c r="G2581">
        <v>24.096854012018401</v>
      </c>
      <c r="H2581">
        <v>0</v>
      </c>
      <c r="I2581">
        <v>0.52279520000000002</v>
      </c>
      <c r="J2581">
        <v>2014</v>
      </c>
      <c r="K2581">
        <v>2</v>
      </c>
      <c r="L2581">
        <v>3</v>
      </c>
      <c r="M2581" t="s">
        <v>92</v>
      </c>
      <c r="N2581">
        <v>0</v>
      </c>
      <c r="O2581">
        <v>0</v>
      </c>
    </row>
    <row r="2582" spans="1:15" x14ac:dyDescent="0.3">
      <c r="A2582">
        <v>2677</v>
      </c>
      <c r="B2582" s="34">
        <v>41674</v>
      </c>
      <c r="C2582">
        <v>1.3525799999999999</v>
      </c>
      <c r="D2582">
        <v>0</v>
      </c>
      <c r="F2582">
        <v>0.42945999999999701</v>
      </c>
      <c r="G2582">
        <v>24.096854012018401</v>
      </c>
      <c r="H2582">
        <v>1</v>
      </c>
      <c r="I2582">
        <v>0.52297349999999998</v>
      </c>
      <c r="J2582">
        <v>2014</v>
      </c>
      <c r="K2582">
        <v>2</v>
      </c>
      <c r="L2582">
        <v>4</v>
      </c>
      <c r="M2582" t="s">
        <v>93</v>
      </c>
      <c r="N2582">
        <v>0</v>
      </c>
      <c r="O2582">
        <v>0</v>
      </c>
    </row>
    <row r="2583" spans="1:15" x14ac:dyDescent="0.3">
      <c r="A2583">
        <v>2678</v>
      </c>
      <c r="B2583" s="34">
        <v>41675</v>
      </c>
      <c r="C2583">
        <v>1.3514299999999999</v>
      </c>
      <c r="D2583">
        <v>0</v>
      </c>
      <c r="F2583">
        <v>0.42945999999999701</v>
      </c>
      <c r="G2583">
        <v>24.096854012018401</v>
      </c>
      <c r="H2583">
        <v>1</v>
      </c>
      <c r="I2583">
        <v>0.52315160000000005</v>
      </c>
      <c r="J2583">
        <v>2014</v>
      </c>
      <c r="K2583">
        <v>2</v>
      </c>
      <c r="L2583">
        <v>5</v>
      </c>
      <c r="M2583" t="s">
        <v>89</v>
      </c>
      <c r="N2583">
        <v>0</v>
      </c>
      <c r="O2583">
        <v>0</v>
      </c>
    </row>
    <row r="2584" spans="1:15" x14ac:dyDescent="0.3">
      <c r="A2584">
        <v>2679</v>
      </c>
      <c r="B2584" s="34">
        <v>41676</v>
      </c>
      <c r="C2584">
        <v>1.35361</v>
      </c>
      <c r="D2584">
        <v>0</v>
      </c>
      <c r="F2584">
        <v>0.42945999999999701</v>
      </c>
      <c r="G2584">
        <v>24.096854012018401</v>
      </c>
      <c r="H2584">
        <v>1</v>
      </c>
      <c r="I2584">
        <v>0.52332959999999995</v>
      </c>
      <c r="J2584">
        <v>2014</v>
      </c>
      <c r="K2584">
        <v>2</v>
      </c>
      <c r="L2584">
        <v>6</v>
      </c>
      <c r="M2584" t="s">
        <v>90</v>
      </c>
      <c r="N2584">
        <v>0</v>
      </c>
      <c r="O2584">
        <v>0</v>
      </c>
    </row>
    <row r="2585" spans="1:15" x14ac:dyDescent="0.3">
      <c r="A2585">
        <v>2680</v>
      </c>
      <c r="B2585" s="34">
        <v>41677</v>
      </c>
      <c r="C2585">
        <v>1.3589800000000001</v>
      </c>
      <c r="D2585">
        <v>0</v>
      </c>
      <c r="F2585">
        <v>0.42945999999999701</v>
      </c>
      <c r="G2585">
        <v>24.096854012018401</v>
      </c>
      <c r="H2585">
        <v>0</v>
      </c>
      <c r="I2585">
        <v>0.5231344</v>
      </c>
      <c r="J2585">
        <v>2014</v>
      </c>
      <c r="K2585">
        <v>2</v>
      </c>
      <c r="L2585">
        <v>7</v>
      </c>
      <c r="M2585" t="s">
        <v>91</v>
      </c>
      <c r="N2585">
        <v>0</v>
      </c>
      <c r="O2585">
        <v>0</v>
      </c>
    </row>
    <row r="2586" spans="1:15" x14ac:dyDescent="0.3">
      <c r="A2586">
        <v>2681</v>
      </c>
      <c r="B2586" s="34">
        <v>41680</v>
      </c>
      <c r="C2586">
        <v>1.3634200000000001</v>
      </c>
      <c r="D2586">
        <v>0</v>
      </c>
      <c r="F2586">
        <v>0.42945999999999701</v>
      </c>
      <c r="G2586">
        <v>24.096854012018401</v>
      </c>
      <c r="H2586">
        <v>0</v>
      </c>
      <c r="I2586">
        <v>0.52293920000000005</v>
      </c>
      <c r="J2586">
        <v>2014</v>
      </c>
      <c r="K2586">
        <v>2</v>
      </c>
      <c r="L2586">
        <v>10</v>
      </c>
      <c r="M2586" t="s">
        <v>92</v>
      </c>
      <c r="N2586">
        <v>0</v>
      </c>
      <c r="O2586">
        <v>0</v>
      </c>
    </row>
    <row r="2587" spans="1:15" x14ac:dyDescent="0.3">
      <c r="A2587">
        <v>2682</v>
      </c>
      <c r="B2587" s="34">
        <v>41681</v>
      </c>
      <c r="C2587">
        <v>1.36442</v>
      </c>
      <c r="D2587">
        <v>0</v>
      </c>
      <c r="F2587">
        <v>0.42945999999999701</v>
      </c>
      <c r="G2587">
        <v>24.096854012018401</v>
      </c>
      <c r="H2587">
        <v>0</v>
      </c>
      <c r="I2587">
        <v>0.52274419999999999</v>
      </c>
      <c r="J2587">
        <v>2014</v>
      </c>
      <c r="K2587">
        <v>2</v>
      </c>
      <c r="L2587">
        <v>11</v>
      </c>
      <c r="M2587" t="s">
        <v>93</v>
      </c>
      <c r="N2587">
        <v>0</v>
      </c>
      <c r="O2587">
        <v>0</v>
      </c>
    </row>
    <row r="2588" spans="1:15" x14ac:dyDescent="0.3">
      <c r="A2588">
        <v>2683</v>
      </c>
      <c r="B2588" s="34">
        <v>41682</v>
      </c>
      <c r="C2588">
        <v>1.36372</v>
      </c>
      <c r="D2588">
        <v>0</v>
      </c>
      <c r="F2588">
        <v>0.42945999999999701</v>
      </c>
      <c r="G2588">
        <v>24.096854012018401</v>
      </c>
      <c r="H2588">
        <v>1</v>
      </c>
      <c r="I2588">
        <v>0.52292209999999995</v>
      </c>
      <c r="J2588">
        <v>2014</v>
      </c>
      <c r="K2588">
        <v>2</v>
      </c>
      <c r="L2588">
        <v>12</v>
      </c>
      <c r="M2588" t="s">
        <v>89</v>
      </c>
      <c r="N2588">
        <v>0</v>
      </c>
      <c r="O2588">
        <v>0</v>
      </c>
    </row>
    <row r="2589" spans="1:15" x14ac:dyDescent="0.3">
      <c r="A2589">
        <v>2684</v>
      </c>
      <c r="B2589" s="34">
        <v>41683</v>
      </c>
      <c r="C2589">
        <v>1.35948</v>
      </c>
      <c r="D2589">
        <v>0</v>
      </c>
      <c r="F2589">
        <v>0.42945999999999701</v>
      </c>
      <c r="G2589">
        <v>24.096854012018401</v>
      </c>
      <c r="H2589">
        <v>1</v>
      </c>
      <c r="I2589">
        <v>0.5230998</v>
      </c>
      <c r="J2589">
        <v>2014</v>
      </c>
      <c r="K2589">
        <v>2</v>
      </c>
      <c r="L2589">
        <v>13</v>
      </c>
      <c r="M2589" t="s">
        <v>90</v>
      </c>
      <c r="N2589">
        <v>0</v>
      </c>
      <c r="O2589">
        <v>0</v>
      </c>
    </row>
    <row r="2590" spans="1:15" x14ac:dyDescent="0.3">
      <c r="A2590">
        <v>2685</v>
      </c>
      <c r="B2590" s="34">
        <v>41684</v>
      </c>
      <c r="C2590">
        <v>1.3678699999999999</v>
      </c>
      <c r="D2590">
        <v>0</v>
      </c>
      <c r="F2590">
        <v>0.42945999999999701</v>
      </c>
      <c r="G2590">
        <v>24.096854012018401</v>
      </c>
      <c r="H2590">
        <v>1</v>
      </c>
      <c r="I2590">
        <v>0.52327749999999995</v>
      </c>
      <c r="J2590">
        <v>2014</v>
      </c>
      <c r="K2590">
        <v>2</v>
      </c>
      <c r="L2590">
        <v>14</v>
      </c>
      <c r="M2590" t="s">
        <v>91</v>
      </c>
      <c r="N2590">
        <v>0</v>
      </c>
      <c r="O2590">
        <v>0</v>
      </c>
    </row>
    <row r="2591" spans="1:15" x14ac:dyDescent="0.3">
      <c r="A2591">
        <v>2686</v>
      </c>
      <c r="B2591" s="34">
        <v>41687</v>
      </c>
      <c r="C2591">
        <v>1.3691800000000001</v>
      </c>
      <c r="D2591">
        <v>0</v>
      </c>
      <c r="F2591">
        <v>0.42945999999999701</v>
      </c>
      <c r="G2591">
        <v>24.096854012018401</v>
      </c>
      <c r="H2591">
        <v>0</v>
      </c>
      <c r="I2591">
        <v>0.52308270000000001</v>
      </c>
      <c r="J2591">
        <v>2014</v>
      </c>
      <c r="K2591">
        <v>2</v>
      </c>
      <c r="L2591">
        <v>17</v>
      </c>
      <c r="M2591" t="s">
        <v>92</v>
      </c>
      <c r="N2591">
        <v>0</v>
      </c>
      <c r="O2591">
        <v>0</v>
      </c>
    </row>
    <row r="2592" spans="1:15" x14ac:dyDescent="0.3">
      <c r="A2592">
        <v>2687</v>
      </c>
      <c r="B2592" s="34">
        <v>41688</v>
      </c>
      <c r="C2592">
        <v>1.3704700000000001</v>
      </c>
      <c r="D2592">
        <v>0</v>
      </c>
      <c r="F2592">
        <v>0.42945999999999701</v>
      </c>
      <c r="G2592">
        <v>24.096854012018401</v>
      </c>
      <c r="H2592">
        <v>0</v>
      </c>
      <c r="I2592">
        <v>0.52288800000000002</v>
      </c>
      <c r="J2592">
        <v>2014</v>
      </c>
      <c r="K2592">
        <v>2</v>
      </c>
      <c r="L2592">
        <v>18</v>
      </c>
      <c r="M2592" t="s">
        <v>93</v>
      </c>
      <c r="N2592">
        <v>0</v>
      </c>
      <c r="O2592">
        <v>0</v>
      </c>
    </row>
    <row r="2593" spans="1:15" x14ac:dyDescent="0.3">
      <c r="A2593">
        <v>2688</v>
      </c>
      <c r="B2593" s="34">
        <v>41689</v>
      </c>
      <c r="C2593">
        <v>1.3760399999999999</v>
      </c>
      <c r="D2593">
        <v>0</v>
      </c>
      <c r="F2593">
        <v>0.42945999999999701</v>
      </c>
      <c r="G2593">
        <v>24.096854012018401</v>
      </c>
      <c r="H2593">
        <v>0</v>
      </c>
      <c r="I2593">
        <v>0.52269350000000003</v>
      </c>
      <c r="J2593">
        <v>2014</v>
      </c>
      <c r="K2593">
        <v>2</v>
      </c>
      <c r="L2593">
        <v>19</v>
      </c>
      <c r="M2593" t="s">
        <v>89</v>
      </c>
      <c r="N2593">
        <v>0</v>
      </c>
      <c r="O2593">
        <v>0</v>
      </c>
    </row>
    <row r="2594" spans="1:15" x14ac:dyDescent="0.3">
      <c r="A2594">
        <v>2689</v>
      </c>
      <c r="B2594" s="34">
        <v>41690</v>
      </c>
      <c r="C2594">
        <v>1.37321</v>
      </c>
      <c r="D2594">
        <v>0</v>
      </c>
      <c r="F2594">
        <v>0.42945999999999701</v>
      </c>
      <c r="G2594">
        <v>24.096854012018401</v>
      </c>
      <c r="H2594">
        <v>1</v>
      </c>
      <c r="I2594">
        <v>0.52287099999999997</v>
      </c>
      <c r="J2594">
        <v>2014</v>
      </c>
      <c r="K2594">
        <v>2</v>
      </c>
      <c r="L2594">
        <v>20</v>
      </c>
      <c r="M2594" t="s">
        <v>90</v>
      </c>
      <c r="N2594">
        <v>0</v>
      </c>
      <c r="O2594">
        <v>0</v>
      </c>
    </row>
    <row r="2595" spans="1:15" x14ac:dyDescent="0.3">
      <c r="A2595">
        <v>2690</v>
      </c>
      <c r="B2595" s="34">
        <v>41691</v>
      </c>
      <c r="C2595">
        <v>1.37202</v>
      </c>
      <c r="D2595">
        <v>0</v>
      </c>
      <c r="F2595">
        <v>0.42945999999999701</v>
      </c>
      <c r="G2595">
        <v>24.096854012018401</v>
      </c>
      <c r="H2595">
        <v>1</v>
      </c>
      <c r="I2595">
        <v>0.52304830000000002</v>
      </c>
      <c r="J2595">
        <v>2014</v>
      </c>
      <c r="K2595">
        <v>2</v>
      </c>
      <c r="L2595">
        <v>21</v>
      </c>
      <c r="M2595" t="s">
        <v>91</v>
      </c>
      <c r="N2595">
        <v>0</v>
      </c>
      <c r="O2595">
        <v>0</v>
      </c>
    </row>
    <row r="2596" spans="1:15" x14ac:dyDescent="0.3">
      <c r="A2596">
        <v>2691</v>
      </c>
      <c r="B2596" s="34">
        <v>41694</v>
      </c>
      <c r="C2596">
        <v>1.3737999999999999</v>
      </c>
      <c r="D2596">
        <v>0</v>
      </c>
      <c r="F2596">
        <v>0.42945999999999701</v>
      </c>
      <c r="G2596">
        <v>24.096854012018401</v>
      </c>
      <c r="H2596">
        <v>1</v>
      </c>
      <c r="I2596">
        <v>0.52322550000000001</v>
      </c>
      <c r="J2596">
        <v>2014</v>
      </c>
      <c r="K2596">
        <v>2</v>
      </c>
      <c r="L2596">
        <v>24</v>
      </c>
      <c r="M2596" t="s">
        <v>92</v>
      </c>
      <c r="N2596">
        <v>0</v>
      </c>
      <c r="O2596">
        <v>0</v>
      </c>
    </row>
    <row r="2597" spans="1:15" x14ac:dyDescent="0.3">
      <c r="A2597">
        <v>2692</v>
      </c>
      <c r="B2597" s="34">
        <v>41695</v>
      </c>
      <c r="C2597">
        <v>1.3733599999999999</v>
      </c>
      <c r="D2597">
        <v>2</v>
      </c>
      <c r="E2597" t="s">
        <v>412</v>
      </c>
      <c r="F2597">
        <v>0.43056999999999801</v>
      </c>
      <c r="G2597">
        <v>23.900671615411799</v>
      </c>
      <c r="H2597">
        <v>1</v>
      </c>
      <c r="I2597">
        <v>0.5234027</v>
      </c>
      <c r="J2597">
        <v>2014</v>
      </c>
      <c r="K2597">
        <v>2</v>
      </c>
      <c r="L2597">
        <v>25</v>
      </c>
      <c r="M2597" t="s">
        <v>93</v>
      </c>
      <c r="N2597">
        <v>0</v>
      </c>
      <c r="O2597">
        <v>0</v>
      </c>
    </row>
    <row r="2598" spans="1:15" x14ac:dyDescent="0.3">
      <c r="A2598">
        <v>2693</v>
      </c>
      <c r="B2598" s="34">
        <v>41696</v>
      </c>
      <c r="C2598">
        <v>1.3744700000000001</v>
      </c>
      <c r="D2598">
        <v>0</v>
      </c>
      <c r="F2598">
        <v>0.43056999999999801</v>
      </c>
      <c r="G2598">
        <v>23.900671615411799</v>
      </c>
      <c r="H2598">
        <v>0</v>
      </c>
      <c r="I2598">
        <v>0.52320829999999996</v>
      </c>
      <c r="J2598">
        <v>2014</v>
      </c>
      <c r="K2598">
        <v>2</v>
      </c>
      <c r="L2598">
        <v>26</v>
      </c>
      <c r="M2598" t="s">
        <v>89</v>
      </c>
      <c r="N2598">
        <v>0</v>
      </c>
      <c r="O2598">
        <v>0</v>
      </c>
    </row>
    <row r="2599" spans="1:15" x14ac:dyDescent="0.3">
      <c r="A2599">
        <v>2694</v>
      </c>
      <c r="B2599" s="34">
        <v>41697</v>
      </c>
      <c r="C2599">
        <v>1.3683099999999999</v>
      </c>
      <c r="D2599">
        <v>0</v>
      </c>
      <c r="F2599">
        <v>0.43056999999999801</v>
      </c>
      <c r="G2599">
        <v>23.900671615411799</v>
      </c>
      <c r="H2599">
        <v>1</v>
      </c>
      <c r="I2599">
        <v>0.52338530000000005</v>
      </c>
      <c r="J2599">
        <v>2014</v>
      </c>
      <c r="K2599">
        <v>2</v>
      </c>
      <c r="L2599">
        <v>27</v>
      </c>
      <c r="M2599" t="s">
        <v>90</v>
      </c>
      <c r="N2599">
        <v>0</v>
      </c>
      <c r="O2599">
        <v>0</v>
      </c>
    </row>
    <row r="2600" spans="1:15" x14ac:dyDescent="0.3">
      <c r="A2600">
        <v>2695</v>
      </c>
      <c r="B2600" s="34">
        <v>41698</v>
      </c>
      <c r="C2600">
        <v>1.3708</v>
      </c>
      <c r="D2600">
        <v>0</v>
      </c>
      <c r="F2600">
        <v>0.43056999999999801</v>
      </c>
      <c r="G2600">
        <v>23.900671615411799</v>
      </c>
      <c r="H2600">
        <v>1</v>
      </c>
      <c r="I2600">
        <v>0.52356210000000003</v>
      </c>
      <c r="J2600">
        <v>2014</v>
      </c>
      <c r="K2600">
        <v>2</v>
      </c>
      <c r="L2600">
        <v>28</v>
      </c>
      <c r="M2600" t="s">
        <v>91</v>
      </c>
      <c r="N2600">
        <v>0</v>
      </c>
      <c r="O2600">
        <v>0</v>
      </c>
    </row>
    <row r="2601" spans="1:15" x14ac:dyDescent="0.3">
      <c r="A2601">
        <v>2696</v>
      </c>
      <c r="B2601" s="34">
        <v>41701</v>
      </c>
      <c r="C2601">
        <v>1.3801600000000001</v>
      </c>
      <c r="D2601">
        <v>-3</v>
      </c>
      <c r="F2601">
        <v>0.43711999999999801</v>
      </c>
      <c r="G2601">
        <v>22.743018734535202</v>
      </c>
      <c r="H2601">
        <v>1</v>
      </c>
      <c r="I2601">
        <v>0.52373890000000001</v>
      </c>
      <c r="J2601">
        <v>2014</v>
      </c>
      <c r="K2601">
        <v>3</v>
      </c>
      <c r="L2601">
        <v>3</v>
      </c>
      <c r="M2601" t="s">
        <v>92</v>
      </c>
      <c r="N2601">
        <v>0</v>
      </c>
      <c r="O2601">
        <v>0</v>
      </c>
    </row>
    <row r="2602" spans="1:15" x14ac:dyDescent="0.3">
      <c r="A2602">
        <v>2697</v>
      </c>
      <c r="B2602" s="34">
        <v>41702</v>
      </c>
      <c r="C2602">
        <v>1.37361</v>
      </c>
      <c r="D2602">
        <v>0</v>
      </c>
      <c r="F2602">
        <v>0.43711999999999801</v>
      </c>
      <c r="G2602">
        <v>22.743018734535202</v>
      </c>
      <c r="H2602">
        <v>1</v>
      </c>
      <c r="I2602">
        <v>0.52391549999999998</v>
      </c>
      <c r="J2602">
        <v>2014</v>
      </c>
      <c r="K2602">
        <v>3</v>
      </c>
      <c r="L2602">
        <v>4</v>
      </c>
      <c r="M2602" t="s">
        <v>93</v>
      </c>
      <c r="N2602">
        <v>0</v>
      </c>
      <c r="O2602">
        <v>0</v>
      </c>
    </row>
    <row r="2603" spans="1:15" x14ac:dyDescent="0.3">
      <c r="A2603">
        <v>2698</v>
      </c>
      <c r="B2603" s="34">
        <v>41703</v>
      </c>
      <c r="C2603">
        <v>1.37395</v>
      </c>
      <c r="D2603">
        <v>0</v>
      </c>
      <c r="F2603">
        <v>0.43711999999999801</v>
      </c>
      <c r="G2603">
        <v>22.743018734535202</v>
      </c>
      <c r="H2603">
        <v>0</v>
      </c>
      <c r="I2603">
        <v>0.52372129999999995</v>
      </c>
      <c r="J2603">
        <v>2014</v>
      </c>
      <c r="K2603">
        <v>3</v>
      </c>
      <c r="L2603">
        <v>5</v>
      </c>
      <c r="M2603" t="s">
        <v>89</v>
      </c>
      <c r="N2603">
        <v>0</v>
      </c>
      <c r="O2603">
        <v>0</v>
      </c>
    </row>
    <row r="2604" spans="1:15" x14ac:dyDescent="0.3">
      <c r="A2604">
        <v>2699</v>
      </c>
      <c r="B2604" s="34">
        <v>41704</v>
      </c>
      <c r="C2604">
        <v>1.37361</v>
      </c>
      <c r="D2604">
        <v>0</v>
      </c>
      <c r="F2604">
        <v>0.43711999999999801</v>
      </c>
      <c r="G2604">
        <v>22.743018734535202</v>
      </c>
      <c r="H2604">
        <v>1</v>
      </c>
      <c r="I2604">
        <v>0.52389779999999997</v>
      </c>
      <c r="J2604">
        <v>2014</v>
      </c>
      <c r="K2604">
        <v>3</v>
      </c>
      <c r="L2604">
        <v>6</v>
      </c>
      <c r="M2604" t="s">
        <v>90</v>
      </c>
      <c r="N2604">
        <v>0</v>
      </c>
      <c r="O2604">
        <v>0</v>
      </c>
    </row>
    <row r="2605" spans="1:15" x14ac:dyDescent="0.3">
      <c r="A2605">
        <v>2700</v>
      </c>
      <c r="B2605" s="34">
        <v>41705</v>
      </c>
      <c r="C2605">
        <v>1.3859600000000001</v>
      </c>
      <c r="D2605">
        <v>0</v>
      </c>
      <c r="F2605">
        <v>0.43711999999999801</v>
      </c>
      <c r="G2605">
        <v>22.743018734535202</v>
      </c>
      <c r="H2605">
        <v>0</v>
      </c>
      <c r="I2605">
        <v>0.52370369999999999</v>
      </c>
      <c r="J2605">
        <v>2014</v>
      </c>
      <c r="K2605">
        <v>3</v>
      </c>
      <c r="L2605">
        <v>7</v>
      </c>
      <c r="M2605" t="s">
        <v>91</v>
      </c>
      <c r="N2605">
        <v>0</v>
      </c>
      <c r="O2605">
        <v>0</v>
      </c>
    </row>
    <row r="2606" spans="1:15" x14ac:dyDescent="0.3">
      <c r="A2606">
        <v>2701</v>
      </c>
      <c r="B2606" s="34">
        <v>41708</v>
      </c>
      <c r="C2606">
        <v>1.3874599999999999</v>
      </c>
      <c r="D2606">
        <v>0</v>
      </c>
      <c r="F2606">
        <v>0.43711999999999801</v>
      </c>
      <c r="G2606">
        <v>22.743018734535202</v>
      </c>
      <c r="H2606">
        <v>0</v>
      </c>
      <c r="I2606">
        <v>0.52350980000000003</v>
      </c>
      <c r="J2606">
        <v>2014</v>
      </c>
      <c r="K2606">
        <v>3</v>
      </c>
      <c r="L2606">
        <v>10</v>
      </c>
      <c r="M2606" t="s">
        <v>92</v>
      </c>
      <c r="N2606">
        <v>0</v>
      </c>
      <c r="O2606">
        <v>0</v>
      </c>
    </row>
    <row r="2607" spans="1:15" x14ac:dyDescent="0.3">
      <c r="A2607">
        <v>2702</v>
      </c>
      <c r="B2607" s="34">
        <v>41709</v>
      </c>
      <c r="C2607">
        <v>1.3876900000000001</v>
      </c>
      <c r="D2607">
        <v>0</v>
      </c>
      <c r="F2607">
        <v>0.43711999999999801</v>
      </c>
      <c r="G2607">
        <v>22.743018734535202</v>
      </c>
      <c r="H2607">
        <v>0</v>
      </c>
      <c r="I2607">
        <v>0.52331609999999995</v>
      </c>
      <c r="J2607">
        <v>2014</v>
      </c>
      <c r="K2607">
        <v>3</v>
      </c>
      <c r="L2607">
        <v>11</v>
      </c>
      <c r="M2607" t="s">
        <v>93</v>
      </c>
      <c r="N2607">
        <v>0</v>
      </c>
      <c r="O2607">
        <v>0</v>
      </c>
    </row>
    <row r="2608" spans="1:15" x14ac:dyDescent="0.3">
      <c r="A2608">
        <v>2703</v>
      </c>
      <c r="B2608" s="34">
        <v>41710</v>
      </c>
      <c r="C2608">
        <v>1.3854500000000001</v>
      </c>
      <c r="D2608">
        <v>0</v>
      </c>
      <c r="F2608">
        <v>0.43711999999999801</v>
      </c>
      <c r="G2608">
        <v>22.743018734535202</v>
      </c>
      <c r="H2608">
        <v>1</v>
      </c>
      <c r="I2608">
        <v>0.52349239999999997</v>
      </c>
      <c r="J2608">
        <v>2014</v>
      </c>
      <c r="K2608">
        <v>3</v>
      </c>
      <c r="L2608">
        <v>12</v>
      </c>
      <c r="M2608" t="s">
        <v>89</v>
      </c>
      <c r="N2608">
        <v>0</v>
      </c>
      <c r="O2608">
        <v>0</v>
      </c>
    </row>
    <row r="2609" spans="1:15" x14ac:dyDescent="0.3">
      <c r="A2609">
        <v>2704</v>
      </c>
      <c r="B2609" s="34">
        <v>41711</v>
      </c>
      <c r="C2609">
        <v>1.39018</v>
      </c>
      <c r="D2609">
        <v>0</v>
      </c>
      <c r="F2609">
        <v>0.43711999999999801</v>
      </c>
      <c r="G2609">
        <v>22.743018734535202</v>
      </c>
      <c r="H2609">
        <v>1</v>
      </c>
      <c r="I2609">
        <v>0.52366860000000004</v>
      </c>
      <c r="J2609">
        <v>2014</v>
      </c>
      <c r="K2609">
        <v>3</v>
      </c>
      <c r="L2609">
        <v>13</v>
      </c>
      <c r="M2609" t="s">
        <v>90</v>
      </c>
      <c r="N2609">
        <v>0</v>
      </c>
      <c r="O2609">
        <v>0</v>
      </c>
    </row>
    <row r="2610" spans="1:15" x14ac:dyDescent="0.3">
      <c r="A2610">
        <v>2705</v>
      </c>
      <c r="B2610" s="34">
        <v>41712</v>
      </c>
      <c r="C2610">
        <v>1.38676</v>
      </c>
      <c r="D2610">
        <v>0</v>
      </c>
      <c r="F2610">
        <v>0.43711999999999801</v>
      </c>
      <c r="G2610">
        <v>22.743018734535202</v>
      </c>
      <c r="H2610">
        <v>1</v>
      </c>
      <c r="I2610">
        <v>0.52384470000000005</v>
      </c>
      <c r="J2610">
        <v>2014</v>
      </c>
      <c r="K2610">
        <v>3</v>
      </c>
      <c r="L2610">
        <v>14</v>
      </c>
      <c r="M2610" t="s">
        <v>91</v>
      </c>
      <c r="N2610">
        <v>0</v>
      </c>
      <c r="O2610">
        <v>0</v>
      </c>
    </row>
    <row r="2611" spans="1:15" x14ac:dyDescent="0.3">
      <c r="A2611">
        <v>2706</v>
      </c>
      <c r="B2611" s="34">
        <v>41715</v>
      </c>
      <c r="C2611">
        <v>1.39134</v>
      </c>
      <c r="D2611">
        <v>0</v>
      </c>
      <c r="F2611">
        <v>0.43711999999999801</v>
      </c>
      <c r="G2611">
        <v>22.743018734535202</v>
      </c>
      <c r="H2611">
        <v>0</v>
      </c>
      <c r="I2611">
        <v>0.52365110000000004</v>
      </c>
      <c r="J2611">
        <v>2014</v>
      </c>
      <c r="K2611">
        <v>3</v>
      </c>
      <c r="L2611">
        <v>17</v>
      </c>
      <c r="M2611" t="s">
        <v>92</v>
      </c>
      <c r="N2611">
        <v>0</v>
      </c>
      <c r="O2611">
        <v>0</v>
      </c>
    </row>
    <row r="2612" spans="1:15" x14ac:dyDescent="0.3">
      <c r="A2612">
        <v>2707</v>
      </c>
      <c r="B2612" s="34">
        <v>41716</v>
      </c>
      <c r="C2612">
        <v>1.39252</v>
      </c>
      <c r="D2612">
        <v>0</v>
      </c>
      <c r="F2612">
        <v>0.43711999999999801</v>
      </c>
      <c r="G2612">
        <v>22.743018734535202</v>
      </c>
      <c r="H2612">
        <v>0</v>
      </c>
      <c r="I2612">
        <v>0.52345770000000003</v>
      </c>
      <c r="J2612">
        <v>2014</v>
      </c>
      <c r="K2612">
        <v>3</v>
      </c>
      <c r="L2612">
        <v>18</v>
      </c>
      <c r="M2612" t="s">
        <v>93</v>
      </c>
      <c r="N2612">
        <v>0</v>
      </c>
      <c r="O2612">
        <v>0</v>
      </c>
    </row>
    <row r="2613" spans="1:15" x14ac:dyDescent="0.3">
      <c r="A2613">
        <v>2708</v>
      </c>
      <c r="B2613" s="34">
        <v>41717</v>
      </c>
      <c r="C2613">
        <v>1.3930400000000001</v>
      </c>
      <c r="D2613">
        <v>0</v>
      </c>
      <c r="F2613">
        <v>0.43711999999999801</v>
      </c>
      <c r="G2613">
        <v>22.743018734535202</v>
      </c>
      <c r="H2613">
        <v>0</v>
      </c>
      <c r="I2613">
        <v>0.52326439999999996</v>
      </c>
      <c r="J2613">
        <v>2014</v>
      </c>
      <c r="K2613">
        <v>3</v>
      </c>
      <c r="L2613">
        <v>19</v>
      </c>
      <c r="M2613" t="s">
        <v>89</v>
      </c>
      <c r="N2613">
        <v>0</v>
      </c>
      <c r="O2613">
        <v>0</v>
      </c>
    </row>
    <row r="2614" spans="1:15" x14ac:dyDescent="0.3">
      <c r="A2614">
        <v>2709</v>
      </c>
      <c r="B2614" s="34">
        <v>41718</v>
      </c>
      <c r="C2614">
        <v>1.3822300000000001</v>
      </c>
      <c r="D2614">
        <v>0</v>
      </c>
      <c r="F2614">
        <v>0.43711999999999801</v>
      </c>
      <c r="G2614">
        <v>22.743018734535202</v>
      </c>
      <c r="H2614">
        <v>1</v>
      </c>
      <c r="I2614">
        <v>0.52344040000000003</v>
      </c>
      <c r="J2614">
        <v>2014</v>
      </c>
      <c r="K2614">
        <v>3</v>
      </c>
      <c r="L2614">
        <v>20</v>
      </c>
      <c r="M2614" t="s">
        <v>90</v>
      </c>
      <c r="N2614">
        <v>0</v>
      </c>
      <c r="O2614">
        <v>0</v>
      </c>
    </row>
    <row r="2615" spans="1:15" x14ac:dyDescent="0.3">
      <c r="A2615">
        <v>2710</v>
      </c>
      <c r="B2615" s="34">
        <v>41719</v>
      </c>
      <c r="C2615">
        <v>1.37782</v>
      </c>
      <c r="D2615">
        <v>0</v>
      </c>
      <c r="F2615">
        <v>0.43711999999999801</v>
      </c>
      <c r="G2615">
        <v>22.743018734535202</v>
      </c>
      <c r="H2615">
        <v>0</v>
      </c>
      <c r="I2615">
        <v>0.52324720000000002</v>
      </c>
      <c r="J2615">
        <v>2014</v>
      </c>
      <c r="K2615">
        <v>3</v>
      </c>
      <c r="L2615">
        <v>21</v>
      </c>
      <c r="M2615" t="s">
        <v>91</v>
      </c>
      <c r="N2615">
        <v>0</v>
      </c>
      <c r="O2615">
        <v>0</v>
      </c>
    </row>
    <row r="2616" spans="1:15" x14ac:dyDescent="0.3">
      <c r="A2616">
        <v>2711</v>
      </c>
      <c r="B2616" s="34">
        <v>41722</v>
      </c>
      <c r="C2616">
        <v>1.3793299999999999</v>
      </c>
      <c r="D2616">
        <v>0</v>
      </c>
      <c r="F2616">
        <v>0.43711999999999801</v>
      </c>
      <c r="G2616">
        <v>22.743018734535202</v>
      </c>
      <c r="H2616">
        <v>1</v>
      </c>
      <c r="I2616">
        <v>0.52342310000000003</v>
      </c>
      <c r="J2616">
        <v>2014</v>
      </c>
      <c r="K2616">
        <v>3</v>
      </c>
      <c r="L2616">
        <v>24</v>
      </c>
      <c r="M2616" t="s">
        <v>92</v>
      </c>
      <c r="N2616">
        <v>0</v>
      </c>
      <c r="O2616">
        <v>0</v>
      </c>
    </row>
    <row r="2617" spans="1:15" x14ac:dyDescent="0.3">
      <c r="A2617">
        <v>2712</v>
      </c>
      <c r="B2617" s="34">
        <v>41723</v>
      </c>
      <c r="C2617">
        <v>1.3837999999999999</v>
      </c>
      <c r="D2617">
        <v>0</v>
      </c>
      <c r="F2617">
        <v>0.43711999999999801</v>
      </c>
      <c r="G2617">
        <v>22.743018734535202</v>
      </c>
      <c r="H2617">
        <v>0</v>
      </c>
      <c r="I2617">
        <v>0.52323010000000003</v>
      </c>
      <c r="J2617">
        <v>2014</v>
      </c>
      <c r="K2617">
        <v>3</v>
      </c>
      <c r="L2617">
        <v>25</v>
      </c>
      <c r="M2617" t="s">
        <v>93</v>
      </c>
      <c r="N2617">
        <v>0</v>
      </c>
      <c r="O2617">
        <v>0</v>
      </c>
    </row>
    <row r="2618" spans="1:15" x14ac:dyDescent="0.3">
      <c r="A2618">
        <v>2713</v>
      </c>
      <c r="B2618" s="34">
        <v>41724</v>
      </c>
      <c r="C2618">
        <v>1.3825000000000001</v>
      </c>
      <c r="D2618">
        <v>0</v>
      </c>
      <c r="F2618">
        <v>0.43711999999999801</v>
      </c>
      <c r="G2618">
        <v>22.743018734535202</v>
      </c>
      <c r="H2618">
        <v>1</v>
      </c>
      <c r="I2618">
        <v>0.52340580000000003</v>
      </c>
      <c r="J2618">
        <v>2014</v>
      </c>
      <c r="K2618">
        <v>3</v>
      </c>
      <c r="L2618">
        <v>26</v>
      </c>
      <c r="M2618" t="s">
        <v>89</v>
      </c>
      <c r="N2618">
        <v>0</v>
      </c>
      <c r="O2618">
        <v>0</v>
      </c>
    </row>
    <row r="2619" spans="1:15" x14ac:dyDescent="0.3">
      <c r="A2619">
        <v>2714</v>
      </c>
      <c r="B2619" s="34">
        <v>41725</v>
      </c>
      <c r="C2619">
        <v>1.3783000000000001</v>
      </c>
      <c r="D2619">
        <v>2</v>
      </c>
      <c r="E2619" t="s">
        <v>413</v>
      </c>
      <c r="F2619">
        <v>0.43318999999999802</v>
      </c>
      <c r="G2619">
        <v>23.437610463061201</v>
      </c>
      <c r="H2619">
        <v>1</v>
      </c>
      <c r="I2619">
        <v>0.52358139999999997</v>
      </c>
      <c r="J2619">
        <v>2014</v>
      </c>
      <c r="K2619">
        <v>3</v>
      </c>
      <c r="L2619">
        <v>27</v>
      </c>
      <c r="M2619" t="s">
        <v>90</v>
      </c>
      <c r="N2619">
        <v>0</v>
      </c>
      <c r="O2619">
        <v>0</v>
      </c>
    </row>
    <row r="2620" spans="1:15" x14ac:dyDescent="0.3">
      <c r="A2620">
        <v>2715</v>
      </c>
      <c r="B2620" s="34">
        <v>41726</v>
      </c>
      <c r="C2620">
        <v>1.3743700000000001</v>
      </c>
      <c r="D2620">
        <v>0</v>
      </c>
      <c r="F2620">
        <v>0.43318999999999802</v>
      </c>
      <c r="G2620">
        <v>23.437610463061201</v>
      </c>
      <c r="H2620">
        <v>0</v>
      </c>
      <c r="I2620">
        <v>0.52338859999999998</v>
      </c>
      <c r="J2620">
        <v>2014</v>
      </c>
      <c r="K2620">
        <v>3</v>
      </c>
      <c r="L2620">
        <v>28</v>
      </c>
      <c r="M2620" t="s">
        <v>91</v>
      </c>
      <c r="N2620">
        <v>0</v>
      </c>
      <c r="O2620">
        <v>0</v>
      </c>
    </row>
    <row r="2621" spans="1:15" x14ac:dyDescent="0.3">
      <c r="A2621">
        <v>2716</v>
      </c>
      <c r="B2621" s="34">
        <v>41729</v>
      </c>
      <c r="C2621">
        <v>1.37513</v>
      </c>
      <c r="D2621">
        <v>0</v>
      </c>
      <c r="F2621">
        <v>0.43318999999999802</v>
      </c>
      <c r="G2621">
        <v>23.437610463061201</v>
      </c>
      <c r="H2621">
        <v>1</v>
      </c>
      <c r="I2621">
        <v>0.52356400000000003</v>
      </c>
      <c r="J2621">
        <v>2014</v>
      </c>
      <c r="K2621">
        <v>3</v>
      </c>
      <c r="L2621">
        <v>31</v>
      </c>
      <c r="M2621" t="s">
        <v>92</v>
      </c>
      <c r="N2621">
        <v>0</v>
      </c>
      <c r="O2621">
        <v>0</v>
      </c>
    </row>
    <row r="2622" spans="1:15" x14ac:dyDescent="0.3">
      <c r="A2622">
        <v>2717</v>
      </c>
      <c r="B2622" s="34">
        <v>41730</v>
      </c>
      <c r="C2622">
        <v>1.3773500000000001</v>
      </c>
      <c r="D2622">
        <v>0</v>
      </c>
      <c r="F2622">
        <v>0.43318999999999802</v>
      </c>
      <c r="G2622">
        <v>23.437610463061201</v>
      </c>
      <c r="H2622">
        <v>1</v>
      </c>
      <c r="I2622">
        <v>0.52373939999999997</v>
      </c>
      <c r="J2622">
        <v>2014</v>
      </c>
      <c r="K2622">
        <v>4</v>
      </c>
      <c r="L2622">
        <v>1</v>
      </c>
      <c r="M2622" t="s">
        <v>93</v>
      </c>
      <c r="N2622">
        <v>0</v>
      </c>
      <c r="O2622">
        <v>0</v>
      </c>
    </row>
    <row r="2623" spans="1:15" x14ac:dyDescent="0.3">
      <c r="A2623">
        <v>2718</v>
      </c>
      <c r="B2623" s="34">
        <v>41731</v>
      </c>
      <c r="C2623">
        <v>1.3793200000000001</v>
      </c>
      <c r="D2623">
        <v>0</v>
      </c>
      <c r="F2623">
        <v>0.43318999999999802</v>
      </c>
      <c r="G2623">
        <v>23.437610463061201</v>
      </c>
      <c r="H2623">
        <v>0</v>
      </c>
      <c r="I2623">
        <v>0.52354679999999998</v>
      </c>
      <c r="J2623">
        <v>2014</v>
      </c>
      <c r="K2623">
        <v>4</v>
      </c>
      <c r="L2623">
        <v>2</v>
      </c>
      <c r="M2623" t="s">
        <v>89</v>
      </c>
      <c r="N2623">
        <v>0</v>
      </c>
      <c r="O2623">
        <v>0</v>
      </c>
    </row>
    <row r="2624" spans="1:15" x14ac:dyDescent="0.3">
      <c r="A2624">
        <v>2719</v>
      </c>
      <c r="B2624" s="34">
        <v>41732</v>
      </c>
      <c r="C2624">
        <v>1.3765099999999999</v>
      </c>
      <c r="D2624">
        <v>0</v>
      </c>
      <c r="F2624">
        <v>0.43318999999999802</v>
      </c>
      <c r="G2624">
        <v>23.437610463061201</v>
      </c>
      <c r="H2624">
        <v>1</v>
      </c>
      <c r="I2624">
        <v>0.52372189999999996</v>
      </c>
      <c r="J2624">
        <v>2014</v>
      </c>
      <c r="K2624">
        <v>4</v>
      </c>
      <c r="L2624">
        <v>3</v>
      </c>
      <c r="M2624" t="s">
        <v>90</v>
      </c>
      <c r="N2624">
        <v>0</v>
      </c>
      <c r="O2624">
        <v>0</v>
      </c>
    </row>
    <row r="2625" spans="1:15" x14ac:dyDescent="0.3">
      <c r="A2625">
        <v>2720</v>
      </c>
      <c r="B2625" s="34">
        <v>41733</v>
      </c>
      <c r="C2625">
        <v>1.37168</v>
      </c>
      <c r="D2625">
        <v>0</v>
      </c>
      <c r="F2625">
        <v>0.43318999999999802</v>
      </c>
      <c r="G2625">
        <v>23.437610463061201</v>
      </c>
      <c r="H2625">
        <v>0</v>
      </c>
      <c r="I2625">
        <v>0.52352940000000003</v>
      </c>
      <c r="J2625">
        <v>2014</v>
      </c>
      <c r="K2625">
        <v>4</v>
      </c>
      <c r="L2625">
        <v>4</v>
      </c>
      <c r="M2625" t="s">
        <v>91</v>
      </c>
      <c r="N2625">
        <v>0</v>
      </c>
      <c r="O2625">
        <v>0</v>
      </c>
    </row>
    <row r="2626" spans="1:15" x14ac:dyDescent="0.3">
      <c r="A2626">
        <v>2721</v>
      </c>
      <c r="B2626" s="34">
        <v>41736</v>
      </c>
      <c r="C2626">
        <v>1.3701399999999999</v>
      </c>
      <c r="D2626">
        <v>0</v>
      </c>
      <c r="F2626">
        <v>0.43318999999999802</v>
      </c>
      <c r="G2626">
        <v>23.437610463061201</v>
      </c>
      <c r="H2626">
        <v>0</v>
      </c>
      <c r="I2626">
        <v>0.52333700000000005</v>
      </c>
      <c r="J2626">
        <v>2014</v>
      </c>
      <c r="K2626">
        <v>4</v>
      </c>
      <c r="L2626">
        <v>7</v>
      </c>
      <c r="M2626" t="s">
        <v>92</v>
      </c>
      <c r="N2626">
        <v>0</v>
      </c>
      <c r="O2626">
        <v>0</v>
      </c>
    </row>
    <row r="2627" spans="1:15" x14ac:dyDescent="0.3">
      <c r="A2627">
        <v>2722</v>
      </c>
      <c r="B2627" s="34">
        <v>41737</v>
      </c>
      <c r="C2627">
        <v>1.37412</v>
      </c>
      <c r="D2627">
        <v>0</v>
      </c>
      <c r="F2627">
        <v>0.43318999999999802</v>
      </c>
      <c r="G2627">
        <v>23.437610463061201</v>
      </c>
      <c r="H2627">
        <v>1</v>
      </c>
      <c r="I2627">
        <v>0.52351210000000004</v>
      </c>
      <c r="J2627">
        <v>2014</v>
      </c>
      <c r="K2627">
        <v>4</v>
      </c>
      <c r="L2627">
        <v>8</v>
      </c>
      <c r="M2627" t="s">
        <v>93</v>
      </c>
      <c r="N2627">
        <v>0</v>
      </c>
      <c r="O2627">
        <v>0</v>
      </c>
    </row>
    <row r="2628" spans="1:15" x14ac:dyDescent="0.3">
      <c r="A2628">
        <v>2723</v>
      </c>
      <c r="B2628" s="34">
        <v>41738</v>
      </c>
      <c r="C2628">
        <v>1.3794599999999999</v>
      </c>
      <c r="D2628">
        <v>0</v>
      </c>
      <c r="F2628">
        <v>0.43318999999999802</v>
      </c>
      <c r="G2628">
        <v>23.437610463061201</v>
      </c>
      <c r="H2628">
        <v>0</v>
      </c>
      <c r="I2628">
        <v>0.5233198</v>
      </c>
      <c r="J2628">
        <v>2014</v>
      </c>
      <c r="K2628">
        <v>4</v>
      </c>
      <c r="L2628">
        <v>9</v>
      </c>
      <c r="M2628" t="s">
        <v>89</v>
      </c>
      <c r="N2628">
        <v>0</v>
      </c>
      <c r="O2628">
        <v>0</v>
      </c>
    </row>
    <row r="2629" spans="1:15" x14ac:dyDescent="0.3">
      <c r="A2629">
        <v>2724</v>
      </c>
      <c r="B2629" s="34">
        <v>41739</v>
      </c>
      <c r="C2629">
        <v>1.3853599999999999</v>
      </c>
      <c r="D2629">
        <v>0</v>
      </c>
      <c r="F2629">
        <v>0.43318999999999802</v>
      </c>
      <c r="G2629">
        <v>23.437610463061201</v>
      </c>
      <c r="H2629">
        <v>0</v>
      </c>
      <c r="I2629">
        <v>0.52312769999999997</v>
      </c>
      <c r="J2629">
        <v>2014</v>
      </c>
      <c r="K2629">
        <v>4</v>
      </c>
      <c r="L2629">
        <v>10</v>
      </c>
      <c r="M2629" t="s">
        <v>90</v>
      </c>
      <c r="N2629">
        <v>0</v>
      </c>
      <c r="O2629">
        <v>0</v>
      </c>
    </row>
    <row r="2630" spans="1:15" x14ac:dyDescent="0.3">
      <c r="A2630">
        <v>2725</v>
      </c>
      <c r="B2630" s="34">
        <v>41740</v>
      </c>
      <c r="C2630">
        <v>1.3886799999999999</v>
      </c>
      <c r="D2630">
        <v>0</v>
      </c>
      <c r="F2630">
        <v>0.43318999999999802</v>
      </c>
      <c r="G2630">
        <v>23.437610463061201</v>
      </c>
      <c r="H2630">
        <v>0</v>
      </c>
      <c r="I2630">
        <v>0.52293579999999995</v>
      </c>
      <c r="J2630">
        <v>2014</v>
      </c>
      <c r="K2630">
        <v>4</v>
      </c>
      <c r="L2630">
        <v>11</v>
      </c>
      <c r="M2630" t="s">
        <v>91</v>
      </c>
      <c r="N2630">
        <v>0</v>
      </c>
      <c r="O2630">
        <v>0</v>
      </c>
    </row>
    <row r="2631" spans="1:15" x14ac:dyDescent="0.3">
      <c r="A2631">
        <v>2726</v>
      </c>
      <c r="B2631" s="34">
        <v>41743</v>
      </c>
      <c r="C2631">
        <v>1.3884399999999999</v>
      </c>
      <c r="D2631">
        <v>0</v>
      </c>
      <c r="F2631">
        <v>0.43318999999999802</v>
      </c>
      <c r="G2631">
        <v>23.437610463061201</v>
      </c>
      <c r="H2631">
        <v>1</v>
      </c>
      <c r="I2631">
        <v>0.52311079999999999</v>
      </c>
      <c r="J2631">
        <v>2014</v>
      </c>
      <c r="K2631">
        <v>4</v>
      </c>
      <c r="L2631">
        <v>14</v>
      </c>
      <c r="M2631" t="s">
        <v>92</v>
      </c>
      <c r="N2631">
        <v>0</v>
      </c>
      <c r="O2631">
        <v>0</v>
      </c>
    </row>
    <row r="2632" spans="1:15" x14ac:dyDescent="0.3">
      <c r="A2632">
        <v>2727</v>
      </c>
      <c r="B2632" s="34">
        <v>41744</v>
      </c>
      <c r="C2632">
        <v>1.38181</v>
      </c>
      <c r="D2632">
        <v>0</v>
      </c>
      <c r="F2632">
        <v>0.43318999999999802</v>
      </c>
      <c r="G2632">
        <v>23.437610463061201</v>
      </c>
      <c r="H2632">
        <v>1</v>
      </c>
      <c r="I2632">
        <v>0.52328569999999996</v>
      </c>
      <c r="J2632">
        <v>2014</v>
      </c>
      <c r="K2632">
        <v>4</v>
      </c>
      <c r="L2632">
        <v>15</v>
      </c>
      <c r="M2632" t="s">
        <v>93</v>
      </c>
      <c r="N2632">
        <v>0</v>
      </c>
      <c r="O2632">
        <v>0</v>
      </c>
    </row>
    <row r="2633" spans="1:15" x14ac:dyDescent="0.3">
      <c r="A2633">
        <v>2728</v>
      </c>
      <c r="B2633" s="34">
        <v>41745</v>
      </c>
      <c r="C2633">
        <v>1.3813299999999999</v>
      </c>
      <c r="D2633">
        <v>0</v>
      </c>
      <c r="F2633">
        <v>0.43318999999999802</v>
      </c>
      <c r="G2633">
        <v>23.437610463061201</v>
      </c>
      <c r="H2633">
        <v>0</v>
      </c>
      <c r="I2633">
        <v>0.52309380000000005</v>
      </c>
      <c r="J2633">
        <v>2014</v>
      </c>
      <c r="K2633">
        <v>4</v>
      </c>
      <c r="L2633">
        <v>16</v>
      </c>
      <c r="M2633" t="s">
        <v>89</v>
      </c>
      <c r="N2633">
        <v>0</v>
      </c>
      <c r="O2633">
        <v>0</v>
      </c>
    </row>
    <row r="2634" spans="1:15" x14ac:dyDescent="0.3">
      <c r="A2634">
        <v>2729</v>
      </c>
      <c r="B2634" s="34">
        <v>41746</v>
      </c>
      <c r="C2634">
        <v>1.3815999999999999</v>
      </c>
      <c r="D2634">
        <v>0</v>
      </c>
      <c r="F2634">
        <v>0.43318999999999802</v>
      </c>
      <c r="G2634">
        <v>23.437610463061201</v>
      </c>
      <c r="H2634">
        <v>1</v>
      </c>
      <c r="I2634">
        <v>0.52326859999999997</v>
      </c>
      <c r="J2634">
        <v>2014</v>
      </c>
      <c r="K2634">
        <v>4</v>
      </c>
      <c r="L2634">
        <v>17</v>
      </c>
      <c r="M2634" t="s">
        <v>90</v>
      </c>
      <c r="N2634">
        <v>0</v>
      </c>
      <c r="O2634">
        <v>0</v>
      </c>
    </row>
    <row r="2635" spans="1:15" x14ac:dyDescent="0.3">
      <c r="A2635">
        <v>2730</v>
      </c>
      <c r="B2635" s="34">
        <v>41747</v>
      </c>
      <c r="C2635">
        <v>1.38131</v>
      </c>
      <c r="D2635">
        <v>7</v>
      </c>
      <c r="E2635" t="s">
        <v>414</v>
      </c>
      <c r="F2635">
        <v>0.432559999999998</v>
      </c>
      <c r="G2635">
        <v>23.5489572287028</v>
      </c>
      <c r="H2635">
        <v>1</v>
      </c>
      <c r="I2635">
        <v>0.5234432</v>
      </c>
      <c r="J2635">
        <v>2014</v>
      </c>
      <c r="K2635">
        <v>4</v>
      </c>
      <c r="L2635">
        <v>18</v>
      </c>
      <c r="M2635" t="s">
        <v>91</v>
      </c>
      <c r="N2635">
        <v>0</v>
      </c>
      <c r="O2635">
        <v>0</v>
      </c>
    </row>
    <row r="2636" spans="1:15" x14ac:dyDescent="0.3">
      <c r="A2636">
        <v>2731</v>
      </c>
      <c r="B2636" s="34">
        <v>41750</v>
      </c>
      <c r="C2636">
        <v>1.3806799999999999</v>
      </c>
      <c r="D2636">
        <v>0</v>
      </c>
      <c r="F2636">
        <v>0.432559999999998</v>
      </c>
      <c r="G2636">
        <v>23.5489572287028</v>
      </c>
      <c r="H2636">
        <v>0</v>
      </c>
      <c r="I2636">
        <v>0.52325149999999998</v>
      </c>
      <c r="J2636">
        <v>2014</v>
      </c>
      <c r="K2636">
        <v>4</v>
      </c>
      <c r="L2636">
        <v>21</v>
      </c>
      <c r="M2636" t="s">
        <v>92</v>
      </c>
      <c r="N2636">
        <v>0</v>
      </c>
      <c r="O2636">
        <v>0</v>
      </c>
    </row>
    <row r="2637" spans="1:15" x14ac:dyDescent="0.3">
      <c r="A2637">
        <v>2732</v>
      </c>
      <c r="B2637" s="34">
        <v>41751</v>
      </c>
      <c r="C2637">
        <v>1.37944</v>
      </c>
      <c r="D2637">
        <v>0</v>
      </c>
      <c r="F2637">
        <v>0.432559999999998</v>
      </c>
      <c r="G2637">
        <v>23.5489572287028</v>
      </c>
      <c r="H2637">
        <v>0</v>
      </c>
      <c r="I2637">
        <v>0.52305999999999997</v>
      </c>
      <c r="J2637">
        <v>2014</v>
      </c>
      <c r="K2637">
        <v>4</v>
      </c>
      <c r="L2637">
        <v>22</v>
      </c>
      <c r="M2637" t="s">
        <v>93</v>
      </c>
      <c r="N2637">
        <v>0</v>
      </c>
      <c r="O2637">
        <v>0</v>
      </c>
    </row>
    <row r="2638" spans="1:15" x14ac:dyDescent="0.3">
      <c r="A2638">
        <v>2733</v>
      </c>
      <c r="B2638" s="34">
        <v>41752</v>
      </c>
      <c r="C2638">
        <v>1.38053</v>
      </c>
      <c r="D2638">
        <v>0</v>
      </c>
      <c r="F2638">
        <v>0.432559999999998</v>
      </c>
      <c r="G2638">
        <v>23.5489572287028</v>
      </c>
      <c r="H2638">
        <v>1</v>
      </c>
      <c r="I2638">
        <v>0.52323450000000005</v>
      </c>
      <c r="J2638">
        <v>2014</v>
      </c>
      <c r="K2638">
        <v>4</v>
      </c>
      <c r="L2638">
        <v>23</v>
      </c>
      <c r="M2638" t="s">
        <v>89</v>
      </c>
      <c r="N2638">
        <v>0</v>
      </c>
      <c r="O2638">
        <v>0</v>
      </c>
    </row>
    <row r="2639" spans="1:15" x14ac:dyDescent="0.3">
      <c r="A2639">
        <v>2734</v>
      </c>
      <c r="B2639" s="34">
        <v>41753</v>
      </c>
      <c r="C2639">
        <v>1.3815999999999999</v>
      </c>
      <c r="D2639">
        <v>0</v>
      </c>
      <c r="F2639">
        <v>0.432559999999998</v>
      </c>
      <c r="G2639">
        <v>23.5489572287028</v>
      </c>
      <c r="H2639">
        <v>0</v>
      </c>
      <c r="I2639">
        <v>0.52304320000000004</v>
      </c>
      <c r="J2639">
        <v>2014</v>
      </c>
      <c r="K2639">
        <v>4</v>
      </c>
      <c r="L2639">
        <v>24</v>
      </c>
      <c r="M2639" t="s">
        <v>90</v>
      </c>
      <c r="N2639">
        <v>0</v>
      </c>
      <c r="O2639">
        <v>0</v>
      </c>
    </row>
    <row r="2640" spans="1:15" x14ac:dyDescent="0.3">
      <c r="A2640">
        <v>2735</v>
      </c>
      <c r="B2640" s="34">
        <v>41754</v>
      </c>
      <c r="C2640">
        <v>1.3831199999999999</v>
      </c>
      <c r="D2640">
        <v>-1</v>
      </c>
      <c r="F2640">
        <v>0.43237999999999799</v>
      </c>
      <c r="G2640">
        <v>23.5807705903146</v>
      </c>
      <c r="H2640">
        <v>0</v>
      </c>
      <c r="I2640">
        <v>0.52285190000000004</v>
      </c>
      <c r="J2640">
        <v>2014</v>
      </c>
      <c r="K2640">
        <v>4</v>
      </c>
      <c r="L2640">
        <v>25</v>
      </c>
      <c r="M2640" t="s">
        <v>91</v>
      </c>
      <c r="N2640">
        <v>0</v>
      </c>
      <c r="O2640">
        <v>0</v>
      </c>
    </row>
    <row r="2641" spans="1:15" x14ac:dyDescent="0.3">
      <c r="A2641">
        <v>2736</v>
      </c>
      <c r="B2641" s="34">
        <v>41757</v>
      </c>
      <c r="C2641">
        <v>1.3833</v>
      </c>
      <c r="D2641">
        <v>0</v>
      </c>
      <c r="F2641">
        <v>0.43237999999999799</v>
      </c>
      <c r="G2641">
        <v>23.5807705903146</v>
      </c>
      <c r="H2641">
        <v>0</v>
      </c>
      <c r="I2641">
        <v>0.52266080000000004</v>
      </c>
      <c r="J2641">
        <v>2014</v>
      </c>
      <c r="K2641">
        <v>4</v>
      </c>
      <c r="L2641">
        <v>28</v>
      </c>
      <c r="M2641" t="s">
        <v>92</v>
      </c>
      <c r="N2641">
        <v>0</v>
      </c>
      <c r="O2641">
        <v>0</v>
      </c>
    </row>
    <row r="2642" spans="1:15" x14ac:dyDescent="0.3">
      <c r="A2642">
        <v>2737</v>
      </c>
      <c r="B2642" s="34">
        <v>41758</v>
      </c>
      <c r="C2642">
        <v>1.38497</v>
      </c>
      <c r="D2642">
        <v>-4</v>
      </c>
      <c r="F2642">
        <v>0.43618999999999802</v>
      </c>
      <c r="G2642">
        <v>22.907387769529901</v>
      </c>
      <c r="H2642">
        <v>0</v>
      </c>
      <c r="I2642">
        <v>0.52246990000000004</v>
      </c>
      <c r="J2642">
        <v>2014</v>
      </c>
      <c r="K2642">
        <v>4</v>
      </c>
      <c r="L2642">
        <v>29</v>
      </c>
      <c r="M2642" t="s">
        <v>93</v>
      </c>
      <c r="N2642">
        <v>0</v>
      </c>
      <c r="O2642">
        <v>0</v>
      </c>
    </row>
    <row r="2643" spans="1:15" x14ac:dyDescent="0.3">
      <c r="A2643">
        <v>2738</v>
      </c>
      <c r="B2643" s="34">
        <v>41759</v>
      </c>
      <c r="C2643">
        <v>1.3811599999999999</v>
      </c>
      <c r="D2643">
        <v>0</v>
      </c>
      <c r="F2643">
        <v>0.43618999999999802</v>
      </c>
      <c r="G2643">
        <v>22.907387769529901</v>
      </c>
      <c r="H2643">
        <v>1</v>
      </c>
      <c r="I2643">
        <v>0.52264429999999995</v>
      </c>
      <c r="J2643">
        <v>2014</v>
      </c>
      <c r="K2643">
        <v>4</v>
      </c>
      <c r="L2643">
        <v>30</v>
      </c>
      <c r="M2643" t="s">
        <v>89</v>
      </c>
      <c r="N2643">
        <v>0</v>
      </c>
      <c r="O2643">
        <v>0</v>
      </c>
    </row>
    <row r="2644" spans="1:15" x14ac:dyDescent="0.3">
      <c r="A2644">
        <v>2739</v>
      </c>
      <c r="B2644" s="34">
        <v>41760</v>
      </c>
      <c r="C2644">
        <v>1.38653</v>
      </c>
      <c r="D2644">
        <v>0</v>
      </c>
      <c r="F2644">
        <v>0.43618999999999802</v>
      </c>
      <c r="G2644">
        <v>22.907387769529901</v>
      </c>
      <c r="H2644">
        <v>1</v>
      </c>
      <c r="I2644">
        <v>0.52281860000000002</v>
      </c>
      <c r="J2644">
        <v>2014</v>
      </c>
      <c r="K2644">
        <v>5</v>
      </c>
      <c r="L2644">
        <v>1</v>
      </c>
      <c r="M2644" t="s">
        <v>90</v>
      </c>
      <c r="N2644">
        <v>0</v>
      </c>
      <c r="O2644">
        <v>0</v>
      </c>
    </row>
    <row r="2645" spans="1:15" x14ac:dyDescent="0.3">
      <c r="A2645">
        <v>2740</v>
      </c>
      <c r="B2645" s="34">
        <v>41761</v>
      </c>
      <c r="C2645">
        <v>1.3867</v>
      </c>
      <c r="D2645">
        <v>0</v>
      </c>
      <c r="F2645">
        <v>0.43618999999999802</v>
      </c>
      <c r="G2645">
        <v>22.907387769529901</v>
      </c>
      <c r="H2645">
        <v>0</v>
      </c>
      <c r="I2645">
        <v>0.52262770000000003</v>
      </c>
      <c r="J2645">
        <v>2014</v>
      </c>
      <c r="K2645">
        <v>5</v>
      </c>
      <c r="L2645">
        <v>2</v>
      </c>
      <c r="M2645" t="s">
        <v>91</v>
      </c>
      <c r="N2645">
        <v>0</v>
      </c>
      <c r="O2645">
        <v>0</v>
      </c>
    </row>
    <row r="2646" spans="1:15" x14ac:dyDescent="0.3">
      <c r="A2646">
        <v>2741</v>
      </c>
      <c r="B2646" s="34">
        <v>41764</v>
      </c>
      <c r="C2646">
        <v>1.38689</v>
      </c>
      <c r="D2646">
        <v>0</v>
      </c>
      <c r="F2646">
        <v>0.43618999999999802</v>
      </c>
      <c r="G2646">
        <v>22.907387769529901</v>
      </c>
      <c r="H2646">
        <v>0</v>
      </c>
      <c r="I2646">
        <v>0.52243709999999999</v>
      </c>
      <c r="J2646">
        <v>2014</v>
      </c>
      <c r="K2646">
        <v>5</v>
      </c>
      <c r="L2646">
        <v>5</v>
      </c>
      <c r="M2646" t="s">
        <v>92</v>
      </c>
      <c r="N2646">
        <v>0</v>
      </c>
      <c r="O2646">
        <v>0</v>
      </c>
    </row>
    <row r="2647" spans="1:15" x14ac:dyDescent="0.3">
      <c r="A2647">
        <v>2742</v>
      </c>
      <c r="B2647" s="34">
        <v>41765</v>
      </c>
      <c r="C2647">
        <v>1.3874</v>
      </c>
      <c r="D2647">
        <v>0</v>
      </c>
      <c r="F2647">
        <v>0.43618999999999802</v>
      </c>
      <c r="G2647">
        <v>22.907387769529901</v>
      </c>
      <c r="H2647">
        <v>0</v>
      </c>
      <c r="I2647">
        <v>0.52224649999999995</v>
      </c>
      <c r="J2647">
        <v>2014</v>
      </c>
      <c r="K2647">
        <v>5</v>
      </c>
      <c r="L2647">
        <v>6</v>
      </c>
      <c r="M2647" t="s">
        <v>93</v>
      </c>
      <c r="N2647">
        <v>0</v>
      </c>
      <c r="O2647">
        <v>0</v>
      </c>
    </row>
    <row r="2648" spans="1:15" x14ac:dyDescent="0.3">
      <c r="A2648">
        <v>2743</v>
      </c>
      <c r="B2648" s="34">
        <v>41766</v>
      </c>
      <c r="C2648">
        <v>1.3924700000000001</v>
      </c>
      <c r="D2648">
        <v>-10</v>
      </c>
      <c r="F2648">
        <v>0.43756999999999802</v>
      </c>
      <c r="G2648">
        <v>22.663485330505502</v>
      </c>
      <c r="H2648">
        <v>0</v>
      </c>
      <c r="I2648">
        <v>0.52205619999999997</v>
      </c>
      <c r="J2648">
        <v>2014</v>
      </c>
      <c r="K2648">
        <v>5</v>
      </c>
      <c r="L2648">
        <v>7</v>
      </c>
      <c r="M2648" t="s">
        <v>89</v>
      </c>
      <c r="N2648">
        <v>0</v>
      </c>
      <c r="O2648">
        <v>0</v>
      </c>
    </row>
    <row r="2649" spans="1:15" x14ac:dyDescent="0.3">
      <c r="A2649">
        <v>2744</v>
      </c>
      <c r="B2649" s="34">
        <v>41767</v>
      </c>
      <c r="C2649">
        <v>1.3910899999999999</v>
      </c>
      <c r="D2649">
        <v>0</v>
      </c>
      <c r="F2649">
        <v>0.43756999999999802</v>
      </c>
      <c r="G2649">
        <v>22.663485330505502</v>
      </c>
      <c r="H2649">
        <v>1</v>
      </c>
      <c r="I2649">
        <v>0.52223030000000004</v>
      </c>
      <c r="J2649">
        <v>2014</v>
      </c>
      <c r="K2649">
        <v>5</v>
      </c>
      <c r="L2649">
        <v>8</v>
      </c>
      <c r="M2649" t="s">
        <v>90</v>
      </c>
      <c r="N2649">
        <v>0</v>
      </c>
      <c r="O2649">
        <v>0</v>
      </c>
    </row>
    <row r="2650" spans="1:15" x14ac:dyDescent="0.3">
      <c r="A2650">
        <v>2745</v>
      </c>
      <c r="B2650" s="34">
        <v>41768</v>
      </c>
      <c r="C2650">
        <v>1.38392</v>
      </c>
      <c r="D2650">
        <v>0</v>
      </c>
      <c r="F2650">
        <v>0.43756999999999802</v>
      </c>
      <c r="G2650">
        <v>22.663485330505502</v>
      </c>
      <c r="H2650">
        <v>1</v>
      </c>
      <c r="I2650">
        <v>0.52240439999999999</v>
      </c>
      <c r="J2650">
        <v>2014</v>
      </c>
      <c r="K2650">
        <v>5</v>
      </c>
      <c r="L2650">
        <v>9</v>
      </c>
      <c r="M2650" t="s">
        <v>91</v>
      </c>
      <c r="N2650">
        <v>0</v>
      </c>
      <c r="O2650">
        <v>0</v>
      </c>
    </row>
    <row r="2651" spans="1:15" x14ac:dyDescent="0.3">
      <c r="A2651">
        <v>2746</v>
      </c>
      <c r="B2651" s="34">
        <v>41771</v>
      </c>
      <c r="C2651">
        <v>1.3757699999999999</v>
      </c>
      <c r="D2651">
        <v>0</v>
      </c>
      <c r="F2651">
        <v>0.43756999999999802</v>
      </c>
      <c r="G2651">
        <v>22.663485330505502</v>
      </c>
      <c r="H2651">
        <v>0</v>
      </c>
      <c r="I2651">
        <v>0.52221410000000001</v>
      </c>
      <c r="J2651">
        <v>2014</v>
      </c>
      <c r="K2651">
        <v>5</v>
      </c>
      <c r="L2651">
        <v>12</v>
      </c>
      <c r="M2651" t="s">
        <v>92</v>
      </c>
      <c r="N2651">
        <v>0</v>
      </c>
      <c r="O2651">
        <v>0</v>
      </c>
    </row>
    <row r="2652" spans="1:15" x14ac:dyDescent="0.3">
      <c r="A2652">
        <v>2747</v>
      </c>
      <c r="B2652" s="34">
        <v>41772</v>
      </c>
      <c r="C2652">
        <v>1.37582</v>
      </c>
      <c r="D2652">
        <v>0</v>
      </c>
      <c r="F2652">
        <v>0.43756999999999802</v>
      </c>
      <c r="G2652">
        <v>22.663485330505502</v>
      </c>
      <c r="H2652">
        <v>1</v>
      </c>
      <c r="I2652">
        <v>0.52238799999999996</v>
      </c>
      <c r="J2652">
        <v>2014</v>
      </c>
      <c r="K2652">
        <v>5</v>
      </c>
      <c r="L2652">
        <v>13</v>
      </c>
      <c r="M2652" t="s">
        <v>93</v>
      </c>
      <c r="N2652">
        <v>0</v>
      </c>
      <c r="O2652">
        <v>0</v>
      </c>
    </row>
    <row r="2653" spans="1:15" x14ac:dyDescent="0.3">
      <c r="A2653">
        <v>2748</v>
      </c>
      <c r="B2653" s="34">
        <v>41773</v>
      </c>
      <c r="C2653">
        <v>1.3703399999999999</v>
      </c>
      <c r="D2653">
        <v>0</v>
      </c>
      <c r="F2653">
        <v>0.43756999999999802</v>
      </c>
      <c r="G2653">
        <v>22.663485330505502</v>
      </c>
      <c r="H2653">
        <v>0</v>
      </c>
      <c r="I2653">
        <v>0.52219800000000005</v>
      </c>
      <c r="J2653">
        <v>2014</v>
      </c>
      <c r="K2653">
        <v>5</v>
      </c>
      <c r="L2653">
        <v>14</v>
      </c>
      <c r="M2653" t="s">
        <v>89</v>
      </c>
      <c r="N2653">
        <v>0</v>
      </c>
      <c r="O2653">
        <v>0</v>
      </c>
    </row>
    <row r="2654" spans="1:15" x14ac:dyDescent="0.3">
      <c r="A2654">
        <v>2749</v>
      </c>
      <c r="B2654" s="34">
        <v>41774</v>
      </c>
      <c r="C2654">
        <v>1.3714200000000001</v>
      </c>
      <c r="D2654">
        <v>0</v>
      </c>
      <c r="F2654">
        <v>0.43756999999999802</v>
      </c>
      <c r="G2654">
        <v>22.663485330505502</v>
      </c>
      <c r="H2654">
        <v>1</v>
      </c>
      <c r="I2654">
        <v>0.52237180000000005</v>
      </c>
      <c r="J2654">
        <v>2014</v>
      </c>
      <c r="K2654">
        <v>5</v>
      </c>
      <c r="L2654">
        <v>15</v>
      </c>
      <c r="M2654" t="s">
        <v>90</v>
      </c>
      <c r="N2654">
        <v>0</v>
      </c>
      <c r="O2654">
        <v>0</v>
      </c>
    </row>
    <row r="2655" spans="1:15" x14ac:dyDescent="0.3">
      <c r="A2655">
        <v>2750</v>
      </c>
      <c r="B2655" s="34">
        <v>41775</v>
      </c>
      <c r="C2655">
        <v>1.3710100000000001</v>
      </c>
      <c r="D2655">
        <v>0</v>
      </c>
      <c r="F2655">
        <v>0.43756999999999802</v>
      </c>
      <c r="G2655">
        <v>22.663485330505502</v>
      </c>
      <c r="H2655">
        <v>1</v>
      </c>
      <c r="I2655">
        <v>0.5225455</v>
      </c>
      <c r="J2655">
        <v>2014</v>
      </c>
      <c r="K2655">
        <v>5</v>
      </c>
      <c r="L2655">
        <v>16</v>
      </c>
      <c r="M2655" t="s">
        <v>91</v>
      </c>
      <c r="N2655">
        <v>0</v>
      </c>
      <c r="O2655">
        <v>0</v>
      </c>
    </row>
    <row r="2656" spans="1:15" x14ac:dyDescent="0.3">
      <c r="A2656">
        <v>2751</v>
      </c>
      <c r="B2656" s="34">
        <v>41778</v>
      </c>
      <c r="C2656">
        <v>1.3693299999999999</v>
      </c>
      <c r="D2656">
        <v>0</v>
      </c>
      <c r="F2656">
        <v>0.43756999999999802</v>
      </c>
      <c r="G2656">
        <v>22.663485330505502</v>
      </c>
      <c r="H2656">
        <v>0</v>
      </c>
      <c r="I2656">
        <v>0.52235549999999997</v>
      </c>
      <c r="J2656">
        <v>2014</v>
      </c>
      <c r="K2656">
        <v>5</v>
      </c>
      <c r="L2656">
        <v>19</v>
      </c>
      <c r="M2656" t="s">
        <v>92</v>
      </c>
      <c r="N2656">
        <v>0</v>
      </c>
      <c r="O2656">
        <v>0</v>
      </c>
    </row>
    <row r="2657" spans="1:15" x14ac:dyDescent="0.3">
      <c r="A2657">
        <v>2752</v>
      </c>
      <c r="B2657" s="34">
        <v>41779</v>
      </c>
      <c r="C2657">
        <v>1.3708499999999999</v>
      </c>
      <c r="D2657">
        <v>0</v>
      </c>
      <c r="F2657">
        <v>0.43756999999999802</v>
      </c>
      <c r="G2657">
        <v>22.663485330505502</v>
      </c>
      <c r="H2657">
        <v>1</v>
      </c>
      <c r="I2657">
        <v>0.52252909999999997</v>
      </c>
      <c r="J2657">
        <v>2014</v>
      </c>
      <c r="K2657">
        <v>5</v>
      </c>
      <c r="L2657">
        <v>20</v>
      </c>
      <c r="M2657" t="s">
        <v>93</v>
      </c>
      <c r="N2657">
        <v>0</v>
      </c>
      <c r="O2657">
        <v>0</v>
      </c>
    </row>
    <row r="2658" spans="1:15" x14ac:dyDescent="0.3">
      <c r="A2658">
        <v>2753</v>
      </c>
      <c r="B2658" s="34">
        <v>41780</v>
      </c>
      <c r="C2658">
        <v>1.3698900000000001</v>
      </c>
      <c r="D2658">
        <v>0</v>
      </c>
      <c r="F2658">
        <v>0.43756999999999802</v>
      </c>
      <c r="G2658">
        <v>22.663485330505502</v>
      </c>
      <c r="H2658">
        <v>0</v>
      </c>
      <c r="I2658">
        <v>0.52233929999999995</v>
      </c>
      <c r="J2658">
        <v>2014</v>
      </c>
      <c r="K2658">
        <v>5</v>
      </c>
      <c r="L2658">
        <v>21</v>
      </c>
      <c r="M2658" t="s">
        <v>89</v>
      </c>
      <c r="N2658">
        <v>0</v>
      </c>
      <c r="O2658">
        <v>0</v>
      </c>
    </row>
    <row r="2659" spans="1:15" x14ac:dyDescent="0.3">
      <c r="A2659">
        <v>2754</v>
      </c>
      <c r="B2659" s="34">
        <v>41781</v>
      </c>
      <c r="C2659">
        <v>1.36856</v>
      </c>
      <c r="D2659">
        <v>0</v>
      </c>
      <c r="F2659">
        <v>0.43756999999999802</v>
      </c>
      <c r="G2659">
        <v>22.663485330505502</v>
      </c>
      <c r="H2659">
        <v>0</v>
      </c>
      <c r="I2659">
        <v>0.52214959999999999</v>
      </c>
      <c r="J2659">
        <v>2014</v>
      </c>
      <c r="K2659">
        <v>5</v>
      </c>
      <c r="L2659">
        <v>22</v>
      </c>
      <c r="M2659" t="s">
        <v>90</v>
      </c>
      <c r="N2659">
        <v>0</v>
      </c>
      <c r="O2659">
        <v>0</v>
      </c>
    </row>
    <row r="2660" spans="1:15" x14ac:dyDescent="0.3">
      <c r="A2660">
        <v>2755</v>
      </c>
      <c r="B2660" s="34">
        <v>41782</v>
      </c>
      <c r="C2660">
        <v>1.36561</v>
      </c>
      <c r="D2660">
        <v>0</v>
      </c>
      <c r="F2660">
        <v>0.43756999999999802</v>
      </c>
      <c r="G2660">
        <v>22.663485330505502</v>
      </c>
      <c r="H2660">
        <v>0</v>
      </c>
      <c r="I2660">
        <v>0.52196010000000004</v>
      </c>
      <c r="J2660">
        <v>2014</v>
      </c>
      <c r="K2660">
        <v>5</v>
      </c>
      <c r="L2660">
        <v>23</v>
      </c>
      <c r="M2660" t="s">
        <v>91</v>
      </c>
      <c r="N2660">
        <v>0</v>
      </c>
      <c r="O2660">
        <v>0</v>
      </c>
    </row>
    <row r="2661" spans="1:15" x14ac:dyDescent="0.3">
      <c r="A2661">
        <v>2756</v>
      </c>
      <c r="B2661" s="34">
        <v>41785</v>
      </c>
      <c r="C2661">
        <v>1.3628</v>
      </c>
      <c r="D2661">
        <v>0</v>
      </c>
      <c r="F2661">
        <v>0.43756999999999802</v>
      </c>
      <c r="G2661">
        <v>22.663485330505502</v>
      </c>
      <c r="H2661">
        <v>0</v>
      </c>
      <c r="I2661">
        <v>0.52177070000000003</v>
      </c>
      <c r="J2661">
        <v>2014</v>
      </c>
      <c r="K2661">
        <v>5</v>
      </c>
      <c r="L2661">
        <v>26</v>
      </c>
      <c r="M2661" t="s">
        <v>92</v>
      </c>
      <c r="N2661">
        <v>0</v>
      </c>
      <c r="O2661">
        <v>0</v>
      </c>
    </row>
    <row r="2662" spans="1:15" x14ac:dyDescent="0.3">
      <c r="A2662">
        <v>2757</v>
      </c>
      <c r="B2662" s="34">
        <v>41786</v>
      </c>
      <c r="C2662">
        <v>1.3643799999999999</v>
      </c>
      <c r="D2662">
        <v>0</v>
      </c>
      <c r="F2662">
        <v>0.43756999999999802</v>
      </c>
      <c r="G2662">
        <v>22.663485330505502</v>
      </c>
      <c r="H2662">
        <v>1</v>
      </c>
      <c r="I2662">
        <v>0.52194419999999997</v>
      </c>
      <c r="J2662">
        <v>2014</v>
      </c>
      <c r="K2662">
        <v>5</v>
      </c>
      <c r="L2662">
        <v>27</v>
      </c>
      <c r="M2662" t="s">
        <v>93</v>
      </c>
      <c r="N2662">
        <v>0</v>
      </c>
      <c r="O2662">
        <v>0</v>
      </c>
    </row>
    <row r="2663" spans="1:15" x14ac:dyDescent="0.3">
      <c r="A2663">
        <v>2758</v>
      </c>
      <c r="B2663" s="34">
        <v>41787</v>
      </c>
      <c r="C2663">
        <v>1.36334</v>
      </c>
      <c r="D2663">
        <v>0</v>
      </c>
      <c r="F2663">
        <v>0.43756999999999802</v>
      </c>
      <c r="G2663">
        <v>22.663485330505502</v>
      </c>
      <c r="H2663">
        <v>1</v>
      </c>
      <c r="I2663">
        <v>0.52211750000000001</v>
      </c>
      <c r="J2663">
        <v>2014</v>
      </c>
      <c r="K2663">
        <v>5</v>
      </c>
      <c r="L2663">
        <v>28</v>
      </c>
      <c r="M2663" t="s">
        <v>89</v>
      </c>
      <c r="N2663">
        <v>0</v>
      </c>
      <c r="O2663">
        <v>0</v>
      </c>
    </row>
    <row r="2664" spans="1:15" x14ac:dyDescent="0.3">
      <c r="A2664">
        <v>2759</v>
      </c>
      <c r="B2664" s="34">
        <v>41788</v>
      </c>
      <c r="C2664">
        <v>1.35921</v>
      </c>
      <c r="D2664">
        <v>0</v>
      </c>
      <c r="F2664">
        <v>0.43756999999999802</v>
      </c>
      <c r="G2664">
        <v>22.663485330505502</v>
      </c>
      <c r="H2664">
        <v>0</v>
      </c>
      <c r="I2664">
        <v>0.52192830000000001</v>
      </c>
      <c r="J2664">
        <v>2014</v>
      </c>
      <c r="K2664">
        <v>5</v>
      </c>
      <c r="L2664">
        <v>29</v>
      </c>
      <c r="M2664" t="s">
        <v>90</v>
      </c>
      <c r="N2664">
        <v>0</v>
      </c>
      <c r="O2664">
        <v>0</v>
      </c>
    </row>
    <row r="2665" spans="1:15" x14ac:dyDescent="0.3">
      <c r="A2665">
        <v>2760</v>
      </c>
      <c r="B2665" s="34">
        <v>41789</v>
      </c>
      <c r="C2665">
        <v>1.3601700000000001</v>
      </c>
      <c r="D2665">
        <v>0</v>
      </c>
      <c r="F2665">
        <v>0.43756999999999802</v>
      </c>
      <c r="G2665">
        <v>22.663485330505502</v>
      </c>
      <c r="H2665">
        <v>1</v>
      </c>
      <c r="I2665">
        <v>0.5221015</v>
      </c>
      <c r="J2665">
        <v>2014</v>
      </c>
      <c r="K2665">
        <v>5</v>
      </c>
      <c r="L2665">
        <v>30</v>
      </c>
      <c r="M2665" t="s">
        <v>91</v>
      </c>
      <c r="N2665">
        <v>0</v>
      </c>
      <c r="O2665">
        <v>0</v>
      </c>
    </row>
    <row r="2666" spans="1:15" x14ac:dyDescent="0.3">
      <c r="A2666">
        <v>2761</v>
      </c>
      <c r="B2666" s="34">
        <v>41792</v>
      </c>
      <c r="C2666">
        <v>1.3633900000000001</v>
      </c>
      <c r="D2666">
        <v>0</v>
      </c>
      <c r="F2666">
        <v>0.43756999999999802</v>
      </c>
      <c r="G2666">
        <v>22.663485330505502</v>
      </c>
      <c r="H2666">
        <v>1</v>
      </c>
      <c r="I2666">
        <v>0.52227460000000003</v>
      </c>
      <c r="J2666">
        <v>2014</v>
      </c>
      <c r="K2666">
        <v>6</v>
      </c>
      <c r="L2666">
        <v>2</v>
      </c>
      <c r="M2666" t="s">
        <v>92</v>
      </c>
      <c r="N2666">
        <v>0</v>
      </c>
      <c r="O2666">
        <v>0</v>
      </c>
    </row>
    <row r="2667" spans="1:15" x14ac:dyDescent="0.3">
      <c r="A2667">
        <v>2762</v>
      </c>
      <c r="B2667" s="34">
        <v>41793</v>
      </c>
      <c r="C2667">
        <v>1.3597900000000001</v>
      </c>
      <c r="D2667">
        <v>0</v>
      </c>
      <c r="F2667">
        <v>0.43756999999999802</v>
      </c>
      <c r="G2667">
        <v>22.663485330505502</v>
      </c>
      <c r="H2667">
        <v>1</v>
      </c>
      <c r="I2667">
        <v>0.52244749999999995</v>
      </c>
      <c r="J2667">
        <v>2014</v>
      </c>
      <c r="K2667">
        <v>6</v>
      </c>
      <c r="L2667">
        <v>3</v>
      </c>
      <c r="M2667" t="s">
        <v>93</v>
      </c>
      <c r="N2667">
        <v>0</v>
      </c>
      <c r="O2667">
        <v>0</v>
      </c>
    </row>
    <row r="2668" spans="1:15" x14ac:dyDescent="0.3">
      <c r="A2668">
        <v>2763</v>
      </c>
      <c r="B2668" s="34">
        <v>41794</v>
      </c>
      <c r="C2668">
        <v>1.3627100000000001</v>
      </c>
      <c r="D2668">
        <v>0</v>
      </c>
      <c r="F2668">
        <v>0.43756999999999802</v>
      </c>
      <c r="G2668">
        <v>22.663485330505502</v>
      </c>
      <c r="H2668">
        <v>1</v>
      </c>
      <c r="I2668">
        <v>0.52262030000000004</v>
      </c>
      <c r="J2668">
        <v>2014</v>
      </c>
      <c r="K2668">
        <v>6</v>
      </c>
      <c r="L2668">
        <v>4</v>
      </c>
      <c r="M2668" t="s">
        <v>89</v>
      </c>
      <c r="N2668">
        <v>0</v>
      </c>
      <c r="O2668">
        <v>0</v>
      </c>
    </row>
    <row r="2669" spans="1:15" x14ac:dyDescent="0.3">
      <c r="A2669">
        <v>2764</v>
      </c>
      <c r="B2669" s="34">
        <v>41795</v>
      </c>
      <c r="C2669">
        <v>1.3600099999999999</v>
      </c>
      <c r="D2669">
        <v>0</v>
      </c>
      <c r="F2669">
        <v>0.43756999999999802</v>
      </c>
      <c r="G2669">
        <v>22.663485330505502</v>
      </c>
      <c r="H2669">
        <v>1</v>
      </c>
      <c r="I2669">
        <v>0.52279310000000001</v>
      </c>
      <c r="J2669">
        <v>2014</v>
      </c>
      <c r="K2669">
        <v>6</v>
      </c>
      <c r="L2669">
        <v>5</v>
      </c>
      <c r="M2669" t="s">
        <v>90</v>
      </c>
      <c r="N2669">
        <v>0</v>
      </c>
      <c r="O2669">
        <v>0</v>
      </c>
    </row>
    <row r="2670" spans="1:15" x14ac:dyDescent="0.3">
      <c r="A2670">
        <v>2765</v>
      </c>
      <c r="B2670" s="34">
        <v>41796</v>
      </c>
      <c r="C2670">
        <v>1.3662799999999999</v>
      </c>
      <c r="D2670">
        <v>0</v>
      </c>
      <c r="F2670">
        <v>0.43756999999999802</v>
      </c>
      <c r="G2670">
        <v>22.663485330505502</v>
      </c>
      <c r="H2670">
        <v>1</v>
      </c>
      <c r="I2670">
        <v>0.52296569999999998</v>
      </c>
      <c r="J2670">
        <v>2014</v>
      </c>
      <c r="K2670">
        <v>6</v>
      </c>
      <c r="L2670">
        <v>6</v>
      </c>
      <c r="M2670" t="s">
        <v>91</v>
      </c>
      <c r="N2670">
        <v>0</v>
      </c>
      <c r="O2670">
        <v>0</v>
      </c>
    </row>
    <row r="2671" spans="1:15" x14ac:dyDescent="0.3">
      <c r="A2671">
        <v>2766</v>
      </c>
      <c r="B2671" s="34">
        <v>41799</v>
      </c>
      <c r="C2671">
        <v>1.3642300000000001</v>
      </c>
      <c r="D2671">
        <v>0</v>
      </c>
      <c r="F2671">
        <v>0.43756999999999802</v>
      </c>
      <c r="G2671">
        <v>22.663485330505502</v>
      </c>
      <c r="H2671">
        <v>1</v>
      </c>
      <c r="I2671">
        <v>0.52313810000000005</v>
      </c>
      <c r="J2671">
        <v>2014</v>
      </c>
      <c r="K2671">
        <v>6</v>
      </c>
      <c r="L2671">
        <v>9</v>
      </c>
      <c r="M2671" t="s">
        <v>92</v>
      </c>
      <c r="N2671">
        <v>0</v>
      </c>
      <c r="O2671">
        <v>0</v>
      </c>
    </row>
    <row r="2672" spans="1:15" x14ac:dyDescent="0.3">
      <c r="A2672">
        <v>2767</v>
      </c>
      <c r="B2672" s="34">
        <v>41800</v>
      </c>
      <c r="C2672">
        <v>1.3592299999999999</v>
      </c>
      <c r="D2672">
        <v>0</v>
      </c>
      <c r="F2672">
        <v>0.43756999999999802</v>
      </c>
      <c r="G2672">
        <v>22.663485330505502</v>
      </c>
      <c r="H2672">
        <v>1</v>
      </c>
      <c r="I2672">
        <v>0.52331039999999995</v>
      </c>
      <c r="J2672">
        <v>2014</v>
      </c>
      <c r="K2672">
        <v>6</v>
      </c>
      <c r="L2672">
        <v>10</v>
      </c>
      <c r="M2672" t="s">
        <v>93</v>
      </c>
      <c r="N2672">
        <v>0</v>
      </c>
      <c r="O2672">
        <v>0</v>
      </c>
    </row>
    <row r="2673" spans="1:15" x14ac:dyDescent="0.3">
      <c r="A2673">
        <v>2768</v>
      </c>
      <c r="B2673" s="34">
        <v>41801</v>
      </c>
      <c r="C2673">
        <v>1.3544499999999999</v>
      </c>
      <c r="D2673">
        <v>0</v>
      </c>
      <c r="F2673">
        <v>0.43756999999999802</v>
      </c>
      <c r="G2673">
        <v>22.663485330505502</v>
      </c>
      <c r="H2673">
        <v>0</v>
      </c>
      <c r="I2673">
        <v>0.52312139999999996</v>
      </c>
      <c r="J2673">
        <v>2014</v>
      </c>
      <c r="K2673">
        <v>6</v>
      </c>
      <c r="L2673">
        <v>11</v>
      </c>
      <c r="M2673" t="s">
        <v>89</v>
      </c>
      <c r="N2673">
        <v>0</v>
      </c>
      <c r="O2673">
        <v>0</v>
      </c>
    </row>
    <row r="2674" spans="1:15" x14ac:dyDescent="0.3">
      <c r="A2674">
        <v>2769</v>
      </c>
      <c r="B2674" s="34">
        <v>41802</v>
      </c>
      <c r="C2674">
        <v>1.35337</v>
      </c>
      <c r="D2674">
        <v>0</v>
      </c>
      <c r="F2674">
        <v>0.43756999999999802</v>
      </c>
      <c r="G2674">
        <v>22.663485330505502</v>
      </c>
      <c r="H2674">
        <v>0</v>
      </c>
      <c r="I2674">
        <v>0.52293250000000002</v>
      </c>
      <c r="J2674">
        <v>2014</v>
      </c>
      <c r="K2674">
        <v>6</v>
      </c>
      <c r="L2674">
        <v>12</v>
      </c>
      <c r="M2674" t="s">
        <v>90</v>
      </c>
      <c r="N2674">
        <v>0</v>
      </c>
      <c r="O2674">
        <v>0</v>
      </c>
    </row>
    <row r="2675" spans="1:15" x14ac:dyDescent="0.3">
      <c r="A2675">
        <v>2770</v>
      </c>
      <c r="B2675" s="34">
        <v>41803</v>
      </c>
      <c r="C2675">
        <v>1.3548899999999999</v>
      </c>
      <c r="D2675">
        <v>0</v>
      </c>
      <c r="F2675">
        <v>0.43756999999999802</v>
      </c>
      <c r="G2675">
        <v>22.663485330505502</v>
      </c>
      <c r="H2675">
        <v>1</v>
      </c>
      <c r="I2675">
        <v>0.52310469999999998</v>
      </c>
      <c r="J2675">
        <v>2014</v>
      </c>
      <c r="K2675">
        <v>6</v>
      </c>
      <c r="L2675">
        <v>13</v>
      </c>
      <c r="M2675" t="s">
        <v>91</v>
      </c>
      <c r="N2675">
        <v>0</v>
      </c>
      <c r="O2675">
        <v>0</v>
      </c>
    </row>
    <row r="2676" spans="1:15" x14ac:dyDescent="0.3">
      <c r="A2676">
        <v>2771</v>
      </c>
      <c r="B2676" s="34">
        <v>41806</v>
      </c>
      <c r="C2676">
        <v>1.35379</v>
      </c>
      <c r="D2676">
        <v>0</v>
      </c>
      <c r="F2676">
        <v>0.43756999999999802</v>
      </c>
      <c r="G2676">
        <v>22.663485330505502</v>
      </c>
      <c r="H2676">
        <v>1</v>
      </c>
      <c r="I2676">
        <v>0.52327679999999999</v>
      </c>
      <c r="J2676">
        <v>2014</v>
      </c>
      <c r="K2676">
        <v>6</v>
      </c>
      <c r="L2676">
        <v>16</v>
      </c>
      <c r="M2676" t="s">
        <v>92</v>
      </c>
      <c r="N2676">
        <v>0</v>
      </c>
      <c r="O2676">
        <v>0</v>
      </c>
    </row>
    <row r="2677" spans="1:15" x14ac:dyDescent="0.3">
      <c r="A2677">
        <v>2772</v>
      </c>
      <c r="B2677" s="34">
        <v>41807</v>
      </c>
      <c r="C2677">
        <v>1.3572200000000001</v>
      </c>
      <c r="D2677">
        <v>0</v>
      </c>
      <c r="F2677">
        <v>0.43756999999999802</v>
      </c>
      <c r="G2677">
        <v>22.663485330505502</v>
      </c>
      <c r="H2677">
        <v>1</v>
      </c>
      <c r="I2677">
        <v>0.52344880000000005</v>
      </c>
      <c r="J2677">
        <v>2014</v>
      </c>
      <c r="K2677">
        <v>6</v>
      </c>
      <c r="L2677">
        <v>17</v>
      </c>
      <c r="M2677" t="s">
        <v>93</v>
      </c>
      <c r="N2677">
        <v>0</v>
      </c>
      <c r="O2677">
        <v>0</v>
      </c>
    </row>
    <row r="2678" spans="1:15" x14ac:dyDescent="0.3">
      <c r="A2678">
        <v>2773</v>
      </c>
      <c r="B2678" s="34">
        <v>41808</v>
      </c>
      <c r="C2678">
        <v>1.3546199999999999</v>
      </c>
      <c r="D2678">
        <v>0</v>
      </c>
      <c r="F2678">
        <v>0.43756999999999802</v>
      </c>
      <c r="G2678">
        <v>22.663485330505502</v>
      </c>
      <c r="H2678">
        <v>1</v>
      </c>
      <c r="I2678">
        <v>0.52362059999999999</v>
      </c>
      <c r="J2678">
        <v>2014</v>
      </c>
      <c r="K2678">
        <v>6</v>
      </c>
      <c r="L2678">
        <v>18</v>
      </c>
      <c r="M2678" t="s">
        <v>89</v>
      </c>
      <c r="N2678">
        <v>0</v>
      </c>
      <c r="O2678">
        <v>0</v>
      </c>
    </row>
    <row r="2679" spans="1:15" x14ac:dyDescent="0.3">
      <c r="A2679">
        <v>2774</v>
      </c>
      <c r="B2679" s="34">
        <v>41809</v>
      </c>
      <c r="C2679">
        <v>1.3587499999999999</v>
      </c>
      <c r="D2679">
        <v>0</v>
      </c>
      <c r="F2679">
        <v>0.43756999999999802</v>
      </c>
      <c r="G2679">
        <v>22.663485330505502</v>
      </c>
      <c r="H2679">
        <v>1</v>
      </c>
      <c r="I2679">
        <v>0.52379240000000005</v>
      </c>
      <c r="J2679">
        <v>2014</v>
      </c>
      <c r="K2679">
        <v>6</v>
      </c>
      <c r="L2679">
        <v>19</v>
      </c>
      <c r="M2679" t="s">
        <v>90</v>
      </c>
      <c r="N2679">
        <v>0</v>
      </c>
      <c r="O2679">
        <v>0</v>
      </c>
    </row>
    <row r="2680" spans="1:15" x14ac:dyDescent="0.3">
      <c r="A2680">
        <v>2775</v>
      </c>
      <c r="B2680" s="34">
        <v>41810</v>
      </c>
      <c r="C2680">
        <v>1.3606</v>
      </c>
      <c r="D2680">
        <v>0</v>
      </c>
      <c r="F2680">
        <v>0.43756999999999802</v>
      </c>
      <c r="G2680">
        <v>22.663485330505502</v>
      </c>
      <c r="H2680">
        <v>0</v>
      </c>
      <c r="I2680">
        <v>0.52360359999999995</v>
      </c>
      <c r="J2680">
        <v>2014</v>
      </c>
      <c r="K2680">
        <v>6</v>
      </c>
      <c r="L2680">
        <v>20</v>
      </c>
      <c r="M2680" t="s">
        <v>91</v>
      </c>
      <c r="N2680">
        <v>0</v>
      </c>
      <c r="O2680">
        <v>0</v>
      </c>
    </row>
    <row r="2681" spans="1:15" x14ac:dyDescent="0.3">
      <c r="A2681">
        <v>2776</v>
      </c>
      <c r="B2681" s="34">
        <v>41813</v>
      </c>
      <c r="C2681">
        <v>1.35995</v>
      </c>
      <c r="D2681">
        <v>0</v>
      </c>
      <c r="F2681">
        <v>0.43756999999999802</v>
      </c>
      <c r="G2681">
        <v>22.663485330505502</v>
      </c>
      <c r="H2681">
        <v>1</v>
      </c>
      <c r="I2681">
        <v>0.5237752</v>
      </c>
      <c r="J2681">
        <v>2014</v>
      </c>
      <c r="K2681">
        <v>6</v>
      </c>
      <c r="L2681">
        <v>23</v>
      </c>
      <c r="M2681" t="s">
        <v>92</v>
      </c>
      <c r="N2681">
        <v>0</v>
      </c>
      <c r="O2681">
        <v>0</v>
      </c>
    </row>
    <row r="2682" spans="1:15" x14ac:dyDescent="0.3">
      <c r="A2682">
        <v>2777</v>
      </c>
      <c r="B2682" s="34">
        <v>41814</v>
      </c>
      <c r="C2682">
        <v>1.3603499999999999</v>
      </c>
      <c r="D2682">
        <v>0</v>
      </c>
      <c r="F2682">
        <v>0.43756999999999802</v>
      </c>
      <c r="G2682">
        <v>22.663485330505502</v>
      </c>
      <c r="H2682">
        <v>0</v>
      </c>
      <c r="I2682">
        <v>0.52358660000000001</v>
      </c>
      <c r="J2682">
        <v>2014</v>
      </c>
      <c r="K2682">
        <v>6</v>
      </c>
      <c r="L2682">
        <v>24</v>
      </c>
      <c r="M2682" t="s">
        <v>93</v>
      </c>
      <c r="N2682">
        <v>0</v>
      </c>
      <c r="O2682">
        <v>0</v>
      </c>
    </row>
    <row r="2683" spans="1:15" x14ac:dyDescent="0.3">
      <c r="A2683">
        <v>2778</v>
      </c>
      <c r="B2683" s="34">
        <v>41815</v>
      </c>
      <c r="C2683">
        <v>1.3602799999999999</v>
      </c>
      <c r="D2683">
        <v>0</v>
      </c>
      <c r="F2683">
        <v>0.43756999999999802</v>
      </c>
      <c r="G2683">
        <v>22.663485330505502</v>
      </c>
      <c r="H2683">
        <v>1</v>
      </c>
      <c r="I2683">
        <v>0.5237581</v>
      </c>
      <c r="J2683">
        <v>2014</v>
      </c>
      <c r="K2683">
        <v>6</v>
      </c>
      <c r="L2683">
        <v>25</v>
      </c>
      <c r="M2683" t="s">
        <v>89</v>
      </c>
      <c r="N2683">
        <v>0</v>
      </c>
      <c r="O2683">
        <v>0</v>
      </c>
    </row>
    <row r="2684" spans="1:15" x14ac:dyDescent="0.3">
      <c r="A2684">
        <v>2779</v>
      </c>
      <c r="B2684" s="34">
        <v>41816</v>
      </c>
      <c r="C2684">
        <v>1.3630599999999999</v>
      </c>
      <c r="D2684">
        <v>0</v>
      </c>
      <c r="F2684">
        <v>0.43756999999999802</v>
      </c>
      <c r="G2684">
        <v>22.663485330505502</v>
      </c>
      <c r="H2684">
        <v>0</v>
      </c>
      <c r="I2684">
        <v>0.52356959999999997</v>
      </c>
      <c r="J2684">
        <v>2014</v>
      </c>
      <c r="K2684">
        <v>6</v>
      </c>
      <c r="L2684">
        <v>26</v>
      </c>
      <c r="M2684" t="s">
        <v>90</v>
      </c>
      <c r="N2684">
        <v>0</v>
      </c>
      <c r="O2684">
        <v>0</v>
      </c>
    </row>
    <row r="2685" spans="1:15" x14ac:dyDescent="0.3">
      <c r="A2685">
        <v>2780</v>
      </c>
      <c r="B2685" s="34">
        <v>41817</v>
      </c>
      <c r="C2685">
        <v>1.3612</v>
      </c>
      <c r="D2685">
        <v>0</v>
      </c>
      <c r="F2685">
        <v>0.43756999999999802</v>
      </c>
      <c r="G2685">
        <v>22.663485330505502</v>
      </c>
      <c r="H2685">
        <v>1</v>
      </c>
      <c r="I2685">
        <v>0.52374100000000001</v>
      </c>
      <c r="J2685">
        <v>2014</v>
      </c>
      <c r="K2685">
        <v>6</v>
      </c>
      <c r="L2685">
        <v>27</v>
      </c>
      <c r="M2685" t="s">
        <v>91</v>
      </c>
      <c r="N2685">
        <v>0</v>
      </c>
      <c r="O2685">
        <v>0</v>
      </c>
    </row>
    <row r="2686" spans="1:15" x14ac:dyDescent="0.3">
      <c r="A2686">
        <v>2781</v>
      </c>
      <c r="B2686" s="34">
        <v>41820</v>
      </c>
      <c r="C2686">
        <v>1.3648800000000001</v>
      </c>
      <c r="D2686">
        <v>-9</v>
      </c>
      <c r="F2686">
        <v>0.43317999999999801</v>
      </c>
      <c r="G2686">
        <v>23.4393778720396</v>
      </c>
      <c r="H2686">
        <v>0</v>
      </c>
      <c r="I2686">
        <v>0.52355269999999998</v>
      </c>
      <c r="J2686">
        <v>2014</v>
      </c>
      <c r="K2686">
        <v>6</v>
      </c>
      <c r="L2686">
        <v>30</v>
      </c>
      <c r="M2686" t="s">
        <v>92</v>
      </c>
      <c r="N2686">
        <v>0</v>
      </c>
      <c r="O2686">
        <v>0</v>
      </c>
    </row>
    <row r="2687" spans="1:15" x14ac:dyDescent="0.3">
      <c r="A2687">
        <v>2782</v>
      </c>
      <c r="B2687" s="34">
        <v>41821</v>
      </c>
      <c r="C2687">
        <v>1.36927</v>
      </c>
      <c r="D2687">
        <v>0</v>
      </c>
      <c r="F2687">
        <v>0.43317999999999801</v>
      </c>
      <c r="G2687">
        <v>23.4393778720396</v>
      </c>
      <c r="H2687">
        <v>0</v>
      </c>
      <c r="I2687">
        <v>0.52336450000000001</v>
      </c>
      <c r="J2687">
        <v>2014</v>
      </c>
      <c r="K2687">
        <v>7</v>
      </c>
      <c r="L2687">
        <v>1</v>
      </c>
      <c r="M2687" t="s">
        <v>93</v>
      </c>
      <c r="N2687">
        <v>0</v>
      </c>
      <c r="O2687">
        <v>0</v>
      </c>
    </row>
    <row r="2688" spans="1:15" x14ac:dyDescent="0.3">
      <c r="A2688">
        <v>2783</v>
      </c>
      <c r="B2688" s="34">
        <v>41822</v>
      </c>
      <c r="C2688">
        <v>1.3678699999999999</v>
      </c>
      <c r="D2688">
        <v>0</v>
      </c>
      <c r="F2688">
        <v>0.43317999999999801</v>
      </c>
      <c r="G2688">
        <v>23.4393778720396</v>
      </c>
      <c r="H2688">
        <v>1</v>
      </c>
      <c r="I2688">
        <v>0.52353570000000005</v>
      </c>
      <c r="J2688">
        <v>2014</v>
      </c>
      <c r="K2688">
        <v>7</v>
      </c>
      <c r="L2688">
        <v>2</v>
      </c>
      <c r="M2688" t="s">
        <v>89</v>
      </c>
      <c r="N2688">
        <v>0</v>
      </c>
      <c r="O2688">
        <v>0</v>
      </c>
    </row>
    <row r="2689" spans="1:15" x14ac:dyDescent="0.3">
      <c r="A2689">
        <v>2784</v>
      </c>
      <c r="B2689" s="34">
        <v>41823</v>
      </c>
      <c r="C2689">
        <v>1.3656699999999999</v>
      </c>
      <c r="D2689">
        <v>0</v>
      </c>
      <c r="F2689">
        <v>0.43317999999999801</v>
      </c>
      <c r="G2689">
        <v>23.4393778720396</v>
      </c>
      <c r="H2689">
        <v>1</v>
      </c>
      <c r="I2689">
        <v>0.52370689999999998</v>
      </c>
      <c r="J2689">
        <v>2014</v>
      </c>
      <c r="K2689">
        <v>7</v>
      </c>
      <c r="L2689">
        <v>3</v>
      </c>
      <c r="M2689" t="s">
        <v>90</v>
      </c>
      <c r="N2689">
        <v>0</v>
      </c>
      <c r="O2689">
        <v>0</v>
      </c>
    </row>
    <row r="2690" spans="1:15" x14ac:dyDescent="0.3">
      <c r="A2690">
        <v>2785</v>
      </c>
      <c r="B2690" s="34">
        <v>41824</v>
      </c>
      <c r="C2690">
        <v>1.3608800000000001</v>
      </c>
      <c r="D2690">
        <v>0</v>
      </c>
      <c r="F2690">
        <v>0.43317999999999801</v>
      </c>
      <c r="G2690">
        <v>23.4393778720396</v>
      </c>
      <c r="H2690">
        <v>0</v>
      </c>
      <c r="I2690">
        <v>0.52351890000000001</v>
      </c>
      <c r="J2690">
        <v>2014</v>
      </c>
      <c r="K2690">
        <v>7</v>
      </c>
      <c r="L2690">
        <v>4</v>
      </c>
      <c r="M2690" t="s">
        <v>91</v>
      </c>
      <c r="N2690">
        <v>0</v>
      </c>
      <c r="O2690">
        <v>0</v>
      </c>
    </row>
    <row r="2691" spans="1:15" x14ac:dyDescent="0.3">
      <c r="A2691">
        <v>2786</v>
      </c>
      <c r="B2691" s="34">
        <v>41827</v>
      </c>
      <c r="C2691">
        <v>1.35944</v>
      </c>
      <c r="D2691">
        <v>0</v>
      </c>
      <c r="F2691">
        <v>0.43317999999999801</v>
      </c>
      <c r="G2691">
        <v>23.4393778720396</v>
      </c>
      <c r="H2691">
        <v>0</v>
      </c>
      <c r="I2691">
        <v>0.52333090000000004</v>
      </c>
      <c r="J2691">
        <v>2014</v>
      </c>
      <c r="K2691">
        <v>7</v>
      </c>
      <c r="L2691">
        <v>7</v>
      </c>
      <c r="M2691" t="s">
        <v>92</v>
      </c>
      <c r="N2691">
        <v>0</v>
      </c>
      <c r="O2691">
        <v>0</v>
      </c>
    </row>
    <row r="2692" spans="1:15" x14ac:dyDescent="0.3">
      <c r="A2692">
        <v>2787</v>
      </c>
      <c r="B2692" s="34">
        <v>41828</v>
      </c>
      <c r="C2692">
        <v>1.36056</v>
      </c>
      <c r="D2692">
        <v>0</v>
      </c>
      <c r="F2692">
        <v>0.43317999999999801</v>
      </c>
      <c r="G2692">
        <v>23.4393778720396</v>
      </c>
      <c r="H2692">
        <v>1</v>
      </c>
      <c r="I2692">
        <v>0.52350200000000002</v>
      </c>
      <c r="J2692">
        <v>2014</v>
      </c>
      <c r="K2692">
        <v>7</v>
      </c>
      <c r="L2692">
        <v>8</v>
      </c>
      <c r="M2692" t="s">
        <v>93</v>
      </c>
      <c r="N2692">
        <v>0</v>
      </c>
      <c r="O2692">
        <v>0</v>
      </c>
    </row>
    <row r="2693" spans="1:15" x14ac:dyDescent="0.3">
      <c r="A2693">
        <v>2788</v>
      </c>
      <c r="B2693" s="34">
        <v>41829</v>
      </c>
      <c r="C2693">
        <v>1.36117</v>
      </c>
      <c r="D2693">
        <v>0</v>
      </c>
      <c r="F2693">
        <v>0.43317999999999801</v>
      </c>
      <c r="G2693">
        <v>23.4393778720396</v>
      </c>
      <c r="H2693">
        <v>0</v>
      </c>
      <c r="I2693">
        <v>0.52331419999999995</v>
      </c>
      <c r="J2693">
        <v>2014</v>
      </c>
      <c r="K2693">
        <v>7</v>
      </c>
      <c r="L2693">
        <v>9</v>
      </c>
      <c r="M2693" t="s">
        <v>89</v>
      </c>
      <c r="N2693">
        <v>0</v>
      </c>
      <c r="O2693">
        <v>0</v>
      </c>
    </row>
    <row r="2694" spans="1:15" x14ac:dyDescent="0.3">
      <c r="A2694">
        <v>2789</v>
      </c>
      <c r="B2694" s="34">
        <v>41830</v>
      </c>
      <c r="C2694">
        <v>1.3640399999999999</v>
      </c>
      <c r="D2694">
        <v>0</v>
      </c>
      <c r="F2694">
        <v>0.43317999999999801</v>
      </c>
      <c r="G2694">
        <v>23.4393778720396</v>
      </c>
      <c r="H2694">
        <v>0</v>
      </c>
      <c r="I2694">
        <v>0.52312650000000005</v>
      </c>
      <c r="J2694">
        <v>2014</v>
      </c>
      <c r="K2694">
        <v>7</v>
      </c>
      <c r="L2694">
        <v>10</v>
      </c>
      <c r="M2694" t="s">
        <v>90</v>
      </c>
      <c r="N2694">
        <v>0</v>
      </c>
      <c r="O2694">
        <v>0</v>
      </c>
    </row>
    <row r="2695" spans="1:15" x14ac:dyDescent="0.3">
      <c r="A2695">
        <v>2790</v>
      </c>
      <c r="B2695" s="34">
        <v>41831</v>
      </c>
      <c r="C2695">
        <v>1.36063</v>
      </c>
      <c r="D2695">
        <v>0</v>
      </c>
      <c r="F2695">
        <v>0.43317999999999801</v>
      </c>
      <c r="G2695">
        <v>23.4393778720396</v>
      </c>
      <c r="H2695">
        <v>1</v>
      </c>
      <c r="I2695">
        <v>0.52329749999999997</v>
      </c>
      <c r="J2695">
        <v>2014</v>
      </c>
      <c r="K2695">
        <v>7</v>
      </c>
      <c r="L2695">
        <v>11</v>
      </c>
      <c r="M2695" t="s">
        <v>91</v>
      </c>
      <c r="N2695">
        <v>0</v>
      </c>
      <c r="O2695">
        <v>0</v>
      </c>
    </row>
    <row r="2696" spans="1:15" x14ac:dyDescent="0.3">
      <c r="A2696">
        <v>2791</v>
      </c>
      <c r="B2696" s="34">
        <v>41834</v>
      </c>
      <c r="C2696">
        <v>1.36032</v>
      </c>
      <c r="D2696">
        <v>0</v>
      </c>
      <c r="F2696">
        <v>0.43317999999999801</v>
      </c>
      <c r="G2696">
        <v>23.4393778720396</v>
      </c>
      <c r="H2696">
        <v>1</v>
      </c>
      <c r="I2696">
        <v>0.5234683</v>
      </c>
      <c r="J2696">
        <v>2014</v>
      </c>
      <c r="K2696">
        <v>7</v>
      </c>
      <c r="L2696">
        <v>14</v>
      </c>
      <c r="M2696" t="s">
        <v>92</v>
      </c>
      <c r="N2696">
        <v>0</v>
      </c>
      <c r="O2696">
        <v>0</v>
      </c>
    </row>
    <row r="2697" spans="1:15" x14ac:dyDescent="0.3">
      <c r="A2697">
        <v>2792</v>
      </c>
      <c r="B2697" s="34">
        <v>41835</v>
      </c>
      <c r="C2697">
        <v>1.3620699999999999</v>
      </c>
      <c r="D2697">
        <v>0</v>
      </c>
      <c r="F2697">
        <v>0.43317999999999801</v>
      </c>
      <c r="G2697">
        <v>23.4393778720396</v>
      </c>
      <c r="H2697">
        <v>1</v>
      </c>
      <c r="I2697">
        <v>0.52363899999999997</v>
      </c>
      <c r="J2697">
        <v>2014</v>
      </c>
      <c r="K2697">
        <v>7</v>
      </c>
      <c r="L2697">
        <v>15</v>
      </c>
      <c r="M2697" t="s">
        <v>93</v>
      </c>
      <c r="N2697">
        <v>0</v>
      </c>
      <c r="O2697">
        <v>0</v>
      </c>
    </row>
    <row r="2698" spans="1:15" x14ac:dyDescent="0.3">
      <c r="A2698">
        <v>2793</v>
      </c>
      <c r="B2698" s="34">
        <v>41836</v>
      </c>
      <c r="C2698">
        <v>1.3567899999999999</v>
      </c>
      <c r="D2698">
        <v>0</v>
      </c>
      <c r="F2698">
        <v>0.43317999999999801</v>
      </c>
      <c r="G2698">
        <v>23.4393778720396</v>
      </c>
      <c r="H2698">
        <v>1</v>
      </c>
      <c r="I2698">
        <v>0.52380959999999999</v>
      </c>
      <c r="J2698">
        <v>2014</v>
      </c>
      <c r="K2698">
        <v>7</v>
      </c>
      <c r="L2698">
        <v>16</v>
      </c>
      <c r="M2698" t="s">
        <v>89</v>
      </c>
      <c r="N2698">
        <v>0</v>
      </c>
      <c r="O2698">
        <v>0</v>
      </c>
    </row>
    <row r="2699" spans="1:15" x14ac:dyDescent="0.3">
      <c r="A2699">
        <v>2794</v>
      </c>
      <c r="B2699" s="34">
        <v>41837</v>
      </c>
      <c r="C2699">
        <v>1.3525100000000001</v>
      </c>
      <c r="D2699">
        <v>0</v>
      </c>
      <c r="F2699">
        <v>0.43317999999999801</v>
      </c>
      <c r="G2699">
        <v>23.4393778720396</v>
      </c>
      <c r="H2699">
        <v>0</v>
      </c>
      <c r="I2699">
        <v>0.52362200000000003</v>
      </c>
      <c r="J2699">
        <v>2014</v>
      </c>
      <c r="K2699">
        <v>7</v>
      </c>
      <c r="L2699">
        <v>17</v>
      </c>
      <c r="M2699" t="s">
        <v>90</v>
      </c>
      <c r="N2699">
        <v>0</v>
      </c>
      <c r="O2699">
        <v>0</v>
      </c>
    </row>
    <row r="2700" spans="1:15" x14ac:dyDescent="0.3">
      <c r="A2700">
        <v>2795</v>
      </c>
      <c r="B2700" s="34">
        <v>41838</v>
      </c>
      <c r="C2700">
        <v>1.3525799999999999</v>
      </c>
      <c r="D2700">
        <v>0</v>
      </c>
      <c r="F2700">
        <v>0.43317999999999801</v>
      </c>
      <c r="G2700">
        <v>23.4393778720396</v>
      </c>
      <c r="H2700">
        <v>1</v>
      </c>
      <c r="I2700">
        <v>0.52379249999999999</v>
      </c>
      <c r="J2700">
        <v>2014</v>
      </c>
      <c r="K2700">
        <v>7</v>
      </c>
      <c r="L2700">
        <v>18</v>
      </c>
      <c r="M2700" t="s">
        <v>91</v>
      </c>
      <c r="N2700">
        <v>0</v>
      </c>
      <c r="O2700">
        <v>0</v>
      </c>
    </row>
    <row r="2701" spans="1:15" x14ac:dyDescent="0.3">
      <c r="A2701">
        <v>2796</v>
      </c>
      <c r="B2701" s="34">
        <v>41841</v>
      </c>
      <c r="C2701">
        <v>1.3520300000000001</v>
      </c>
      <c r="D2701">
        <v>0</v>
      </c>
      <c r="F2701">
        <v>0.43317999999999801</v>
      </c>
      <c r="G2701">
        <v>23.4393778720396</v>
      </c>
      <c r="H2701">
        <v>0</v>
      </c>
      <c r="I2701">
        <v>0.52360519999999999</v>
      </c>
      <c r="J2701">
        <v>2014</v>
      </c>
      <c r="K2701">
        <v>7</v>
      </c>
      <c r="L2701">
        <v>21</v>
      </c>
      <c r="M2701" t="s">
        <v>92</v>
      </c>
      <c r="N2701">
        <v>0</v>
      </c>
      <c r="O2701">
        <v>0</v>
      </c>
    </row>
    <row r="2702" spans="1:15" x14ac:dyDescent="0.3">
      <c r="A2702">
        <v>2797</v>
      </c>
      <c r="B2702" s="34">
        <v>41842</v>
      </c>
      <c r="C2702">
        <v>1.3522099999999999</v>
      </c>
      <c r="D2702">
        <v>0</v>
      </c>
      <c r="F2702">
        <v>0.43317999999999801</v>
      </c>
      <c r="G2702">
        <v>23.4393778720396</v>
      </c>
      <c r="H2702">
        <v>1</v>
      </c>
      <c r="I2702">
        <v>0.52377549999999995</v>
      </c>
      <c r="J2702">
        <v>2014</v>
      </c>
      <c r="K2702">
        <v>7</v>
      </c>
      <c r="L2702">
        <v>22</v>
      </c>
      <c r="M2702" t="s">
        <v>93</v>
      </c>
      <c r="N2702">
        <v>0</v>
      </c>
      <c r="O2702">
        <v>0</v>
      </c>
    </row>
    <row r="2703" spans="1:15" x14ac:dyDescent="0.3">
      <c r="A2703">
        <v>2798</v>
      </c>
      <c r="B2703" s="34">
        <v>41843</v>
      </c>
      <c r="C2703">
        <v>1.34659</v>
      </c>
      <c r="D2703">
        <v>0</v>
      </c>
      <c r="F2703">
        <v>0.43317999999999801</v>
      </c>
      <c r="G2703">
        <v>23.4393778720396</v>
      </c>
      <c r="H2703">
        <v>1</v>
      </c>
      <c r="I2703">
        <v>0.52394569999999996</v>
      </c>
      <c r="J2703">
        <v>2014</v>
      </c>
      <c r="K2703">
        <v>7</v>
      </c>
      <c r="L2703">
        <v>23</v>
      </c>
      <c r="M2703" t="s">
        <v>89</v>
      </c>
      <c r="N2703">
        <v>0</v>
      </c>
      <c r="O2703">
        <v>0</v>
      </c>
    </row>
    <row r="2704" spans="1:15" x14ac:dyDescent="0.3">
      <c r="A2704">
        <v>2799</v>
      </c>
      <c r="B2704" s="34">
        <v>41844</v>
      </c>
      <c r="C2704">
        <v>1.34622</v>
      </c>
      <c r="D2704">
        <v>0</v>
      </c>
      <c r="F2704">
        <v>0.43317999999999801</v>
      </c>
      <c r="G2704">
        <v>23.4393778720396</v>
      </c>
      <c r="H2704">
        <v>0</v>
      </c>
      <c r="I2704">
        <v>0.52375850000000002</v>
      </c>
      <c r="J2704">
        <v>2014</v>
      </c>
      <c r="K2704">
        <v>7</v>
      </c>
      <c r="L2704">
        <v>24</v>
      </c>
      <c r="M2704" t="s">
        <v>90</v>
      </c>
      <c r="N2704">
        <v>0</v>
      </c>
      <c r="O2704">
        <v>0</v>
      </c>
    </row>
    <row r="2705" spans="1:15" x14ac:dyDescent="0.3">
      <c r="A2705">
        <v>2800</v>
      </c>
      <c r="B2705" s="34">
        <v>41845</v>
      </c>
      <c r="C2705">
        <v>1.34622</v>
      </c>
      <c r="D2705">
        <v>10</v>
      </c>
      <c r="E2705" t="s">
        <v>415</v>
      </c>
      <c r="F2705">
        <v>0.429839999999998</v>
      </c>
      <c r="G2705">
        <v>24.029692470837698</v>
      </c>
      <c r="H2705">
        <v>0.5</v>
      </c>
      <c r="I2705">
        <v>0.52375000000000005</v>
      </c>
      <c r="J2705">
        <v>2014</v>
      </c>
      <c r="K2705">
        <v>7</v>
      </c>
      <c r="L2705">
        <v>25</v>
      </c>
      <c r="M2705" t="s">
        <v>91</v>
      </c>
      <c r="N2705">
        <v>0</v>
      </c>
      <c r="O2705">
        <v>0</v>
      </c>
    </row>
    <row r="2706" spans="1:15" x14ac:dyDescent="0.3">
      <c r="A2706">
        <v>2801</v>
      </c>
      <c r="B2706" s="34">
        <v>41848</v>
      </c>
      <c r="C2706">
        <v>1.3428800000000001</v>
      </c>
      <c r="D2706">
        <v>0</v>
      </c>
      <c r="F2706">
        <v>0.429839999999998</v>
      </c>
      <c r="G2706">
        <v>24.029692470837698</v>
      </c>
      <c r="H2706">
        <v>1</v>
      </c>
      <c r="I2706">
        <v>0.52392000000000005</v>
      </c>
      <c r="J2706">
        <v>2014</v>
      </c>
      <c r="K2706">
        <v>7</v>
      </c>
      <c r="L2706">
        <v>28</v>
      </c>
      <c r="M2706" t="s">
        <v>92</v>
      </c>
      <c r="N2706">
        <v>0</v>
      </c>
      <c r="O2706">
        <v>0</v>
      </c>
    </row>
    <row r="2707" spans="1:15" x14ac:dyDescent="0.3">
      <c r="A2707">
        <v>2802</v>
      </c>
      <c r="B2707" s="34">
        <v>41849</v>
      </c>
      <c r="C2707">
        <v>1.3439300000000001</v>
      </c>
      <c r="D2707">
        <v>0</v>
      </c>
      <c r="F2707">
        <v>0.429839999999998</v>
      </c>
      <c r="G2707">
        <v>24.029692470837698</v>
      </c>
      <c r="H2707">
        <v>1</v>
      </c>
      <c r="I2707">
        <v>0.5240899</v>
      </c>
      <c r="J2707">
        <v>2014</v>
      </c>
      <c r="K2707">
        <v>7</v>
      </c>
      <c r="L2707">
        <v>29</v>
      </c>
      <c r="M2707" t="s">
        <v>93</v>
      </c>
      <c r="N2707">
        <v>0</v>
      </c>
      <c r="O2707">
        <v>0</v>
      </c>
    </row>
    <row r="2708" spans="1:15" x14ac:dyDescent="0.3">
      <c r="A2708">
        <v>2803</v>
      </c>
      <c r="B2708" s="34">
        <v>41850</v>
      </c>
      <c r="C2708">
        <v>1.34087</v>
      </c>
      <c r="D2708">
        <v>0</v>
      </c>
      <c r="F2708">
        <v>0.429839999999998</v>
      </c>
      <c r="G2708">
        <v>24.029692470837698</v>
      </c>
      <c r="H2708">
        <v>0</v>
      </c>
      <c r="I2708">
        <v>0.52390300000000001</v>
      </c>
      <c r="J2708">
        <v>2014</v>
      </c>
      <c r="K2708">
        <v>7</v>
      </c>
      <c r="L2708">
        <v>30</v>
      </c>
      <c r="M2708" t="s">
        <v>89</v>
      </c>
      <c r="N2708">
        <v>0</v>
      </c>
      <c r="O2708">
        <v>0</v>
      </c>
    </row>
    <row r="2709" spans="1:15" x14ac:dyDescent="0.3">
      <c r="A2709">
        <v>2804</v>
      </c>
      <c r="B2709" s="34">
        <v>41851</v>
      </c>
      <c r="C2709">
        <v>1.33945</v>
      </c>
      <c r="D2709">
        <v>0</v>
      </c>
      <c r="F2709">
        <v>0.429839999999998</v>
      </c>
      <c r="G2709">
        <v>24.029692470837698</v>
      </c>
      <c r="H2709">
        <v>0</v>
      </c>
      <c r="I2709">
        <v>0.52371610000000002</v>
      </c>
      <c r="J2709">
        <v>2014</v>
      </c>
      <c r="K2709">
        <v>7</v>
      </c>
      <c r="L2709">
        <v>31</v>
      </c>
      <c r="M2709" t="s">
        <v>90</v>
      </c>
      <c r="N2709">
        <v>0</v>
      </c>
      <c r="O2709">
        <v>0</v>
      </c>
    </row>
    <row r="2710" spans="1:15" x14ac:dyDescent="0.3">
      <c r="A2710">
        <v>2805</v>
      </c>
      <c r="B2710" s="34">
        <v>41852</v>
      </c>
      <c r="C2710">
        <v>1.33877</v>
      </c>
      <c r="D2710">
        <v>0</v>
      </c>
      <c r="F2710">
        <v>0.429839999999998</v>
      </c>
      <c r="G2710">
        <v>24.029692470837698</v>
      </c>
      <c r="H2710">
        <v>0</v>
      </c>
      <c r="I2710">
        <v>0.52352940000000003</v>
      </c>
      <c r="J2710">
        <v>2014</v>
      </c>
      <c r="K2710">
        <v>8</v>
      </c>
      <c r="L2710">
        <v>1</v>
      </c>
      <c r="M2710" t="s">
        <v>91</v>
      </c>
      <c r="N2710">
        <v>0</v>
      </c>
      <c r="O2710">
        <v>0</v>
      </c>
    </row>
    <row r="2711" spans="1:15" x14ac:dyDescent="0.3">
      <c r="A2711">
        <v>2806</v>
      </c>
      <c r="B2711" s="34">
        <v>41855</v>
      </c>
      <c r="C2711">
        <v>1.3426400000000001</v>
      </c>
      <c r="D2711">
        <v>0</v>
      </c>
      <c r="F2711">
        <v>0.429839999999998</v>
      </c>
      <c r="G2711">
        <v>24.029692470837698</v>
      </c>
      <c r="H2711">
        <v>1</v>
      </c>
      <c r="I2711">
        <v>0.52369920000000003</v>
      </c>
      <c r="J2711">
        <v>2014</v>
      </c>
      <c r="K2711">
        <v>8</v>
      </c>
      <c r="L2711">
        <v>4</v>
      </c>
      <c r="M2711" t="s">
        <v>92</v>
      </c>
      <c r="N2711">
        <v>0</v>
      </c>
      <c r="O2711">
        <v>0</v>
      </c>
    </row>
    <row r="2712" spans="1:15" x14ac:dyDescent="0.3">
      <c r="A2712">
        <v>2807</v>
      </c>
      <c r="B2712" s="34">
        <v>41856</v>
      </c>
      <c r="C2712">
        <v>1.3421799999999999</v>
      </c>
      <c r="D2712">
        <v>0</v>
      </c>
      <c r="F2712">
        <v>0.429839999999998</v>
      </c>
      <c r="G2712">
        <v>24.029692470837698</v>
      </c>
      <c r="H2712">
        <v>1</v>
      </c>
      <c r="I2712">
        <v>0.52386889999999997</v>
      </c>
      <c r="J2712">
        <v>2014</v>
      </c>
      <c r="K2712">
        <v>8</v>
      </c>
      <c r="L2712">
        <v>5</v>
      </c>
      <c r="M2712" t="s">
        <v>93</v>
      </c>
      <c r="N2712">
        <v>0</v>
      </c>
      <c r="O2712">
        <v>0</v>
      </c>
    </row>
    <row r="2713" spans="1:15" x14ac:dyDescent="0.3">
      <c r="A2713">
        <v>2808</v>
      </c>
      <c r="B2713" s="34">
        <v>41857</v>
      </c>
      <c r="C2713">
        <v>1.3371200000000001</v>
      </c>
      <c r="D2713">
        <v>0</v>
      </c>
      <c r="F2713">
        <v>0.429839999999998</v>
      </c>
      <c r="G2713">
        <v>24.029692470837698</v>
      </c>
      <c r="H2713">
        <v>1</v>
      </c>
      <c r="I2713">
        <v>0.52403840000000002</v>
      </c>
      <c r="J2713">
        <v>2014</v>
      </c>
      <c r="K2713">
        <v>8</v>
      </c>
      <c r="L2713">
        <v>6</v>
      </c>
      <c r="M2713" t="s">
        <v>89</v>
      </c>
      <c r="N2713">
        <v>0</v>
      </c>
      <c r="O2713">
        <v>0</v>
      </c>
    </row>
    <row r="2714" spans="1:15" x14ac:dyDescent="0.3">
      <c r="A2714">
        <v>2809</v>
      </c>
      <c r="B2714" s="34">
        <v>41858</v>
      </c>
      <c r="C2714">
        <v>1.3383799999999999</v>
      </c>
      <c r="D2714">
        <v>0</v>
      </c>
      <c r="F2714">
        <v>0.429839999999998</v>
      </c>
      <c r="G2714">
        <v>24.029692470837698</v>
      </c>
      <c r="H2714">
        <v>1</v>
      </c>
      <c r="I2714">
        <v>0.52420789999999995</v>
      </c>
      <c r="J2714">
        <v>2014</v>
      </c>
      <c r="K2714">
        <v>8</v>
      </c>
      <c r="L2714">
        <v>7</v>
      </c>
      <c r="M2714" t="s">
        <v>90</v>
      </c>
      <c r="N2714">
        <v>0</v>
      </c>
      <c r="O2714">
        <v>0</v>
      </c>
    </row>
    <row r="2715" spans="1:15" x14ac:dyDescent="0.3">
      <c r="A2715">
        <v>2810</v>
      </c>
      <c r="B2715" s="34">
        <v>41859</v>
      </c>
      <c r="C2715">
        <v>1.3361400000000001</v>
      </c>
      <c r="D2715">
        <v>0</v>
      </c>
      <c r="F2715">
        <v>0.429839999999998</v>
      </c>
      <c r="G2715">
        <v>24.029692470837698</v>
      </c>
      <c r="H2715">
        <v>0</v>
      </c>
      <c r="I2715">
        <v>0.52402130000000002</v>
      </c>
      <c r="J2715">
        <v>2014</v>
      </c>
      <c r="K2715">
        <v>8</v>
      </c>
      <c r="L2715">
        <v>8</v>
      </c>
      <c r="M2715" t="s">
        <v>91</v>
      </c>
      <c r="N2715">
        <v>0</v>
      </c>
      <c r="O2715">
        <v>0</v>
      </c>
    </row>
    <row r="2716" spans="1:15" x14ac:dyDescent="0.3">
      <c r="A2716">
        <v>2811</v>
      </c>
      <c r="B2716" s="34">
        <v>41862</v>
      </c>
      <c r="C2716">
        <v>1.34094</v>
      </c>
      <c r="D2716">
        <v>0</v>
      </c>
      <c r="F2716">
        <v>0.429839999999998</v>
      </c>
      <c r="G2716">
        <v>24.029692470837698</v>
      </c>
      <c r="H2716">
        <v>1</v>
      </c>
      <c r="I2716">
        <v>0.52419070000000001</v>
      </c>
      <c r="J2716">
        <v>2014</v>
      </c>
      <c r="K2716">
        <v>8</v>
      </c>
      <c r="L2716">
        <v>11</v>
      </c>
      <c r="M2716" t="s">
        <v>92</v>
      </c>
      <c r="N2716">
        <v>0</v>
      </c>
      <c r="O2716">
        <v>0</v>
      </c>
    </row>
    <row r="2717" spans="1:15" x14ac:dyDescent="0.3">
      <c r="A2717">
        <v>2812</v>
      </c>
      <c r="B2717" s="34">
        <v>41863</v>
      </c>
      <c r="C2717">
        <v>1.33843</v>
      </c>
      <c r="D2717">
        <v>0</v>
      </c>
      <c r="F2717">
        <v>0.429839999999998</v>
      </c>
      <c r="G2717">
        <v>24.029692470837698</v>
      </c>
      <c r="H2717">
        <v>1</v>
      </c>
      <c r="I2717">
        <v>0.52435989999999999</v>
      </c>
      <c r="J2717">
        <v>2014</v>
      </c>
      <c r="K2717">
        <v>8</v>
      </c>
      <c r="L2717">
        <v>12</v>
      </c>
      <c r="M2717" t="s">
        <v>93</v>
      </c>
      <c r="N2717">
        <v>0</v>
      </c>
      <c r="O2717">
        <v>0</v>
      </c>
    </row>
    <row r="2718" spans="1:15" x14ac:dyDescent="0.3">
      <c r="A2718">
        <v>2813</v>
      </c>
      <c r="B2718" s="34">
        <v>41864</v>
      </c>
      <c r="C2718">
        <v>1.3367</v>
      </c>
      <c r="D2718">
        <v>0</v>
      </c>
      <c r="F2718">
        <v>0.429839999999998</v>
      </c>
      <c r="G2718">
        <v>24.029692470837698</v>
      </c>
      <c r="H2718">
        <v>1</v>
      </c>
      <c r="I2718">
        <v>0.52452900000000002</v>
      </c>
      <c r="J2718">
        <v>2014</v>
      </c>
      <c r="K2718">
        <v>8</v>
      </c>
      <c r="L2718">
        <v>13</v>
      </c>
      <c r="M2718" t="s">
        <v>89</v>
      </c>
      <c r="N2718">
        <v>0</v>
      </c>
      <c r="O2718">
        <v>0</v>
      </c>
    </row>
    <row r="2719" spans="1:15" x14ac:dyDescent="0.3">
      <c r="A2719">
        <v>2814</v>
      </c>
      <c r="B2719" s="34">
        <v>41865</v>
      </c>
      <c r="C2719">
        <v>1.3363</v>
      </c>
      <c r="D2719">
        <v>0</v>
      </c>
      <c r="F2719">
        <v>0.429839999999998</v>
      </c>
      <c r="G2719">
        <v>24.029692470837698</v>
      </c>
      <c r="H2719">
        <v>0</v>
      </c>
      <c r="I2719">
        <v>0.52434259999999999</v>
      </c>
      <c r="J2719">
        <v>2014</v>
      </c>
      <c r="K2719">
        <v>8</v>
      </c>
      <c r="L2719">
        <v>14</v>
      </c>
      <c r="M2719" t="s">
        <v>90</v>
      </c>
      <c r="N2719">
        <v>0</v>
      </c>
      <c r="O2719">
        <v>0</v>
      </c>
    </row>
    <row r="2720" spans="1:15" x14ac:dyDescent="0.3">
      <c r="A2720">
        <v>2815</v>
      </c>
      <c r="B2720" s="34">
        <v>41866</v>
      </c>
      <c r="C2720">
        <v>1.3363700000000001</v>
      </c>
      <c r="D2720">
        <v>0</v>
      </c>
      <c r="F2720">
        <v>0.429839999999998</v>
      </c>
      <c r="G2720">
        <v>24.029692470837698</v>
      </c>
      <c r="H2720">
        <v>1</v>
      </c>
      <c r="I2720">
        <v>0.52451150000000002</v>
      </c>
      <c r="J2720">
        <v>2014</v>
      </c>
      <c r="K2720">
        <v>8</v>
      </c>
      <c r="L2720">
        <v>15</v>
      </c>
      <c r="M2720" t="s">
        <v>91</v>
      </c>
      <c r="N2720">
        <v>0</v>
      </c>
      <c r="O2720">
        <v>0</v>
      </c>
    </row>
    <row r="2721" spans="1:15" x14ac:dyDescent="0.3">
      <c r="A2721">
        <v>2816</v>
      </c>
      <c r="B2721" s="34">
        <v>41869</v>
      </c>
      <c r="C2721">
        <v>1.33975</v>
      </c>
      <c r="D2721">
        <v>0</v>
      </c>
      <c r="F2721">
        <v>0.429839999999998</v>
      </c>
      <c r="G2721">
        <v>24.029692470837698</v>
      </c>
      <c r="H2721">
        <v>1</v>
      </c>
      <c r="I2721">
        <v>0.52468040000000005</v>
      </c>
      <c r="J2721">
        <v>2014</v>
      </c>
      <c r="K2721">
        <v>8</v>
      </c>
      <c r="L2721">
        <v>18</v>
      </c>
      <c r="M2721" t="s">
        <v>92</v>
      </c>
      <c r="N2721">
        <v>0</v>
      </c>
      <c r="O2721">
        <v>0</v>
      </c>
    </row>
    <row r="2722" spans="1:15" x14ac:dyDescent="0.3">
      <c r="A2722">
        <v>2817</v>
      </c>
      <c r="B2722" s="34">
        <v>41870</v>
      </c>
      <c r="C2722">
        <v>1.3361099999999999</v>
      </c>
      <c r="D2722">
        <v>0</v>
      </c>
      <c r="F2722">
        <v>0.429839999999998</v>
      </c>
      <c r="G2722">
        <v>24.029692470837698</v>
      </c>
      <c r="H2722">
        <v>1</v>
      </c>
      <c r="I2722">
        <v>0.52484909999999996</v>
      </c>
      <c r="J2722">
        <v>2014</v>
      </c>
      <c r="K2722">
        <v>8</v>
      </c>
      <c r="L2722">
        <v>19</v>
      </c>
      <c r="M2722" t="s">
        <v>93</v>
      </c>
      <c r="N2722">
        <v>0</v>
      </c>
      <c r="O2722">
        <v>0</v>
      </c>
    </row>
    <row r="2723" spans="1:15" x14ac:dyDescent="0.3">
      <c r="A2723">
        <v>2818</v>
      </c>
      <c r="B2723" s="34">
        <v>41871</v>
      </c>
      <c r="C2723">
        <v>1.3317399999999999</v>
      </c>
      <c r="D2723">
        <v>0</v>
      </c>
      <c r="F2723">
        <v>0.429839999999998</v>
      </c>
      <c r="G2723">
        <v>24.029692470837698</v>
      </c>
      <c r="H2723">
        <v>0</v>
      </c>
      <c r="I2723">
        <v>0.52466290000000004</v>
      </c>
      <c r="J2723">
        <v>2014</v>
      </c>
      <c r="K2723">
        <v>8</v>
      </c>
      <c r="L2723">
        <v>20</v>
      </c>
      <c r="M2723" t="s">
        <v>89</v>
      </c>
      <c r="N2723">
        <v>0</v>
      </c>
      <c r="O2723">
        <v>0</v>
      </c>
    </row>
    <row r="2724" spans="1:15" x14ac:dyDescent="0.3">
      <c r="A2724">
        <v>2819</v>
      </c>
      <c r="B2724" s="34">
        <v>41872</v>
      </c>
      <c r="C2724">
        <v>1.32576</v>
      </c>
      <c r="D2724">
        <v>0</v>
      </c>
      <c r="F2724">
        <v>0.429839999999998</v>
      </c>
      <c r="G2724">
        <v>24.029692470837698</v>
      </c>
      <c r="H2724">
        <v>0</v>
      </c>
      <c r="I2724">
        <v>0.52447679999999997</v>
      </c>
      <c r="J2724">
        <v>2014</v>
      </c>
      <c r="K2724">
        <v>8</v>
      </c>
      <c r="L2724">
        <v>21</v>
      </c>
      <c r="M2724" t="s">
        <v>90</v>
      </c>
      <c r="N2724">
        <v>0</v>
      </c>
      <c r="O2724">
        <v>0</v>
      </c>
    </row>
    <row r="2725" spans="1:15" x14ac:dyDescent="0.3">
      <c r="A2725">
        <v>2820</v>
      </c>
      <c r="B2725" s="34">
        <v>41873</v>
      </c>
      <c r="C2725">
        <v>1.32819</v>
      </c>
      <c r="D2725">
        <v>0</v>
      </c>
      <c r="F2725">
        <v>0.429839999999998</v>
      </c>
      <c r="G2725">
        <v>24.029692470837698</v>
      </c>
      <c r="H2725">
        <v>1</v>
      </c>
      <c r="I2725">
        <v>0.52464540000000004</v>
      </c>
      <c r="J2725">
        <v>2014</v>
      </c>
      <c r="K2725">
        <v>8</v>
      </c>
      <c r="L2725">
        <v>22</v>
      </c>
      <c r="M2725" t="s">
        <v>91</v>
      </c>
      <c r="N2725">
        <v>0</v>
      </c>
      <c r="O2725">
        <v>0</v>
      </c>
    </row>
    <row r="2726" spans="1:15" x14ac:dyDescent="0.3">
      <c r="A2726">
        <v>2821</v>
      </c>
      <c r="B2726" s="34">
        <v>41876</v>
      </c>
      <c r="C2726">
        <v>1.3238099999999999</v>
      </c>
      <c r="D2726">
        <v>0</v>
      </c>
      <c r="F2726">
        <v>0.429839999999998</v>
      </c>
      <c r="G2726">
        <v>24.029692470837698</v>
      </c>
      <c r="H2726">
        <v>0</v>
      </c>
      <c r="I2726">
        <v>0.52445940000000002</v>
      </c>
      <c r="J2726">
        <v>2014</v>
      </c>
      <c r="K2726">
        <v>8</v>
      </c>
      <c r="L2726">
        <v>25</v>
      </c>
      <c r="M2726" t="s">
        <v>92</v>
      </c>
      <c r="N2726">
        <v>0</v>
      </c>
      <c r="O2726">
        <v>0</v>
      </c>
    </row>
    <row r="2727" spans="1:15" x14ac:dyDescent="0.3">
      <c r="A2727">
        <v>2822</v>
      </c>
      <c r="B2727" s="34">
        <v>41877</v>
      </c>
      <c r="C2727">
        <v>1.3190299999999999</v>
      </c>
      <c r="D2727">
        <v>0</v>
      </c>
      <c r="F2727">
        <v>0.429839999999998</v>
      </c>
      <c r="G2727">
        <v>24.029692470837698</v>
      </c>
      <c r="H2727">
        <v>0</v>
      </c>
      <c r="I2727">
        <v>0.52427360000000001</v>
      </c>
      <c r="J2727">
        <v>2014</v>
      </c>
      <c r="K2727">
        <v>8</v>
      </c>
      <c r="L2727">
        <v>26</v>
      </c>
      <c r="M2727" t="s">
        <v>93</v>
      </c>
      <c r="N2727">
        <v>0</v>
      </c>
      <c r="O2727">
        <v>0</v>
      </c>
    </row>
    <row r="2728" spans="1:15" x14ac:dyDescent="0.3">
      <c r="A2728">
        <v>2823</v>
      </c>
      <c r="B2728" s="34">
        <v>41878</v>
      </c>
      <c r="C2728">
        <v>1.3168200000000001</v>
      </c>
      <c r="D2728">
        <v>0</v>
      </c>
      <c r="F2728">
        <v>0.429839999999998</v>
      </c>
      <c r="G2728">
        <v>24.029692470837698</v>
      </c>
      <c r="H2728">
        <v>0</v>
      </c>
      <c r="I2728">
        <v>0.52408779999999999</v>
      </c>
      <c r="J2728">
        <v>2014</v>
      </c>
      <c r="K2728">
        <v>8</v>
      </c>
      <c r="L2728">
        <v>27</v>
      </c>
      <c r="M2728" t="s">
        <v>89</v>
      </c>
      <c r="N2728">
        <v>0</v>
      </c>
      <c r="O2728">
        <v>0</v>
      </c>
    </row>
    <row r="2729" spans="1:15" x14ac:dyDescent="0.3">
      <c r="A2729">
        <v>2824</v>
      </c>
      <c r="B2729" s="34">
        <v>41879</v>
      </c>
      <c r="C2729">
        <v>1.31935</v>
      </c>
      <c r="D2729">
        <v>0</v>
      </c>
      <c r="F2729">
        <v>0.429839999999998</v>
      </c>
      <c r="G2729">
        <v>24.029692470837698</v>
      </c>
      <c r="H2729">
        <v>1</v>
      </c>
      <c r="I2729">
        <v>0.52425630000000001</v>
      </c>
      <c r="J2729">
        <v>2014</v>
      </c>
      <c r="K2729">
        <v>8</v>
      </c>
      <c r="L2729">
        <v>28</v>
      </c>
      <c r="M2729" t="s">
        <v>90</v>
      </c>
      <c r="N2729">
        <v>0</v>
      </c>
      <c r="O2729">
        <v>0</v>
      </c>
    </row>
    <row r="2730" spans="1:15" x14ac:dyDescent="0.3">
      <c r="A2730">
        <v>2825</v>
      </c>
      <c r="B2730" s="34">
        <v>41880</v>
      </c>
      <c r="C2730">
        <v>1.3183800000000001</v>
      </c>
      <c r="D2730">
        <v>0</v>
      </c>
      <c r="F2730">
        <v>0.429839999999998</v>
      </c>
      <c r="G2730">
        <v>24.029692470837698</v>
      </c>
      <c r="H2730">
        <v>1</v>
      </c>
      <c r="I2730">
        <v>0.52442480000000002</v>
      </c>
      <c r="J2730">
        <v>2014</v>
      </c>
      <c r="K2730">
        <v>8</v>
      </c>
      <c r="L2730">
        <v>29</v>
      </c>
      <c r="M2730" t="s">
        <v>91</v>
      </c>
      <c r="N2730">
        <v>0</v>
      </c>
      <c r="O2730">
        <v>0</v>
      </c>
    </row>
    <row r="2731" spans="1:15" x14ac:dyDescent="0.3">
      <c r="A2731">
        <v>2826</v>
      </c>
      <c r="B2731" s="34">
        <v>41883</v>
      </c>
      <c r="C2731">
        <v>1.3132299999999999</v>
      </c>
      <c r="D2731">
        <v>0</v>
      </c>
      <c r="F2731">
        <v>0.429839999999998</v>
      </c>
      <c r="G2731">
        <v>24.029692470837698</v>
      </c>
      <c r="H2731">
        <v>0</v>
      </c>
      <c r="I2731">
        <v>0.52423920000000002</v>
      </c>
      <c r="J2731">
        <v>2014</v>
      </c>
      <c r="K2731">
        <v>9</v>
      </c>
      <c r="L2731">
        <v>1</v>
      </c>
      <c r="M2731" t="s">
        <v>92</v>
      </c>
      <c r="N2731">
        <v>0</v>
      </c>
      <c r="O2731">
        <v>0</v>
      </c>
    </row>
    <row r="2732" spans="1:15" x14ac:dyDescent="0.3">
      <c r="A2732">
        <v>2827</v>
      </c>
      <c r="B2732" s="34">
        <v>41884</v>
      </c>
      <c r="C2732">
        <v>1.31273</v>
      </c>
      <c r="D2732">
        <v>0</v>
      </c>
      <c r="F2732">
        <v>0.429839999999998</v>
      </c>
      <c r="G2732">
        <v>24.029692470837698</v>
      </c>
      <c r="H2732">
        <v>0</v>
      </c>
      <c r="I2732">
        <v>0.52405380000000001</v>
      </c>
      <c r="J2732">
        <v>2014</v>
      </c>
      <c r="K2732">
        <v>9</v>
      </c>
      <c r="L2732">
        <v>2</v>
      </c>
      <c r="M2732" t="s">
        <v>93</v>
      </c>
      <c r="N2732">
        <v>0</v>
      </c>
      <c r="O2732">
        <v>0</v>
      </c>
    </row>
    <row r="2733" spans="1:15" x14ac:dyDescent="0.3">
      <c r="A2733">
        <v>2828</v>
      </c>
      <c r="B2733" s="34">
        <v>41885</v>
      </c>
      <c r="C2733">
        <v>1.3132600000000001</v>
      </c>
      <c r="D2733">
        <v>0</v>
      </c>
      <c r="F2733">
        <v>0.429839999999998</v>
      </c>
      <c r="G2733">
        <v>24.029692470837698</v>
      </c>
      <c r="H2733">
        <v>1</v>
      </c>
      <c r="I2733">
        <v>0.52422210000000002</v>
      </c>
      <c r="J2733">
        <v>2014</v>
      </c>
      <c r="K2733">
        <v>9</v>
      </c>
      <c r="L2733">
        <v>3</v>
      </c>
      <c r="M2733" t="s">
        <v>89</v>
      </c>
      <c r="N2733">
        <v>0</v>
      </c>
      <c r="O2733">
        <v>0</v>
      </c>
    </row>
    <row r="2734" spans="1:15" x14ac:dyDescent="0.3">
      <c r="A2734">
        <v>2829</v>
      </c>
      <c r="B2734" s="34">
        <v>41886</v>
      </c>
      <c r="C2734">
        <v>1.31487</v>
      </c>
      <c r="D2734">
        <v>0</v>
      </c>
      <c r="F2734">
        <v>0.429839999999998</v>
      </c>
      <c r="G2734">
        <v>24.029692470837698</v>
      </c>
      <c r="H2734">
        <v>0</v>
      </c>
      <c r="I2734">
        <v>0.52403679999999997</v>
      </c>
      <c r="J2734">
        <v>2014</v>
      </c>
      <c r="K2734">
        <v>9</v>
      </c>
      <c r="L2734">
        <v>4</v>
      </c>
      <c r="M2734" t="s">
        <v>90</v>
      </c>
      <c r="N2734">
        <v>0</v>
      </c>
      <c r="O2734">
        <v>0</v>
      </c>
    </row>
    <row r="2735" spans="1:15" x14ac:dyDescent="0.3">
      <c r="A2735">
        <v>2830</v>
      </c>
      <c r="B2735" s="34">
        <v>41887</v>
      </c>
      <c r="C2735">
        <v>1.2935700000000001</v>
      </c>
      <c r="D2735">
        <v>0</v>
      </c>
      <c r="F2735">
        <v>0.429839999999998</v>
      </c>
      <c r="G2735">
        <v>24.029692470837698</v>
      </c>
      <c r="H2735">
        <v>1</v>
      </c>
      <c r="I2735">
        <v>0.52420500000000003</v>
      </c>
      <c r="J2735">
        <v>2014</v>
      </c>
      <c r="K2735">
        <v>9</v>
      </c>
      <c r="L2735">
        <v>5</v>
      </c>
      <c r="M2735" t="s">
        <v>91</v>
      </c>
      <c r="N2735">
        <v>0</v>
      </c>
      <c r="O2735">
        <v>0</v>
      </c>
    </row>
    <row r="2736" spans="1:15" x14ac:dyDescent="0.3">
      <c r="A2736">
        <v>2831</v>
      </c>
      <c r="B2736" s="34">
        <v>41890</v>
      </c>
      <c r="C2736">
        <v>1.2950999999999999</v>
      </c>
      <c r="D2736">
        <v>0</v>
      </c>
      <c r="F2736">
        <v>0.429839999999998</v>
      </c>
      <c r="G2736">
        <v>24.029692470837698</v>
      </c>
      <c r="H2736">
        <v>1</v>
      </c>
      <c r="I2736">
        <v>0.52437299999999998</v>
      </c>
      <c r="J2736">
        <v>2014</v>
      </c>
      <c r="K2736">
        <v>9</v>
      </c>
      <c r="L2736">
        <v>8</v>
      </c>
      <c r="M2736" t="s">
        <v>92</v>
      </c>
      <c r="N2736">
        <v>0</v>
      </c>
      <c r="O2736">
        <v>0</v>
      </c>
    </row>
    <row r="2737" spans="1:15" x14ac:dyDescent="0.3">
      <c r="A2737">
        <v>2832</v>
      </c>
      <c r="B2737" s="34">
        <v>41891</v>
      </c>
      <c r="C2737">
        <v>1.2900100000000001</v>
      </c>
      <c r="D2737">
        <v>3</v>
      </c>
      <c r="E2737" t="s">
        <v>416</v>
      </c>
      <c r="F2737">
        <v>0.43386999999999798</v>
      </c>
      <c r="G2737">
        <v>23.317426652527399</v>
      </c>
      <c r="H2737">
        <v>0</v>
      </c>
      <c r="I2737">
        <v>0.52418790000000004</v>
      </c>
      <c r="J2737">
        <v>2014</v>
      </c>
      <c r="K2737">
        <v>9</v>
      </c>
      <c r="L2737">
        <v>9</v>
      </c>
      <c r="M2737" t="s">
        <v>93</v>
      </c>
      <c r="N2737">
        <v>0</v>
      </c>
      <c r="O2737">
        <v>0</v>
      </c>
    </row>
    <row r="2738" spans="1:15" x14ac:dyDescent="0.3">
      <c r="A2738">
        <v>2833</v>
      </c>
      <c r="B2738" s="34">
        <v>41892</v>
      </c>
      <c r="C2738">
        <v>1.2940400000000001</v>
      </c>
      <c r="D2738">
        <v>0</v>
      </c>
      <c r="F2738">
        <v>0.43386999999999798</v>
      </c>
      <c r="G2738">
        <v>23.317426652527399</v>
      </c>
      <c r="H2738">
        <v>1</v>
      </c>
      <c r="I2738">
        <v>0.52435580000000004</v>
      </c>
      <c r="J2738">
        <v>2014</v>
      </c>
      <c r="K2738">
        <v>9</v>
      </c>
      <c r="L2738">
        <v>10</v>
      </c>
      <c r="M2738" t="s">
        <v>89</v>
      </c>
      <c r="N2738">
        <v>0</v>
      </c>
      <c r="O2738">
        <v>0</v>
      </c>
    </row>
    <row r="2739" spans="1:15" x14ac:dyDescent="0.3">
      <c r="A2739">
        <v>2834</v>
      </c>
      <c r="B2739" s="34">
        <v>41893</v>
      </c>
      <c r="C2739">
        <v>1.2915700000000001</v>
      </c>
      <c r="D2739">
        <v>0</v>
      </c>
      <c r="F2739">
        <v>0.43386999999999798</v>
      </c>
      <c r="G2739">
        <v>23.317426652527399</v>
      </c>
      <c r="H2739">
        <v>1</v>
      </c>
      <c r="I2739">
        <v>0.52452359999999998</v>
      </c>
      <c r="J2739">
        <v>2014</v>
      </c>
      <c r="K2739">
        <v>9</v>
      </c>
      <c r="L2739">
        <v>11</v>
      </c>
      <c r="M2739" t="s">
        <v>90</v>
      </c>
      <c r="N2739">
        <v>0</v>
      </c>
      <c r="O2739">
        <v>0</v>
      </c>
    </row>
    <row r="2740" spans="1:15" x14ac:dyDescent="0.3">
      <c r="A2740">
        <v>2835</v>
      </c>
      <c r="B2740" s="34">
        <v>41894</v>
      </c>
      <c r="C2740">
        <v>1.29233</v>
      </c>
      <c r="D2740">
        <v>0</v>
      </c>
      <c r="F2740">
        <v>0.43386999999999798</v>
      </c>
      <c r="G2740">
        <v>23.317426652527399</v>
      </c>
      <c r="H2740">
        <v>1</v>
      </c>
      <c r="I2740">
        <v>0.52469129999999997</v>
      </c>
      <c r="J2740">
        <v>2014</v>
      </c>
      <c r="K2740">
        <v>9</v>
      </c>
      <c r="L2740">
        <v>12</v>
      </c>
      <c r="M2740" t="s">
        <v>91</v>
      </c>
      <c r="N2740">
        <v>0</v>
      </c>
      <c r="O2740">
        <v>0</v>
      </c>
    </row>
    <row r="2741" spans="1:15" x14ac:dyDescent="0.3">
      <c r="A2741">
        <v>2836</v>
      </c>
      <c r="B2741" s="34">
        <v>41897</v>
      </c>
      <c r="C2741">
        <v>1.29643</v>
      </c>
      <c r="D2741">
        <v>0</v>
      </c>
      <c r="F2741">
        <v>0.43386999999999798</v>
      </c>
      <c r="G2741">
        <v>23.317426652527399</v>
      </c>
      <c r="H2741">
        <v>0</v>
      </c>
      <c r="I2741">
        <v>0.52450629999999998</v>
      </c>
      <c r="J2741">
        <v>2014</v>
      </c>
      <c r="K2741">
        <v>9</v>
      </c>
      <c r="L2741">
        <v>15</v>
      </c>
      <c r="M2741" t="s">
        <v>92</v>
      </c>
      <c r="N2741">
        <v>0</v>
      </c>
      <c r="O2741">
        <v>0</v>
      </c>
    </row>
    <row r="2742" spans="1:15" x14ac:dyDescent="0.3">
      <c r="A2742">
        <v>2837</v>
      </c>
      <c r="B2742" s="34">
        <v>41898</v>
      </c>
      <c r="C2742">
        <v>1.29409</v>
      </c>
      <c r="D2742">
        <v>0</v>
      </c>
      <c r="F2742">
        <v>0.43386999999999798</v>
      </c>
      <c r="G2742">
        <v>23.317426652527399</v>
      </c>
      <c r="H2742">
        <v>1</v>
      </c>
      <c r="I2742">
        <v>0.52467390000000003</v>
      </c>
      <c r="J2742">
        <v>2014</v>
      </c>
      <c r="K2742">
        <v>9</v>
      </c>
      <c r="L2742">
        <v>16</v>
      </c>
      <c r="M2742" t="s">
        <v>93</v>
      </c>
      <c r="N2742">
        <v>0</v>
      </c>
      <c r="O2742">
        <v>0</v>
      </c>
    </row>
    <row r="2743" spans="1:15" x14ac:dyDescent="0.3">
      <c r="A2743">
        <v>2838</v>
      </c>
      <c r="B2743" s="34">
        <v>41899</v>
      </c>
      <c r="C2743">
        <v>1.2957399999999999</v>
      </c>
      <c r="D2743">
        <v>0</v>
      </c>
      <c r="F2743">
        <v>0.43386999999999798</v>
      </c>
      <c r="G2743">
        <v>23.317426652527399</v>
      </c>
      <c r="H2743">
        <v>0</v>
      </c>
      <c r="I2743">
        <v>0.52448910000000004</v>
      </c>
      <c r="J2743">
        <v>2014</v>
      </c>
      <c r="K2743">
        <v>9</v>
      </c>
      <c r="L2743">
        <v>17</v>
      </c>
      <c r="M2743" t="s">
        <v>89</v>
      </c>
      <c r="N2743">
        <v>0</v>
      </c>
      <c r="O2743">
        <v>0</v>
      </c>
    </row>
    <row r="2744" spans="1:15" x14ac:dyDescent="0.3">
      <c r="A2744">
        <v>2839</v>
      </c>
      <c r="B2744" s="34">
        <v>41900</v>
      </c>
      <c r="C2744">
        <v>1.2844899999999999</v>
      </c>
      <c r="D2744">
        <v>0</v>
      </c>
      <c r="F2744">
        <v>0.43386999999999798</v>
      </c>
      <c r="G2744">
        <v>23.317426652527399</v>
      </c>
      <c r="H2744">
        <v>1</v>
      </c>
      <c r="I2744">
        <v>0.52465660000000003</v>
      </c>
      <c r="J2744">
        <v>2014</v>
      </c>
      <c r="K2744">
        <v>9</v>
      </c>
      <c r="L2744">
        <v>18</v>
      </c>
      <c r="M2744" t="s">
        <v>90</v>
      </c>
      <c r="N2744">
        <v>0</v>
      </c>
      <c r="O2744">
        <v>0</v>
      </c>
    </row>
    <row r="2745" spans="1:15" x14ac:dyDescent="0.3">
      <c r="A2745">
        <v>2840</v>
      </c>
      <c r="B2745" s="34">
        <v>41901</v>
      </c>
      <c r="C2745">
        <v>1.2916000000000001</v>
      </c>
      <c r="D2745">
        <v>0</v>
      </c>
      <c r="F2745">
        <v>0.43386999999999798</v>
      </c>
      <c r="G2745">
        <v>23.317426652527399</v>
      </c>
      <c r="H2745">
        <v>1</v>
      </c>
      <c r="I2745">
        <v>0.52482399999999996</v>
      </c>
      <c r="J2745">
        <v>2014</v>
      </c>
      <c r="K2745">
        <v>9</v>
      </c>
      <c r="L2745">
        <v>19</v>
      </c>
      <c r="M2745" t="s">
        <v>91</v>
      </c>
      <c r="N2745">
        <v>0</v>
      </c>
      <c r="O2745">
        <v>0</v>
      </c>
    </row>
    <row r="2746" spans="1:15" x14ac:dyDescent="0.3">
      <c r="A2746">
        <v>2841</v>
      </c>
      <c r="B2746" s="34">
        <v>41904</v>
      </c>
      <c r="C2746">
        <v>1.28284</v>
      </c>
      <c r="D2746">
        <v>2</v>
      </c>
      <c r="E2746" t="s">
        <v>417</v>
      </c>
      <c r="F2746">
        <v>0.435669999999998</v>
      </c>
      <c r="G2746">
        <v>22.999293036408599</v>
      </c>
      <c r="H2746">
        <v>0</v>
      </c>
      <c r="I2746">
        <v>0.52463919999999997</v>
      </c>
      <c r="J2746">
        <v>2014</v>
      </c>
      <c r="K2746">
        <v>9</v>
      </c>
      <c r="L2746">
        <v>22</v>
      </c>
      <c r="M2746" t="s">
        <v>92</v>
      </c>
      <c r="N2746">
        <v>0</v>
      </c>
      <c r="O2746">
        <v>0</v>
      </c>
    </row>
    <row r="2747" spans="1:15" x14ac:dyDescent="0.3">
      <c r="A2747">
        <v>2842</v>
      </c>
      <c r="B2747" s="34">
        <v>41905</v>
      </c>
      <c r="C2747">
        <v>1.28464</v>
      </c>
      <c r="D2747">
        <v>0</v>
      </c>
      <c r="F2747">
        <v>0.435669999999998</v>
      </c>
      <c r="G2747">
        <v>22.999293036408599</v>
      </c>
      <c r="H2747">
        <v>1</v>
      </c>
      <c r="I2747">
        <v>0.52480649999999995</v>
      </c>
      <c r="J2747">
        <v>2014</v>
      </c>
      <c r="K2747">
        <v>9</v>
      </c>
      <c r="L2747">
        <v>23</v>
      </c>
      <c r="M2747" t="s">
        <v>93</v>
      </c>
      <c r="N2747">
        <v>0</v>
      </c>
      <c r="O2747">
        <v>0</v>
      </c>
    </row>
    <row r="2748" spans="1:15" x14ac:dyDescent="0.3">
      <c r="A2748">
        <v>2843</v>
      </c>
      <c r="B2748" s="34">
        <v>41906</v>
      </c>
      <c r="C2748">
        <v>1.2848599999999999</v>
      </c>
      <c r="D2748">
        <v>0</v>
      </c>
      <c r="F2748">
        <v>0.435669999999998</v>
      </c>
      <c r="G2748">
        <v>22.999293036408599</v>
      </c>
      <c r="H2748">
        <v>1</v>
      </c>
      <c r="I2748">
        <v>0.52497360000000004</v>
      </c>
      <c r="J2748">
        <v>2014</v>
      </c>
      <c r="K2748">
        <v>9</v>
      </c>
      <c r="L2748">
        <v>24</v>
      </c>
      <c r="M2748" t="s">
        <v>89</v>
      </c>
      <c r="N2748">
        <v>0</v>
      </c>
      <c r="O2748">
        <v>0</v>
      </c>
    </row>
    <row r="2749" spans="1:15" x14ac:dyDescent="0.3">
      <c r="A2749">
        <v>2844</v>
      </c>
      <c r="B2749" s="34">
        <v>41907</v>
      </c>
      <c r="C2749">
        <v>1.2778</v>
      </c>
      <c r="D2749">
        <v>0</v>
      </c>
      <c r="F2749">
        <v>0.435669999999998</v>
      </c>
      <c r="G2749">
        <v>22.999293036408599</v>
      </c>
      <c r="H2749">
        <v>1</v>
      </c>
      <c r="I2749">
        <v>0.52514059999999996</v>
      </c>
      <c r="J2749">
        <v>2014</v>
      </c>
      <c r="K2749">
        <v>9</v>
      </c>
      <c r="L2749">
        <v>25</v>
      </c>
      <c r="M2749" t="s">
        <v>90</v>
      </c>
      <c r="N2749">
        <v>0</v>
      </c>
      <c r="O2749">
        <v>0</v>
      </c>
    </row>
    <row r="2750" spans="1:15" x14ac:dyDescent="0.3">
      <c r="A2750">
        <v>2845</v>
      </c>
      <c r="B2750" s="34">
        <v>41908</v>
      </c>
      <c r="C2750">
        <v>1.27515</v>
      </c>
      <c r="D2750">
        <v>0</v>
      </c>
      <c r="F2750">
        <v>0.435669999999998</v>
      </c>
      <c r="G2750">
        <v>22.999293036408599</v>
      </c>
      <c r="H2750">
        <v>0</v>
      </c>
      <c r="I2750">
        <v>0.52495599999999998</v>
      </c>
      <c r="J2750">
        <v>2014</v>
      </c>
      <c r="K2750">
        <v>9</v>
      </c>
      <c r="L2750">
        <v>26</v>
      </c>
      <c r="M2750" t="s">
        <v>91</v>
      </c>
      <c r="N2750">
        <v>0</v>
      </c>
      <c r="O2750">
        <v>0</v>
      </c>
    </row>
    <row r="2751" spans="1:15" x14ac:dyDescent="0.3">
      <c r="A2751">
        <v>2846</v>
      </c>
      <c r="B2751" s="34">
        <v>41911</v>
      </c>
      <c r="C2751">
        <v>1.2682500000000001</v>
      </c>
      <c r="D2751">
        <v>0</v>
      </c>
      <c r="F2751">
        <v>0.435669999999998</v>
      </c>
      <c r="G2751">
        <v>22.999293036408599</v>
      </c>
      <c r="H2751">
        <v>0</v>
      </c>
      <c r="I2751">
        <v>0.5247716</v>
      </c>
      <c r="J2751">
        <v>2014</v>
      </c>
      <c r="K2751">
        <v>9</v>
      </c>
      <c r="L2751">
        <v>29</v>
      </c>
      <c r="M2751" t="s">
        <v>92</v>
      </c>
      <c r="N2751">
        <v>0</v>
      </c>
      <c r="O2751">
        <v>0</v>
      </c>
    </row>
    <row r="2752" spans="1:15" x14ac:dyDescent="0.3">
      <c r="A2752">
        <v>2847</v>
      </c>
      <c r="B2752" s="34">
        <v>41912</v>
      </c>
      <c r="C2752">
        <v>1.2688699999999999</v>
      </c>
      <c r="D2752">
        <v>0</v>
      </c>
      <c r="F2752">
        <v>0.435669999999998</v>
      </c>
      <c r="G2752">
        <v>22.999293036408599</v>
      </c>
      <c r="H2752">
        <v>1</v>
      </c>
      <c r="I2752">
        <v>0.52493849999999997</v>
      </c>
      <c r="J2752">
        <v>2014</v>
      </c>
      <c r="K2752">
        <v>9</v>
      </c>
      <c r="L2752">
        <v>30</v>
      </c>
      <c r="M2752" t="s">
        <v>93</v>
      </c>
      <c r="N2752">
        <v>0</v>
      </c>
      <c r="O2752">
        <v>0</v>
      </c>
    </row>
    <row r="2753" spans="1:15" x14ac:dyDescent="0.3">
      <c r="A2753">
        <v>2848</v>
      </c>
      <c r="B2753" s="34">
        <v>41913</v>
      </c>
      <c r="C2753">
        <v>1.2630699999999999</v>
      </c>
      <c r="D2753">
        <v>0</v>
      </c>
      <c r="F2753">
        <v>0.435669999999998</v>
      </c>
      <c r="G2753">
        <v>22.999293036408599</v>
      </c>
      <c r="H2753">
        <v>0</v>
      </c>
      <c r="I2753">
        <v>0.52475419999999995</v>
      </c>
      <c r="J2753">
        <v>2014</v>
      </c>
      <c r="K2753">
        <v>10</v>
      </c>
      <c r="L2753">
        <v>1</v>
      </c>
      <c r="M2753" t="s">
        <v>89</v>
      </c>
      <c r="N2753">
        <v>0</v>
      </c>
      <c r="O2753">
        <v>0</v>
      </c>
    </row>
    <row r="2754" spans="1:15" x14ac:dyDescent="0.3">
      <c r="A2754">
        <v>2849</v>
      </c>
      <c r="B2754" s="34">
        <v>41914</v>
      </c>
      <c r="C2754">
        <v>1.2618499999999999</v>
      </c>
      <c r="D2754">
        <v>0</v>
      </c>
      <c r="F2754">
        <v>0.435669999999998</v>
      </c>
      <c r="G2754">
        <v>22.999293036408599</v>
      </c>
      <c r="H2754">
        <v>0</v>
      </c>
      <c r="I2754">
        <v>0.52456999999999998</v>
      </c>
      <c r="J2754">
        <v>2014</v>
      </c>
      <c r="K2754">
        <v>10</v>
      </c>
      <c r="L2754">
        <v>2</v>
      </c>
      <c r="M2754" t="s">
        <v>90</v>
      </c>
      <c r="N2754">
        <v>0</v>
      </c>
      <c r="O2754">
        <v>0</v>
      </c>
    </row>
    <row r="2755" spans="1:15" x14ac:dyDescent="0.3">
      <c r="A2755">
        <v>2850</v>
      </c>
      <c r="B2755" s="34">
        <v>41915</v>
      </c>
      <c r="C2755">
        <v>1.2669600000000001</v>
      </c>
      <c r="D2755">
        <v>0</v>
      </c>
      <c r="F2755">
        <v>0.435669999999998</v>
      </c>
      <c r="G2755">
        <v>22.999293036408599</v>
      </c>
      <c r="H2755">
        <v>1</v>
      </c>
      <c r="I2755">
        <v>0.5247368</v>
      </c>
      <c r="J2755">
        <v>2014</v>
      </c>
      <c r="K2755">
        <v>10</v>
      </c>
      <c r="L2755">
        <v>3</v>
      </c>
      <c r="M2755" t="s">
        <v>91</v>
      </c>
      <c r="N2755">
        <v>0</v>
      </c>
      <c r="O2755">
        <v>0</v>
      </c>
    </row>
    <row r="2756" spans="1:15" x14ac:dyDescent="0.3">
      <c r="A2756">
        <v>2851</v>
      </c>
      <c r="B2756" s="34">
        <v>41918</v>
      </c>
      <c r="C2756">
        <v>1.25145</v>
      </c>
      <c r="D2756">
        <v>0</v>
      </c>
      <c r="F2756">
        <v>0.435669999999998</v>
      </c>
      <c r="G2756">
        <v>22.999293036408599</v>
      </c>
      <c r="H2756">
        <v>1</v>
      </c>
      <c r="I2756">
        <v>0.52490349999999997</v>
      </c>
      <c r="J2756">
        <v>2014</v>
      </c>
      <c r="K2756">
        <v>10</v>
      </c>
      <c r="L2756">
        <v>6</v>
      </c>
      <c r="M2756" t="s">
        <v>92</v>
      </c>
      <c r="N2756">
        <v>0</v>
      </c>
      <c r="O2756">
        <v>0</v>
      </c>
    </row>
    <row r="2757" spans="1:15" x14ac:dyDescent="0.3">
      <c r="A2757">
        <v>2852</v>
      </c>
      <c r="B2757" s="34">
        <v>41919</v>
      </c>
      <c r="C2757">
        <v>1.2653399999999999</v>
      </c>
      <c r="D2757">
        <v>0</v>
      </c>
      <c r="F2757">
        <v>0.435669999999998</v>
      </c>
      <c r="G2757">
        <v>22.999293036408599</v>
      </c>
      <c r="H2757">
        <v>1</v>
      </c>
      <c r="I2757">
        <v>0.52507009999999998</v>
      </c>
      <c r="J2757">
        <v>2014</v>
      </c>
      <c r="K2757">
        <v>10</v>
      </c>
      <c r="L2757">
        <v>7</v>
      </c>
      <c r="M2757" t="s">
        <v>93</v>
      </c>
      <c r="N2757">
        <v>0</v>
      </c>
      <c r="O2757">
        <v>0</v>
      </c>
    </row>
    <row r="2758" spans="1:15" x14ac:dyDescent="0.3">
      <c r="A2758">
        <v>2853</v>
      </c>
      <c r="B2758" s="34">
        <v>41920</v>
      </c>
      <c r="C2758">
        <v>1.2664599999999999</v>
      </c>
      <c r="D2758">
        <v>0</v>
      </c>
      <c r="F2758">
        <v>0.435669999999998</v>
      </c>
      <c r="G2758">
        <v>22.999293036408599</v>
      </c>
      <c r="H2758">
        <v>0</v>
      </c>
      <c r="I2758">
        <v>0.52488610000000002</v>
      </c>
      <c r="J2758">
        <v>2014</v>
      </c>
      <c r="K2758">
        <v>10</v>
      </c>
      <c r="L2758">
        <v>8</v>
      </c>
      <c r="M2758" t="s">
        <v>89</v>
      </c>
      <c r="N2758">
        <v>0</v>
      </c>
      <c r="O2758">
        <v>0</v>
      </c>
    </row>
    <row r="2759" spans="1:15" x14ac:dyDescent="0.3">
      <c r="A2759">
        <v>2854</v>
      </c>
      <c r="B2759" s="34">
        <v>41921</v>
      </c>
      <c r="C2759">
        <v>1.2730399999999999</v>
      </c>
      <c r="D2759">
        <v>0</v>
      </c>
      <c r="F2759">
        <v>0.435669999999998</v>
      </c>
      <c r="G2759">
        <v>22.999293036408599</v>
      </c>
      <c r="H2759">
        <v>0</v>
      </c>
      <c r="I2759">
        <v>0.52470220000000001</v>
      </c>
      <c r="J2759">
        <v>2014</v>
      </c>
      <c r="K2759">
        <v>10</v>
      </c>
      <c r="L2759">
        <v>9</v>
      </c>
      <c r="M2759" t="s">
        <v>90</v>
      </c>
      <c r="N2759">
        <v>0</v>
      </c>
      <c r="O2759">
        <v>0</v>
      </c>
    </row>
    <row r="2760" spans="1:15" x14ac:dyDescent="0.3">
      <c r="A2760">
        <v>2855</v>
      </c>
      <c r="B2760" s="34">
        <v>41922</v>
      </c>
      <c r="C2760">
        <v>1.26895</v>
      </c>
      <c r="D2760">
        <v>0</v>
      </c>
      <c r="F2760">
        <v>0.435669999999998</v>
      </c>
      <c r="G2760">
        <v>22.999293036408599</v>
      </c>
      <c r="H2760">
        <v>1</v>
      </c>
      <c r="I2760">
        <v>0.52486869999999997</v>
      </c>
      <c r="J2760">
        <v>2014</v>
      </c>
      <c r="K2760">
        <v>10</v>
      </c>
      <c r="L2760">
        <v>10</v>
      </c>
      <c r="M2760" t="s">
        <v>91</v>
      </c>
      <c r="N2760">
        <v>0</v>
      </c>
      <c r="O2760">
        <v>0</v>
      </c>
    </row>
    <row r="2761" spans="1:15" x14ac:dyDescent="0.3">
      <c r="A2761">
        <v>2856</v>
      </c>
      <c r="B2761" s="34">
        <v>41925</v>
      </c>
      <c r="C2761">
        <v>1.2627200000000001</v>
      </c>
      <c r="D2761">
        <v>0</v>
      </c>
      <c r="F2761">
        <v>0.435669999999998</v>
      </c>
      <c r="G2761">
        <v>22.999293036408599</v>
      </c>
      <c r="H2761">
        <v>0</v>
      </c>
      <c r="I2761">
        <v>0.52468479999999995</v>
      </c>
      <c r="J2761">
        <v>2014</v>
      </c>
      <c r="K2761">
        <v>10</v>
      </c>
      <c r="L2761">
        <v>13</v>
      </c>
      <c r="M2761" t="s">
        <v>92</v>
      </c>
      <c r="N2761">
        <v>0</v>
      </c>
      <c r="O2761">
        <v>0</v>
      </c>
    </row>
    <row r="2762" spans="1:15" x14ac:dyDescent="0.3">
      <c r="A2762">
        <v>2857</v>
      </c>
      <c r="B2762" s="34">
        <v>41926</v>
      </c>
      <c r="C2762">
        <v>1.2741199999999999</v>
      </c>
      <c r="D2762">
        <v>0</v>
      </c>
      <c r="F2762">
        <v>0.435669999999998</v>
      </c>
      <c r="G2762">
        <v>22.999293036408599</v>
      </c>
      <c r="H2762">
        <v>1</v>
      </c>
      <c r="I2762">
        <v>0.52485130000000002</v>
      </c>
      <c r="J2762">
        <v>2014</v>
      </c>
      <c r="K2762">
        <v>10</v>
      </c>
      <c r="L2762">
        <v>14</v>
      </c>
      <c r="M2762" t="s">
        <v>93</v>
      </c>
      <c r="N2762">
        <v>0</v>
      </c>
      <c r="O2762">
        <v>0</v>
      </c>
    </row>
    <row r="2763" spans="1:15" x14ac:dyDescent="0.3">
      <c r="A2763">
        <v>2858</v>
      </c>
      <c r="B2763" s="34">
        <v>41927</v>
      </c>
      <c r="C2763">
        <v>1.2658</v>
      </c>
      <c r="D2763">
        <v>0</v>
      </c>
      <c r="F2763">
        <v>0.435669999999998</v>
      </c>
      <c r="G2763">
        <v>22.999293036408599</v>
      </c>
      <c r="H2763">
        <v>1</v>
      </c>
      <c r="I2763">
        <v>0.52501750000000003</v>
      </c>
      <c r="J2763">
        <v>2014</v>
      </c>
      <c r="K2763">
        <v>10</v>
      </c>
      <c r="L2763">
        <v>15</v>
      </c>
      <c r="M2763" t="s">
        <v>89</v>
      </c>
      <c r="N2763">
        <v>0</v>
      </c>
      <c r="O2763">
        <v>0</v>
      </c>
    </row>
    <row r="2764" spans="1:15" x14ac:dyDescent="0.3">
      <c r="A2764">
        <v>2859</v>
      </c>
      <c r="B2764" s="34">
        <v>41928</v>
      </c>
      <c r="C2764">
        <v>1.28156</v>
      </c>
      <c r="D2764">
        <v>0</v>
      </c>
      <c r="F2764">
        <v>0.435669999999998</v>
      </c>
      <c r="G2764">
        <v>22.999293036408599</v>
      </c>
      <c r="H2764">
        <v>1</v>
      </c>
      <c r="I2764">
        <v>0.52518359999999997</v>
      </c>
      <c r="J2764">
        <v>2014</v>
      </c>
      <c r="K2764">
        <v>10</v>
      </c>
      <c r="L2764">
        <v>16</v>
      </c>
      <c r="M2764" t="s">
        <v>90</v>
      </c>
      <c r="N2764">
        <v>0</v>
      </c>
      <c r="O2764">
        <v>0</v>
      </c>
    </row>
    <row r="2765" spans="1:15" x14ac:dyDescent="0.3">
      <c r="A2765">
        <v>2860</v>
      </c>
      <c r="B2765" s="34">
        <v>41929</v>
      </c>
      <c r="C2765">
        <v>1.2804</v>
      </c>
      <c r="D2765">
        <v>0</v>
      </c>
      <c r="F2765">
        <v>0.435669999999998</v>
      </c>
      <c r="G2765">
        <v>22.999293036408599</v>
      </c>
      <c r="H2765">
        <v>1</v>
      </c>
      <c r="I2765">
        <v>0.52534970000000003</v>
      </c>
      <c r="J2765">
        <v>2014</v>
      </c>
      <c r="K2765">
        <v>10</v>
      </c>
      <c r="L2765">
        <v>17</v>
      </c>
      <c r="M2765" t="s">
        <v>91</v>
      </c>
      <c r="N2765">
        <v>0</v>
      </c>
      <c r="O2765">
        <v>0</v>
      </c>
    </row>
    <row r="2766" spans="1:15" x14ac:dyDescent="0.3">
      <c r="A2766">
        <v>2861</v>
      </c>
      <c r="B2766" s="34">
        <v>41932</v>
      </c>
      <c r="C2766">
        <v>1.2759100000000001</v>
      </c>
      <c r="D2766">
        <v>0</v>
      </c>
      <c r="F2766">
        <v>0.435669999999998</v>
      </c>
      <c r="G2766">
        <v>22.999293036408599</v>
      </c>
      <c r="H2766">
        <v>1</v>
      </c>
      <c r="I2766">
        <v>0.52551559999999997</v>
      </c>
      <c r="J2766">
        <v>2014</v>
      </c>
      <c r="K2766">
        <v>10</v>
      </c>
      <c r="L2766">
        <v>20</v>
      </c>
      <c r="M2766" t="s">
        <v>92</v>
      </c>
      <c r="N2766">
        <v>0</v>
      </c>
      <c r="O2766">
        <v>0</v>
      </c>
    </row>
    <row r="2767" spans="1:15" x14ac:dyDescent="0.3">
      <c r="A2767">
        <v>2862</v>
      </c>
      <c r="B2767" s="34">
        <v>41933</v>
      </c>
      <c r="C2767">
        <v>1.27942</v>
      </c>
      <c r="D2767">
        <v>0</v>
      </c>
      <c r="F2767">
        <v>0.435669999999998</v>
      </c>
      <c r="G2767">
        <v>22.999293036408599</v>
      </c>
      <c r="H2767">
        <v>0</v>
      </c>
      <c r="I2767">
        <v>0.52533189999999996</v>
      </c>
      <c r="J2767">
        <v>2014</v>
      </c>
      <c r="K2767">
        <v>10</v>
      </c>
      <c r="L2767">
        <v>21</v>
      </c>
      <c r="M2767" t="s">
        <v>93</v>
      </c>
      <c r="N2767">
        <v>0</v>
      </c>
      <c r="O2767">
        <v>0</v>
      </c>
    </row>
    <row r="2768" spans="1:15" x14ac:dyDescent="0.3">
      <c r="A2768">
        <v>2863</v>
      </c>
      <c r="B2768" s="34">
        <v>41934</v>
      </c>
      <c r="C2768">
        <v>1.27112</v>
      </c>
      <c r="D2768">
        <v>0</v>
      </c>
      <c r="F2768">
        <v>0.435669999999998</v>
      </c>
      <c r="G2768">
        <v>22.999293036408599</v>
      </c>
      <c r="H2768">
        <v>1</v>
      </c>
      <c r="I2768">
        <v>0.52549769999999996</v>
      </c>
      <c r="J2768">
        <v>2014</v>
      </c>
      <c r="K2768">
        <v>10</v>
      </c>
      <c r="L2768">
        <v>22</v>
      </c>
      <c r="M2768" t="s">
        <v>89</v>
      </c>
      <c r="N2768">
        <v>0</v>
      </c>
      <c r="O2768">
        <v>0</v>
      </c>
    </row>
    <row r="2769" spans="1:15" x14ac:dyDescent="0.3">
      <c r="A2769">
        <v>2864</v>
      </c>
      <c r="B2769" s="34">
        <v>41935</v>
      </c>
      <c r="C2769">
        <v>1.26441</v>
      </c>
      <c r="D2769">
        <v>0</v>
      </c>
      <c r="F2769">
        <v>0.435669999999998</v>
      </c>
      <c r="G2769">
        <v>22.999293036408599</v>
      </c>
      <c r="H2769">
        <v>0</v>
      </c>
      <c r="I2769">
        <v>0.52531430000000001</v>
      </c>
      <c r="J2769">
        <v>2014</v>
      </c>
      <c r="K2769">
        <v>10</v>
      </c>
      <c r="L2769">
        <v>23</v>
      </c>
      <c r="M2769" t="s">
        <v>90</v>
      </c>
      <c r="N2769">
        <v>0</v>
      </c>
      <c r="O2769">
        <v>0</v>
      </c>
    </row>
    <row r="2770" spans="1:15" x14ac:dyDescent="0.3">
      <c r="A2770">
        <v>2865</v>
      </c>
      <c r="B2770" s="34">
        <v>41936</v>
      </c>
      <c r="C2770">
        <v>1.26447</v>
      </c>
      <c r="D2770">
        <v>0</v>
      </c>
      <c r="F2770">
        <v>0.435669999999998</v>
      </c>
      <c r="G2770">
        <v>22.999293036408599</v>
      </c>
      <c r="H2770">
        <v>1</v>
      </c>
      <c r="I2770">
        <v>0.5254799</v>
      </c>
      <c r="J2770">
        <v>2014</v>
      </c>
      <c r="K2770">
        <v>10</v>
      </c>
      <c r="L2770">
        <v>24</v>
      </c>
      <c r="M2770" t="s">
        <v>91</v>
      </c>
      <c r="N2770">
        <v>0</v>
      </c>
      <c r="O2770">
        <v>0</v>
      </c>
    </row>
    <row r="2771" spans="1:15" x14ac:dyDescent="0.3">
      <c r="A2771">
        <v>2866</v>
      </c>
      <c r="B2771" s="34">
        <v>41939</v>
      </c>
      <c r="C2771">
        <v>1.26681</v>
      </c>
      <c r="D2771">
        <v>0</v>
      </c>
      <c r="F2771">
        <v>0.435669999999998</v>
      </c>
      <c r="G2771">
        <v>22.999293036408599</v>
      </c>
      <c r="H2771">
        <v>1</v>
      </c>
      <c r="I2771">
        <v>0.52564549999999999</v>
      </c>
      <c r="J2771">
        <v>2014</v>
      </c>
      <c r="K2771">
        <v>10</v>
      </c>
      <c r="L2771">
        <v>27</v>
      </c>
      <c r="M2771" t="s">
        <v>92</v>
      </c>
      <c r="N2771">
        <v>0</v>
      </c>
      <c r="O2771">
        <v>0</v>
      </c>
    </row>
    <row r="2772" spans="1:15" x14ac:dyDescent="0.3">
      <c r="A2772">
        <v>2867</v>
      </c>
      <c r="B2772" s="34">
        <v>41940</v>
      </c>
      <c r="C2772">
        <v>1.2694700000000001</v>
      </c>
      <c r="D2772">
        <v>0</v>
      </c>
      <c r="F2772">
        <v>0.435669999999998</v>
      </c>
      <c r="G2772">
        <v>22.999293036408599</v>
      </c>
      <c r="H2772">
        <v>0</v>
      </c>
      <c r="I2772">
        <v>0.52546219999999999</v>
      </c>
      <c r="J2772">
        <v>2014</v>
      </c>
      <c r="K2772">
        <v>10</v>
      </c>
      <c r="L2772">
        <v>28</v>
      </c>
      <c r="M2772" t="s">
        <v>93</v>
      </c>
      <c r="N2772">
        <v>0</v>
      </c>
      <c r="O2772">
        <v>0</v>
      </c>
    </row>
    <row r="2773" spans="1:15" x14ac:dyDescent="0.3">
      <c r="A2773">
        <v>2868</v>
      </c>
      <c r="B2773" s="34">
        <v>41941</v>
      </c>
      <c r="C2773">
        <v>1.27355</v>
      </c>
      <c r="D2773">
        <v>0</v>
      </c>
      <c r="F2773">
        <v>0.435669999999998</v>
      </c>
      <c r="G2773">
        <v>22.999293036408599</v>
      </c>
      <c r="H2773">
        <v>0</v>
      </c>
      <c r="I2773">
        <v>0.52527889999999999</v>
      </c>
      <c r="J2773">
        <v>2014</v>
      </c>
      <c r="K2773">
        <v>10</v>
      </c>
      <c r="L2773">
        <v>29</v>
      </c>
      <c r="M2773" t="s">
        <v>89</v>
      </c>
      <c r="N2773">
        <v>0</v>
      </c>
      <c r="O2773">
        <v>0</v>
      </c>
    </row>
    <row r="2774" spans="1:15" x14ac:dyDescent="0.3">
      <c r="A2774">
        <v>2869</v>
      </c>
      <c r="B2774" s="34">
        <v>41942</v>
      </c>
      <c r="C2774">
        <v>1.2637700000000001</v>
      </c>
      <c r="D2774">
        <v>0</v>
      </c>
      <c r="F2774">
        <v>0.435669999999998</v>
      </c>
      <c r="G2774">
        <v>22.999293036408599</v>
      </c>
      <c r="H2774">
        <v>1</v>
      </c>
      <c r="I2774">
        <v>0.52544440000000003</v>
      </c>
      <c r="J2774">
        <v>2014</v>
      </c>
      <c r="K2774">
        <v>10</v>
      </c>
      <c r="L2774">
        <v>30</v>
      </c>
      <c r="M2774" t="s">
        <v>90</v>
      </c>
      <c r="N2774">
        <v>0</v>
      </c>
      <c r="O2774">
        <v>0</v>
      </c>
    </row>
    <row r="2775" spans="1:15" x14ac:dyDescent="0.3">
      <c r="A2775">
        <v>2870</v>
      </c>
      <c r="B2775" s="34">
        <v>41943</v>
      </c>
      <c r="C2775">
        <v>1.26047</v>
      </c>
      <c r="D2775">
        <v>0</v>
      </c>
      <c r="F2775">
        <v>0.435669999999998</v>
      </c>
      <c r="G2775">
        <v>22.999293036408599</v>
      </c>
      <c r="H2775">
        <v>0</v>
      </c>
      <c r="I2775">
        <v>0.52526130000000004</v>
      </c>
      <c r="J2775">
        <v>2014</v>
      </c>
      <c r="K2775">
        <v>10</v>
      </c>
      <c r="L2775">
        <v>31</v>
      </c>
      <c r="M2775" t="s">
        <v>91</v>
      </c>
      <c r="N2775">
        <v>0</v>
      </c>
      <c r="O2775">
        <v>0</v>
      </c>
    </row>
    <row r="2776" spans="1:15" x14ac:dyDescent="0.3">
      <c r="A2776">
        <v>2871</v>
      </c>
      <c r="B2776" s="34">
        <v>41946</v>
      </c>
      <c r="C2776">
        <v>1.25231</v>
      </c>
      <c r="D2776">
        <v>0</v>
      </c>
      <c r="F2776">
        <v>0.435669999999998</v>
      </c>
      <c r="G2776">
        <v>22.999293036408599</v>
      </c>
      <c r="H2776">
        <v>0</v>
      </c>
      <c r="I2776">
        <v>0.52507839999999995</v>
      </c>
      <c r="J2776">
        <v>2014</v>
      </c>
      <c r="K2776">
        <v>11</v>
      </c>
      <c r="L2776">
        <v>3</v>
      </c>
      <c r="M2776" t="s">
        <v>92</v>
      </c>
      <c r="N2776">
        <v>0</v>
      </c>
      <c r="O2776">
        <v>0</v>
      </c>
    </row>
    <row r="2777" spans="1:15" x14ac:dyDescent="0.3">
      <c r="A2777">
        <v>2872</v>
      </c>
      <c r="B2777" s="34">
        <v>41947</v>
      </c>
      <c r="C2777">
        <v>1.2490300000000001</v>
      </c>
      <c r="D2777">
        <v>0</v>
      </c>
      <c r="F2777">
        <v>0.435669999999998</v>
      </c>
      <c r="G2777">
        <v>22.999293036408599</v>
      </c>
      <c r="H2777">
        <v>0</v>
      </c>
      <c r="I2777">
        <v>0.52489549999999996</v>
      </c>
      <c r="J2777">
        <v>2014</v>
      </c>
      <c r="K2777">
        <v>11</v>
      </c>
      <c r="L2777">
        <v>4</v>
      </c>
      <c r="M2777" t="s">
        <v>93</v>
      </c>
      <c r="N2777">
        <v>0</v>
      </c>
      <c r="O2777">
        <v>0</v>
      </c>
    </row>
    <row r="2778" spans="1:15" x14ac:dyDescent="0.3">
      <c r="A2778">
        <v>2873</v>
      </c>
      <c r="B2778" s="34">
        <v>41948</v>
      </c>
      <c r="C2778">
        <v>1.2552099999999999</v>
      </c>
      <c r="D2778">
        <v>0</v>
      </c>
      <c r="F2778">
        <v>0.435669999999998</v>
      </c>
      <c r="G2778">
        <v>22.999293036408599</v>
      </c>
      <c r="H2778">
        <v>0</v>
      </c>
      <c r="I2778">
        <v>0.52471290000000004</v>
      </c>
      <c r="J2778">
        <v>2014</v>
      </c>
      <c r="K2778">
        <v>11</v>
      </c>
      <c r="L2778">
        <v>5</v>
      </c>
      <c r="M2778" t="s">
        <v>89</v>
      </c>
      <c r="N2778">
        <v>0</v>
      </c>
      <c r="O2778">
        <v>0</v>
      </c>
    </row>
    <row r="2779" spans="1:15" x14ac:dyDescent="0.3">
      <c r="A2779">
        <v>2874</v>
      </c>
      <c r="B2779" s="34">
        <v>41949</v>
      </c>
      <c r="C2779">
        <v>1.24746</v>
      </c>
      <c r="D2779">
        <v>0</v>
      </c>
      <c r="F2779">
        <v>0.435669999999998</v>
      </c>
      <c r="G2779">
        <v>22.999293036408599</v>
      </c>
      <c r="H2779">
        <v>1</v>
      </c>
      <c r="I2779">
        <v>0.52487819999999996</v>
      </c>
      <c r="J2779">
        <v>2014</v>
      </c>
      <c r="K2779">
        <v>11</v>
      </c>
      <c r="L2779">
        <v>6</v>
      </c>
      <c r="M2779" t="s">
        <v>90</v>
      </c>
      <c r="N2779">
        <v>0</v>
      </c>
      <c r="O2779">
        <v>0</v>
      </c>
    </row>
    <row r="2780" spans="1:15" x14ac:dyDescent="0.3">
      <c r="A2780">
        <v>2875</v>
      </c>
      <c r="B2780" s="34">
        <v>41950</v>
      </c>
      <c r="C2780">
        <v>1.23786</v>
      </c>
      <c r="D2780">
        <v>0</v>
      </c>
      <c r="F2780">
        <v>0.435669999999998</v>
      </c>
      <c r="G2780">
        <v>22.999293036408599</v>
      </c>
      <c r="H2780">
        <v>0</v>
      </c>
      <c r="I2780">
        <v>0.52469560000000004</v>
      </c>
      <c r="J2780">
        <v>2014</v>
      </c>
      <c r="K2780">
        <v>11</v>
      </c>
      <c r="L2780">
        <v>7</v>
      </c>
      <c r="M2780" t="s">
        <v>91</v>
      </c>
      <c r="N2780">
        <v>0</v>
      </c>
      <c r="O2780">
        <v>0</v>
      </c>
    </row>
    <row r="2781" spans="1:15" x14ac:dyDescent="0.3">
      <c r="A2781">
        <v>2876</v>
      </c>
      <c r="B2781" s="34">
        <v>41953</v>
      </c>
      <c r="C2781">
        <v>1.24535</v>
      </c>
      <c r="D2781">
        <v>0</v>
      </c>
      <c r="F2781">
        <v>0.435669999999998</v>
      </c>
      <c r="G2781">
        <v>22.999293036408599</v>
      </c>
      <c r="H2781">
        <v>1</v>
      </c>
      <c r="I2781">
        <v>0.52486089999999996</v>
      </c>
      <c r="J2781">
        <v>2014</v>
      </c>
      <c r="K2781">
        <v>11</v>
      </c>
      <c r="L2781">
        <v>10</v>
      </c>
      <c r="M2781" t="s">
        <v>92</v>
      </c>
      <c r="N2781">
        <v>0</v>
      </c>
      <c r="O2781">
        <v>0</v>
      </c>
    </row>
    <row r="2782" spans="1:15" x14ac:dyDescent="0.3">
      <c r="A2782">
        <v>2877</v>
      </c>
      <c r="B2782" s="34">
        <v>41954</v>
      </c>
      <c r="C2782">
        <v>1.2423500000000001</v>
      </c>
      <c r="D2782">
        <v>0</v>
      </c>
      <c r="F2782">
        <v>0.435669999999998</v>
      </c>
      <c r="G2782">
        <v>22.999293036408599</v>
      </c>
      <c r="H2782">
        <v>1</v>
      </c>
      <c r="I2782">
        <v>0.52502610000000005</v>
      </c>
      <c r="J2782">
        <v>2014</v>
      </c>
      <c r="K2782">
        <v>11</v>
      </c>
      <c r="L2782">
        <v>11</v>
      </c>
      <c r="M2782" t="s">
        <v>93</v>
      </c>
      <c r="N2782">
        <v>0</v>
      </c>
      <c r="O2782">
        <v>0</v>
      </c>
    </row>
    <row r="2783" spans="1:15" x14ac:dyDescent="0.3">
      <c r="A2783">
        <v>2878</v>
      </c>
      <c r="B2783" s="34">
        <v>41955</v>
      </c>
      <c r="C2783">
        <v>1.2472799999999999</v>
      </c>
      <c r="D2783">
        <v>0</v>
      </c>
      <c r="F2783">
        <v>0.435669999999998</v>
      </c>
      <c r="G2783">
        <v>22.999293036408599</v>
      </c>
      <c r="H2783">
        <v>1</v>
      </c>
      <c r="I2783">
        <v>0.52519110000000002</v>
      </c>
      <c r="J2783">
        <v>2014</v>
      </c>
      <c r="K2783">
        <v>11</v>
      </c>
      <c r="L2783">
        <v>12</v>
      </c>
      <c r="M2783" t="s">
        <v>89</v>
      </c>
      <c r="N2783">
        <v>0</v>
      </c>
      <c r="O2783">
        <v>0</v>
      </c>
    </row>
    <row r="2784" spans="1:15" x14ac:dyDescent="0.3">
      <c r="A2784">
        <v>2879</v>
      </c>
      <c r="B2784" s="34">
        <v>41956</v>
      </c>
      <c r="C2784">
        <v>1.2427900000000001</v>
      </c>
      <c r="D2784">
        <v>0</v>
      </c>
      <c r="F2784">
        <v>0.435669999999998</v>
      </c>
      <c r="G2784">
        <v>22.999293036408599</v>
      </c>
      <c r="H2784">
        <v>1</v>
      </c>
      <c r="I2784">
        <v>0.52535609999999999</v>
      </c>
      <c r="J2784">
        <v>2014</v>
      </c>
      <c r="K2784">
        <v>11</v>
      </c>
      <c r="L2784">
        <v>13</v>
      </c>
      <c r="M2784" t="s">
        <v>90</v>
      </c>
      <c r="N2784">
        <v>0</v>
      </c>
      <c r="O2784">
        <v>0</v>
      </c>
    </row>
    <row r="2785" spans="1:15" x14ac:dyDescent="0.3">
      <c r="A2785">
        <v>2880</v>
      </c>
      <c r="B2785" s="34">
        <v>41957</v>
      </c>
      <c r="C2785">
        <v>1.2474700000000001</v>
      </c>
      <c r="D2785">
        <v>0</v>
      </c>
      <c r="F2785">
        <v>0.435669999999998</v>
      </c>
      <c r="G2785">
        <v>22.999293036408599</v>
      </c>
      <c r="H2785">
        <v>1</v>
      </c>
      <c r="I2785">
        <v>0.52552089999999996</v>
      </c>
      <c r="J2785">
        <v>2014</v>
      </c>
      <c r="K2785">
        <v>11</v>
      </c>
      <c r="L2785">
        <v>14</v>
      </c>
      <c r="M2785" t="s">
        <v>91</v>
      </c>
      <c r="N2785">
        <v>0</v>
      </c>
      <c r="O2785">
        <v>0</v>
      </c>
    </row>
    <row r="2786" spans="1:15" x14ac:dyDescent="0.3">
      <c r="A2786">
        <v>2881</v>
      </c>
      <c r="B2786" s="34">
        <v>41960</v>
      </c>
      <c r="C2786">
        <v>1.2521500000000001</v>
      </c>
      <c r="D2786">
        <v>0</v>
      </c>
      <c r="F2786">
        <v>0.435669999999998</v>
      </c>
      <c r="G2786">
        <v>22.999293036408599</v>
      </c>
      <c r="H2786">
        <v>0</v>
      </c>
      <c r="I2786">
        <v>0.52533839999999998</v>
      </c>
      <c r="J2786">
        <v>2014</v>
      </c>
      <c r="K2786">
        <v>11</v>
      </c>
      <c r="L2786">
        <v>17</v>
      </c>
      <c r="M2786" t="s">
        <v>92</v>
      </c>
      <c r="N2786">
        <v>0</v>
      </c>
      <c r="O2786">
        <v>0</v>
      </c>
    </row>
    <row r="2787" spans="1:15" x14ac:dyDescent="0.3">
      <c r="A2787">
        <v>2882</v>
      </c>
      <c r="B2787" s="34">
        <v>41961</v>
      </c>
      <c r="C2787">
        <v>1.24491</v>
      </c>
      <c r="D2787">
        <v>0</v>
      </c>
      <c r="F2787">
        <v>0.435669999999998</v>
      </c>
      <c r="G2787">
        <v>22.999293036408599</v>
      </c>
      <c r="H2787">
        <v>1</v>
      </c>
      <c r="I2787">
        <v>0.5255031</v>
      </c>
      <c r="J2787">
        <v>2014</v>
      </c>
      <c r="K2787">
        <v>11</v>
      </c>
      <c r="L2787">
        <v>18</v>
      </c>
      <c r="M2787" t="s">
        <v>93</v>
      </c>
      <c r="N2787">
        <v>0</v>
      </c>
      <c r="O2787">
        <v>0</v>
      </c>
    </row>
    <row r="2788" spans="1:15" x14ac:dyDescent="0.3">
      <c r="A2788">
        <v>2883</v>
      </c>
      <c r="B2788" s="34">
        <v>41962</v>
      </c>
      <c r="C2788">
        <v>1.2531099999999999</v>
      </c>
      <c r="D2788">
        <v>0</v>
      </c>
      <c r="F2788">
        <v>0.435669999999998</v>
      </c>
      <c r="G2788">
        <v>22.999293036408599</v>
      </c>
      <c r="H2788">
        <v>1</v>
      </c>
      <c r="I2788">
        <v>0.52566769999999996</v>
      </c>
      <c r="J2788">
        <v>2014</v>
      </c>
      <c r="K2788">
        <v>11</v>
      </c>
      <c r="L2788">
        <v>19</v>
      </c>
      <c r="M2788" t="s">
        <v>89</v>
      </c>
      <c r="N2788">
        <v>0</v>
      </c>
      <c r="O2788">
        <v>0</v>
      </c>
    </row>
    <row r="2789" spans="1:15" x14ac:dyDescent="0.3">
      <c r="A2789">
        <v>2884</v>
      </c>
      <c r="B2789" s="34">
        <v>41963</v>
      </c>
      <c r="C2789">
        <v>1.2544599999999999</v>
      </c>
      <c r="D2789">
        <v>0</v>
      </c>
      <c r="F2789">
        <v>0.435669999999998</v>
      </c>
      <c r="G2789">
        <v>22.999293036408599</v>
      </c>
      <c r="H2789">
        <v>0</v>
      </c>
      <c r="I2789">
        <v>0.52548550000000005</v>
      </c>
      <c r="J2789">
        <v>2014</v>
      </c>
      <c r="K2789">
        <v>11</v>
      </c>
      <c r="L2789">
        <v>20</v>
      </c>
      <c r="M2789" t="s">
        <v>90</v>
      </c>
      <c r="N2789">
        <v>0</v>
      </c>
      <c r="O2789">
        <v>0</v>
      </c>
    </row>
    <row r="2790" spans="1:15" x14ac:dyDescent="0.3">
      <c r="A2790">
        <v>2885</v>
      </c>
      <c r="B2790" s="34">
        <v>41964</v>
      </c>
      <c r="C2790">
        <v>1.25413</v>
      </c>
      <c r="D2790">
        <v>0</v>
      </c>
      <c r="F2790">
        <v>0.435669999999998</v>
      </c>
      <c r="G2790">
        <v>22.999293036408599</v>
      </c>
      <c r="H2790">
        <v>1</v>
      </c>
      <c r="I2790">
        <v>0.5256499</v>
      </c>
      <c r="J2790">
        <v>2014</v>
      </c>
      <c r="K2790">
        <v>11</v>
      </c>
      <c r="L2790">
        <v>21</v>
      </c>
      <c r="M2790" t="s">
        <v>91</v>
      </c>
      <c r="N2790">
        <v>0</v>
      </c>
      <c r="O2790">
        <v>0</v>
      </c>
    </row>
    <row r="2791" spans="1:15" x14ac:dyDescent="0.3">
      <c r="A2791">
        <v>2886</v>
      </c>
      <c r="B2791" s="34">
        <v>41967</v>
      </c>
      <c r="C2791">
        <v>1.23892</v>
      </c>
      <c r="D2791">
        <v>0</v>
      </c>
      <c r="F2791">
        <v>0.435669999999998</v>
      </c>
      <c r="G2791">
        <v>22.999293036408599</v>
      </c>
      <c r="H2791">
        <v>1</v>
      </c>
      <c r="I2791">
        <v>0.52581429999999996</v>
      </c>
      <c r="J2791">
        <v>2014</v>
      </c>
      <c r="K2791">
        <v>11</v>
      </c>
      <c r="L2791">
        <v>24</v>
      </c>
      <c r="M2791" t="s">
        <v>92</v>
      </c>
      <c r="N2791">
        <v>0</v>
      </c>
      <c r="O2791">
        <v>0</v>
      </c>
    </row>
    <row r="2792" spans="1:15" x14ac:dyDescent="0.3">
      <c r="A2792">
        <v>2887</v>
      </c>
      <c r="B2792" s="34">
        <v>41968</v>
      </c>
      <c r="C2792">
        <v>1.2441</v>
      </c>
      <c r="D2792">
        <v>0</v>
      </c>
      <c r="F2792">
        <v>0.435669999999998</v>
      </c>
      <c r="G2792">
        <v>22.999293036408599</v>
      </c>
      <c r="H2792">
        <v>1</v>
      </c>
      <c r="I2792">
        <v>0.52597850000000002</v>
      </c>
      <c r="J2792">
        <v>2014</v>
      </c>
      <c r="K2792">
        <v>11</v>
      </c>
      <c r="L2792">
        <v>25</v>
      </c>
      <c r="M2792" t="s">
        <v>93</v>
      </c>
      <c r="N2792">
        <v>0</v>
      </c>
      <c r="O2792">
        <v>0</v>
      </c>
    </row>
    <row r="2793" spans="1:15" x14ac:dyDescent="0.3">
      <c r="A2793">
        <v>2888</v>
      </c>
      <c r="B2793" s="34">
        <v>41969</v>
      </c>
      <c r="C2793">
        <v>1.24736</v>
      </c>
      <c r="D2793">
        <v>-1</v>
      </c>
      <c r="F2793">
        <v>0.43258999999999798</v>
      </c>
      <c r="G2793">
        <v>23.543655001767402</v>
      </c>
      <c r="H2793">
        <v>1</v>
      </c>
      <c r="I2793">
        <v>0.52614269999999996</v>
      </c>
      <c r="J2793">
        <v>2014</v>
      </c>
      <c r="K2793">
        <v>11</v>
      </c>
      <c r="L2793">
        <v>26</v>
      </c>
      <c r="M2793" t="s">
        <v>89</v>
      </c>
      <c r="N2793">
        <v>0</v>
      </c>
      <c r="O2793">
        <v>0</v>
      </c>
    </row>
    <row r="2794" spans="1:15" x14ac:dyDescent="0.3">
      <c r="A2794">
        <v>2889</v>
      </c>
      <c r="B2794" s="34">
        <v>41970</v>
      </c>
      <c r="C2794">
        <v>1.25044</v>
      </c>
      <c r="D2794">
        <v>0</v>
      </c>
      <c r="F2794">
        <v>0.43258999999999798</v>
      </c>
      <c r="G2794">
        <v>23.543655001767402</v>
      </c>
      <c r="H2794">
        <v>0</v>
      </c>
      <c r="I2794">
        <v>0.5259606</v>
      </c>
      <c r="J2794">
        <v>2014</v>
      </c>
      <c r="K2794">
        <v>11</v>
      </c>
      <c r="L2794">
        <v>27</v>
      </c>
      <c r="M2794" t="s">
        <v>90</v>
      </c>
      <c r="N2794">
        <v>0</v>
      </c>
      <c r="O2794">
        <v>0</v>
      </c>
    </row>
    <row r="2795" spans="1:15" x14ac:dyDescent="0.3">
      <c r="A2795">
        <v>2890</v>
      </c>
      <c r="B2795" s="34">
        <v>41971</v>
      </c>
      <c r="C2795">
        <v>1.24664</v>
      </c>
      <c r="D2795">
        <v>0</v>
      </c>
      <c r="F2795">
        <v>0.43258999999999798</v>
      </c>
      <c r="G2795">
        <v>23.543655001767402</v>
      </c>
      <c r="H2795">
        <v>1</v>
      </c>
      <c r="I2795">
        <v>0.52612460000000005</v>
      </c>
      <c r="J2795">
        <v>2014</v>
      </c>
      <c r="K2795">
        <v>11</v>
      </c>
      <c r="L2795">
        <v>28</v>
      </c>
      <c r="M2795" t="s">
        <v>91</v>
      </c>
      <c r="N2795">
        <v>0</v>
      </c>
      <c r="O2795">
        <v>0</v>
      </c>
    </row>
    <row r="2796" spans="1:15" x14ac:dyDescent="0.3">
      <c r="A2796">
        <v>2891</v>
      </c>
      <c r="B2796" s="34">
        <v>41974</v>
      </c>
      <c r="C2796">
        <v>1.24498</v>
      </c>
      <c r="D2796">
        <v>0</v>
      </c>
      <c r="F2796">
        <v>0.43258999999999798</v>
      </c>
      <c r="G2796">
        <v>23.543655001767402</v>
      </c>
      <c r="H2796">
        <v>0</v>
      </c>
      <c r="I2796">
        <v>0.52594260000000004</v>
      </c>
      <c r="J2796">
        <v>2014</v>
      </c>
      <c r="K2796">
        <v>12</v>
      </c>
      <c r="L2796">
        <v>1</v>
      </c>
      <c r="M2796" t="s">
        <v>92</v>
      </c>
      <c r="N2796">
        <v>0</v>
      </c>
      <c r="O2796">
        <v>0</v>
      </c>
    </row>
    <row r="2797" spans="1:15" x14ac:dyDescent="0.3">
      <c r="A2797">
        <v>2892</v>
      </c>
      <c r="B2797" s="34">
        <v>41975</v>
      </c>
      <c r="C2797">
        <v>1.24682</v>
      </c>
      <c r="D2797">
        <v>0</v>
      </c>
      <c r="F2797">
        <v>0.43258999999999798</v>
      </c>
      <c r="G2797">
        <v>23.543655001767402</v>
      </c>
      <c r="H2797">
        <v>1</v>
      </c>
      <c r="I2797">
        <v>0.52610650000000003</v>
      </c>
      <c r="J2797">
        <v>2014</v>
      </c>
      <c r="K2797">
        <v>12</v>
      </c>
      <c r="L2797">
        <v>2</v>
      </c>
      <c r="M2797" t="s">
        <v>93</v>
      </c>
      <c r="N2797">
        <v>0</v>
      </c>
      <c r="O2797">
        <v>0</v>
      </c>
    </row>
    <row r="2798" spans="1:15" x14ac:dyDescent="0.3">
      <c r="A2798">
        <v>2893</v>
      </c>
      <c r="B2798" s="34">
        <v>41976</v>
      </c>
      <c r="C2798">
        <v>1.2381800000000001</v>
      </c>
      <c r="D2798">
        <v>0</v>
      </c>
      <c r="F2798">
        <v>0.43258999999999798</v>
      </c>
      <c r="G2798">
        <v>23.543655001767402</v>
      </c>
      <c r="H2798">
        <v>1</v>
      </c>
      <c r="I2798">
        <v>0.52627029999999997</v>
      </c>
      <c r="J2798">
        <v>2014</v>
      </c>
      <c r="K2798">
        <v>12</v>
      </c>
      <c r="L2798">
        <v>3</v>
      </c>
      <c r="M2798" t="s">
        <v>89</v>
      </c>
      <c r="N2798">
        <v>0</v>
      </c>
      <c r="O2798">
        <v>0</v>
      </c>
    </row>
    <row r="2799" spans="1:15" x14ac:dyDescent="0.3">
      <c r="A2799">
        <v>2894</v>
      </c>
      <c r="B2799" s="34">
        <v>41977</v>
      </c>
      <c r="C2799">
        <v>1.23092</v>
      </c>
      <c r="D2799">
        <v>0</v>
      </c>
      <c r="F2799">
        <v>0.43258999999999798</v>
      </c>
      <c r="G2799">
        <v>23.543655001767402</v>
      </c>
      <c r="H2799">
        <v>0</v>
      </c>
      <c r="I2799">
        <v>0.52608849999999996</v>
      </c>
      <c r="J2799">
        <v>2014</v>
      </c>
      <c r="K2799">
        <v>12</v>
      </c>
      <c r="L2799">
        <v>4</v>
      </c>
      <c r="M2799" t="s">
        <v>90</v>
      </c>
      <c r="N2799">
        <v>0</v>
      </c>
      <c r="O2799">
        <v>0</v>
      </c>
    </row>
    <row r="2800" spans="1:15" x14ac:dyDescent="0.3">
      <c r="A2800">
        <v>2895</v>
      </c>
      <c r="B2800" s="34">
        <v>41978</v>
      </c>
      <c r="C2800">
        <v>1.23787</v>
      </c>
      <c r="D2800">
        <v>0</v>
      </c>
      <c r="F2800">
        <v>0.43258999999999798</v>
      </c>
      <c r="G2800">
        <v>23.543655001767402</v>
      </c>
      <c r="H2800">
        <v>1</v>
      </c>
      <c r="I2800">
        <v>0.52625219999999995</v>
      </c>
      <c r="J2800">
        <v>2014</v>
      </c>
      <c r="K2800">
        <v>12</v>
      </c>
      <c r="L2800">
        <v>5</v>
      </c>
      <c r="M2800" t="s">
        <v>91</v>
      </c>
      <c r="N2800">
        <v>0</v>
      </c>
      <c r="O2800">
        <v>0</v>
      </c>
    </row>
    <row r="2801" spans="1:15" x14ac:dyDescent="0.3">
      <c r="A2801">
        <v>2896</v>
      </c>
      <c r="B2801" s="34">
        <v>41981</v>
      </c>
      <c r="C2801">
        <v>1.22844</v>
      </c>
      <c r="D2801">
        <v>0</v>
      </c>
      <c r="F2801">
        <v>0.43258999999999798</v>
      </c>
      <c r="G2801">
        <v>23.543655001767402</v>
      </c>
      <c r="H2801">
        <v>1</v>
      </c>
      <c r="I2801">
        <v>0.52641579999999999</v>
      </c>
      <c r="J2801">
        <v>2014</v>
      </c>
      <c r="K2801">
        <v>12</v>
      </c>
      <c r="L2801">
        <v>8</v>
      </c>
      <c r="M2801" t="s">
        <v>92</v>
      </c>
      <c r="N2801">
        <v>0</v>
      </c>
      <c r="O2801">
        <v>0</v>
      </c>
    </row>
    <row r="2802" spans="1:15" x14ac:dyDescent="0.3">
      <c r="A2802">
        <v>2897</v>
      </c>
      <c r="B2802" s="34">
        <v>41982</v>
      </c>
      <c r="C2802">
        <v>1.2316199999999999</v>
      </c>
      <c r="D2802">
        <v>0</v>
      </c>
      <c r="F2802">
        <v>0.43258999999999798</v>
      </c>
      <c r="G2802">
        <v>23.543655001767402</v>
      </c>
      <c r="H2802">
        <v>1</v>
      </c>
      <c r="I2802">
        <v>0.52657920000000003</v>
      </c>
      <c r="J2802">
        <v>2014</v>
      </c>
      <c r="K2802">
        <v>12</v>
      </c>
      <c r="L2802">
        <v>9</v>
      </c>
      <c r="M2802" t="s">
        <v>93</v>
      </c>
      <c r="N2802">
        <v>0</v>
      </c>
      <c r="O2802">
        <v>0</v>
      </c>
    </row>
    <row r="2803" spans="1:15" x14ac:dyDescent="0.3">
      <c r="A2803">
        <v>2898</v>
      </c>
      <c r="B2803" s="34">
        <v>41983</v>
      </c>
      <c r="C2803">
        <v>1.23736</v>
      </c>
      <c r="D2803">
        <v>0</v>
      </c>
      <c r="F2803">
        <v>0.43258999999999798</v>
      </c>
      <c r="G2803">
        <v>23.543655001767402</v>
      </c>
      <c r="H2803">
        <v>1</v>
      </c>
      <c r="I2803">
        <v>0.52674259999999995</v>
      </c>
      <c r="J2803">
        <v>2014</v>
      </c>
      <c r="K2803">
        <v>12</v>
      </c>
      <c r="L2803">
        <v>10</v>
      </c>
      <c r="M2803" t="s">
        <v>89</v>
      </c>
      <c r="N2803">
        <v>0</v>
      </c>
      <c r="O2803">
        <v>0</v>
      </c>
    </row>
    <row r="2804" spans="1:15" x14ac:dyDescent="0.3">
      <c r="A2804">
        <v>2899</v>
      </c>
      <c r="B2804" s="34">
        <v>41984</v>
      </c>
      <c r="C2804">
        <v>1.2446699999999999</v>
      </c>
      <c r="D2804">
        <v>0</v>
      </c>
      <c r="F2804">
        <v>0.43258999999999798</v>
      </c>
      <c r="G2804">
        <v>23.543655001767402</v>
      </c>
      <c r="H2804">
        <v>0</v>
      </c>
      <c r="I2804">
        <v>0.5265609</v>
      </c>
      <c r="J2804">
        <v>2014</v>
      </c>
      <c r="K2804">
        <v>12</v>
      </c>
      <c r="L2804">
        <v>11</v>
      </c>
      <c r="M2804" t="s">
        <v>90</v>
      </c>
      <c r="N2804">
        <v>0</v>
      </c>
      <c r="O2804">
        <v>0</v>
      </c>
    </row>
    <row r="2805" spans="1:15" x14ac:dyDescent="0.3">
      <c r="A2805">
        <v>2900</v>
      </c>
      <c r="B2805" s="34">
        <v>41985</v>
      </c>
      <c r="C2805">
        <v>1.2407999999999999</v>
      </c>
      <c r="D2805">
        <v>0</v>
      </c>
      <c r="F2805">
        <v>0.43258999999999798</v>
      </c>
      <c r="G2805">
        <v>23.543655001767402</v>
      </c>
      <c r="H2805">
        <v>1</v>
      </c>
      <c r="I2805">
        <v>0.52672419999999998</v>
      </c>
      <c r="J2805">
        <v>2014</v>
      </c>
      <c r="K2805">
        <v>12</v>
      </c>
      <c r="L2805">
        <v>12</v>
      </c>
      <c r="M2805" t="s">
        <v>91</v>
      </c>
      <c r="N2805">
        <v>0</v>
      </c>
      <c r="O2805">
        <v>0</v>
      </c>
    </row>
    <row r="2806" spans="1:15" x14ac:dyDescent="0.3">
      <c r="A2806">
        <v>2901</v>
      </c>
      <c r="B2806" s="34">
        <v>41988</v>
      </c>
      <c r="C2806">
        <v>1.246</v>
      </c>
      <c r="D2806">
        <v>-5</v>
      </c>
      <c r="F2806">
        <v>0.43513999999999797</v>
      </c>
      <c r="G2806">
        <v>23.092965712265801</v>
      </c>
      <c r="H2806">
        <v>0</v>
      </c>
      <c r="I2806">
        <v>0.52654250000000002</v>
      </c>
      <c r="J2806">
        <v>2014</v>
      </c>
      <c r="K2806">
        <v>12</v>
      </c>
      <c r="L2806">
        <v>15</v>
      </c>
      <c r="M2806" t="s">
        <v>92</v>
      </c>
      <c r="N2806">
        <v>0</v>
      </c>
      <c r="O2806">
        <v>0</v>
      </c>
    </row>
    <row r="2807" spans="1:15" x14ac:dyDescent="0.3">
      <c r="A2807">
        <v>2902</v>
      </c>
      <c r="B2807" s="34">
        <v>41989</v>
      </c>
      <c r="C2807">
        <v>1.2434499999999999</v>
      </c>
      <c r="D2807">
        <v>0</v>
      </c>
      <c r="F2807">
        <v>0.43513999999999797</v>
      </c>
      <c r="G2807">
        <v>23.092965712265801</v>
      </c>
      <c r="H2807">
        <v>1</v>
      </c>
      <c r="I2807">
        <v>0.52670570000000005</v>
      </c>
      <c r="J2807">
        <v>2014</v>
      </c>
      <c r="K2807">
        <v>12</v>
      </c>
      <c r="L2807">
        <v>16</v>
      </c>
      <c r="M2807" t="s">
        <v>93</v>
      </c>
      <c r="N2807">
        <v>0</v>
      </c>
      <c r="O2807">
        <v>0</v>
      </c>
    </row>
    <row r="2808" spans="1:15" x14ac:dyDescent="0.3">
      <c r="A2808">
        <v>2903</v>
      </c>
      <c r="B2808" s="34">
        <v>41990</v>
      </c>
      <c r="C2808">
        <v>1.25102</v>
      </c>
      <c r="D2808">
        <v>0</v>
      </c>
      <c r="F2808">
        <v>0.43513999999999797</v>
      </c>
      <c r="G2808">
        <v>23.092965712265801</v>
      </c>
      <c r="H2808">
        <v>0</v>
      </c>
      <c r="I2808">
        <v>0.52652429999999995</v>
      </c>
      <c r="J2808">
        <v>2014</v>
      </c>
      <c r="K2808">
        <v>12</v>
      </c>
      <c r="L2808">
        <v>17</v>
      </c>
      <c r="M2808" t="s">
        <v>89</v>
      </c>
      <c r="N2808">
        <v>0</v>
      </c>
      <c r="O2808">
        <v>0</v>
      </c>
    </row>
    <row r="2809" spans="1:15" x14ac:dyDescent="0.3">
      <c r="A2809">
        <v>2904</v>
      </c>
      <c r="B2809" s="34">
        <v>41991</v>
      </c>
      <c r="C2809">
        <v>1.2340599999999999</v>
      </c>
      <c r="D2809">
        <v>0</v>
      </c>
      <c r="F2809">
        <v>0.43513999999999797</v>
      </c>
      <c r="G2809">
        <v>23.092965712265801</v>
      </c>
      <c r="H2809">
        <v>1</v>
      </c>
      <c r="I2809">
        <v>0.52668729999999997</v>
      </c>
      <c r="J2809">
        <v>2014</v>
      </c>
      <c r="K2809">
        <v>12</v>
      </c>
      <c r="L2809">
        <v>18</v>
      </c>
      <c r="M2809" t="s">
        <v>90</v>
      </c>
      <c r="N2809">
        <v>0</v>
      </c>
      <c r="O2809">
        <v>0</v>
      </c>
    </row>
    <row r="2810" spans="1:15" x14ac:dyDescent="0.3">
      <c r="A2810">
        <v>2905</v>
      </c>
      <c r="B2810" s="34">
        <v>41992</v>
      </c>
      <c r="C2810">
        <v>1.2285600000000001</v>
      </c>
      <c r="D2810">
        <v>0</v>
      </c>
      <c r="F2810">
        <v>0.43513999999999797</v>
      </c>
      <c r="G2810">
        <v>23.092965712265801</v>
      </c>
      <c r="H2810">
        <v>0</v>
      </c>
      <c r="I2810">
        <v>0.52650600000000003</v>
      </c>
      <c r="J2810">
        <v>2014</v>
      </c>
      <c r="K2810">
        <v>12</v>
      </c>
      <c r="L2810">
        <v>19</v>
      </c>
      <c r="M2810" t="s">
        <v>91</v>
      </c>
      <c r="N2810">
        <v>0</v>
      </c>
      <c r="O2810">
        <v>0</v>
      </c>
    </row>
    <row r="2811" spans="1:15" x14ac:dyDescent="0.3">
      <c r="A2811">
        <v>2906</v>
      </c>
      <c r="B2811" s="34">
        <v>41995</v>
      </c>
      <c r="C2811">
        <v>1.22224</v>
      </c>
      <c r="D2811">
        <v>0</v>
      </c>
      <c r="F2811">
        <v>0.43513999999999797</v>
      </c>
      <c r="G2811">
        <v>23.092965712265801</v>
      </c>
      <c r="H2811">
        <v>0</v>
      </c>
      <c r="I2811">
        <v>0.52632489999999998</v>
      </c>
      <c r="J2811">
        <v>2014</v>
      </c>
      <c r="K2811">
        <v>12</v>
      </c>
      <c r="L2811">
        <v>22</v>
      </c>
      <c r="M2811" t="s">
        <v>92</v>
      </c>
      <c r="N2811">
        <v>0</v>
      </c>
      <c r="O2811">
        <v>0</v>
      </c>
    </row>
    <row r="2812" spans="1:15" x14ac:dyDescent="0.3">
      <c r="A2812">
        <v>2907</v>
      </c>
      <c r="B2812" s="34">
        <v>41996</v>
      </c>
      <c r="C2812">
        <v>1.22285</v>
      </c>
      <c r="D2812">
        <v>0</v>
      </c>
      <c r="F2812">
        <v>0.43513999999999797</v>
      </c>
      <c r="G2812">
        <v>23.092965712265801</v>
      </c>
      <c r="H2812">
        <v>1</v>
      </c>
      <c r="I2812">
        <v>0.52648779999999995</v>
      </c>
      <c r="J2812">
        <v>2014</v>
      </c>
      <c r="K2812">
        <v>12</v>
      </c>
      <c r="L2812">
        <v>23</v>
      </c>
      <c r="M2812" t="s">
        <v>93</v>
      </c>
      <c r="N2812">
        <v>0</v>
      </c>
      <c r="O2812">
        <v>0</v>
      </c>
    </row>
    <row r="2813" spans="1:15" x14ac:dyDescent="0.3">
      <c r="A2813">
        <v>2908</v>
      </c>
      <c r="B2813" s="34">
        <v>41997</v>
      </c>
      <c r="C2813">
        <v>1.2172099999999999</v>
      </c>
      <c r="D2813">
        <v>0</v>
      </c>
      <c r="F2813">
        <v>0.43513999999999797</v>
      </c>
      <c r="G2813">
        <v>23.092965712265801</v>
      </c>
      <c r="H2813">
        <v>1</v>
      </c>
      <c r="I2813">
        <v>0.52665059999999997</v>
      </c>
      <c r="J2813">
        <v>2014</v>
      </c>
      <c r="K2813">
        <v>12</v>
      </c>
      <c r="L2813">
        <v>24</v>
      </c>
      <c r="M2813" t="s">
        <v>89</v>
      </c>
      <c r="N2813">
        <v>0</v>
      </c>
      <c r="O2813">
        <v>0</v>
      </c>
    </row>
    <row r="2814" spans="1:15" x14ac:dyDescent="0.3">
      <c r="A2814">
        <v>2909</v>
      </c>
      <c r="B2814" s="34">
        <v>41999</v>
      </c>
      <c r="C2814">
        <v>1.2189099999999999</v>
      </c>
      <c r="D2814">
        <v>0</v>
      </c>
      <c r="F2814">
        <v>0.43513999999999797</v>
      </c>
      <c r="G2814">
        <v>23.092965712265801</v>
      </c>
      <c r="H2814">
        <v>1</v>
      </c>
      <c r="I2814">
        <v>0.52681330000000004</v>
      </c>
      <c r="J2814">
        <v>2014</v>
      </c>
      <c r="K2814">
        <v>12</v>
      </c>
      <c r="L2814">
        <v>26</v>
      </c>
      <c r="M2814" t="s">
        <v>91</v>
      </c>
      <c r="N2814">
        <v>0</v>
      </c>
      <c r="O2814">
        <v>0</v>
      </c>
    </row>
    <row r="2815" spans="1:15" x14ac:dyDescent="0.3">
      <c r="A2815">
        <v>2910</v>
      </c>
      <c r="B2815" s="34">
        <v>42002</v>
      </c>
      <c r="C2815">
        <v>1.21773</v>
      </c>
      <c r="D2815">
        <v>0</v>
      </c>
      <c r="F2815">
        <v>0.43513999999999797</v>
      </c>
      <c r="G2815">
        <v>23.092965712265801</v>
      </c>
      <c r="H2815">
        <v>1</v>
      </c>
      <c r="I2815">
        <v>0.52697590000000005</v>
      </c>
      <c r="J2815">
        <v>2014</v>
      </c>
      <c r="K2815">
        <v>12</v>
      </c>
      <c r="L2815">
        <v>29</v>
      </c>
      <c r="M2815" t="s">
        <v>92</v>
      </c>
      <c r="N2815">
        <v>0</v>
      </c>
      <c r="O2815">
        <v>0</v>
      </c>
    </row>
    <row r="2816" spans="1:15" x14ac:dyDescent="0.3">
      <c r="A2816">
        <v>2911</v>
      </c>
      <c r="B2816" s="34">
        <v>42003</v>
      </c>
      <c r="C2816">
        <v>1.2150000000000001</v>
      </c>
      <c r="D2816">
        <v>0</v>
      </c>
      <c r="F2816">
        <v>0.43513999999999797</v>
      </c>
      <c r="G2816">
        <v>23.092965712265801</v>
      </c>
      <c r="H2816">
        <v>0</v>
      </c>
      <c r="I2816">
        <v>0.52679489999999995</v>
      </c>
      <c r="J2816">
        <v>2014</v>
      </c>
      <c r="K2816">
        <v>12</v>
      </c>
      <c r="L2816">
        <v>30</v>
      </c>
      <c r="M2816" t="s">
        <v>93</v>
      </c>
      <c r="N2816">
        <v>0</v>
      </c>
      <c r="O2816">
        <v>0</v>
      </c>
    </row>
    <row r="2817" spans="1:15" x14ac:dyDescent="0.3">
      <c r="A2817">
        <v>2912</v>
      </c>
      <c r="B2817" s="34">
        <v>42004</v>
      </c>
      <c r="C2817">
        <v>1.21546</v>
      </c>
      <c r="D2817">
        <v>0</v>
      </c>
      <c r="F2817">
        <v>0.43513999999999797</v>
      </c>
      <c r="G2817">
        <v>23.092965712265801</v>
      </c>
      <c r="H2817">
        <v>1</v>
      </c>
      <c r="I2817">
        <v>0.52695740000000002</v>
      </c>
      <c r="J2817">
        <v>2014</v>
      </c>
      <c r="K2817">
        <v>12</v>
      </c>
      <c r="L2817">
        <v>31</v>
      </c>
      <c r="M2817" t="s">
        <v>89</v>
      </c>
      <c r="N2817">
        <v>0</v>
      </c>
      <c r="O2817">
        <v>0</v>
      </c>
    </row>
    <row r="2818" spans="1:15" x14ac:dyDescent="0.3">
      <c r="A2818">
        <v>2913</v>
      </c>
      <c r="B2818" s="34">
        <v>42006</v>
      </c>
      <c r="C2818">
        <v>1.21018</v>
      </c>
      <c r="D2818">
        <v>0</v>
      </c>
      <c r="F2818">
        <v>0.43513999999999797</v>
      </c>
      <c r="G2818">
        <v>23.092965712265801</v>
      </c>
      <c r="H2818">
        <v>0</v>
      </c>
      <c r="I2818">
        <v>0.52677649999999998</v>
      </c>
      <c r="J2818">
        <v>2015</v>
      </c>
      <c r="K2818">
        <v>1</v>
      </c>
      <c r="L2818">
        <v>2</v>
      </c>
      <c r="M2818" t="s">
        <v>91</v>
      </c>
      <c r="N2818">
        <v>0</v>
      </c>
      <c r="O2818">
        <v>0</v>
      </c>
    </row>
    <row r="2819" spans="1:15" x14ac:dyDescent="0.3">
      <c r="A2819">
        <v>2914</v>
      </c>
      <c r="B2819" s="34">
        <v>42009</v>
      </c>
      <c r="C2819">
        <v>1.20014</v>
      </c>
      <c r="D2819">
        <v>0</v>
      </c>
      <c r="F2819">
        <v>0.43513999999999797</v>
      </c>
      <c r="G2819">
        <v>23.092965712265801</v>
      </c>
      <c r="H2819">
        <v>0</v>
      </c>
      <c r="I2819">
        <v>0.52659579999999995</v>
      </c>
      <c r="J2819">
        <v>2015</v>
      </c>
      <c r="K2819">
        <v>1</v>
      </c>
      <c r="L2819">
        <v>5</v>
      </c>
      <c r="M2819" t="s">
        <v>92</v>
      </c>
      <c r="N2819">
        <v>0</v>
      </c>
      <c r="O2819">
        <v>0</v>
      </c>
    </row>
    <row r="2820" spans="1:15" x14ac:dyDescent="0.3">
      <c r="A2820">
        <v>2915</v>
      </c>
      <c r="B2820" s="34">
        <v>42010</v>
      </c>
      <c r="C2820">
        <v>1.1931700000000001</v>
      </c>
      <c r="D2820">
        <v>0</v>
      </c>
      <c r="F2820">
        <v>0.43513999999999797</v>
      </c>
      <c r="G2820">
        <v>23.092965712265801</v>
      </c>
      <c r="H2820">
        <v>0</v>
      </c>
      <c r="I2820">
        <v>0.52641510000000002</v>
      </c>
      <c r="J2820">
        <v>2015</v>
      </c>
      <c r="K2820">
        <v>1</v>
      </c>
      <c r="L2820">
        <v>6</v>
      </c>
      <c r="M2820" t="s">
        <v>93</v>
      </c>
      <c r="N2820">
        <v>0</v>
      </c>
      <c r="O2820">
        <v>0</v>
      </c>
    </row>
    <row r="2821" spans="1:15" x14ac:dyDescent="0.3">
      <c r="A2821">
        <v>2916</v>
      </c>
      <c r="B2821" s="34">
        <v>42011</v>
      </c>
      <c r="C2821">
        <v>1.1888700000000001</v>
      </c>
      <c r="D2821">
        <v>0</v>
      </c>
      <c r="F2821">
        <v>0.43513999999999797</v>
      </c>
      <c r="G2821">
        <v>23.092965712265801</v>
      </c>
      <c r="H2821">
        <v>0</v>
      </c>
      <c r="I2821">
        <v>0.5262346</v>
      </c>
      <c r="J2821">
        <v>2015</v>
      </c>
      <c r="K2821">
        <v>1</v>
      </c>
      <c r="L2821">
        <v>7</v>
      </c>
      <c r="M2821" t="s">
        <v>89</v>
      </c>
      <c r="N2821">
        <v>0</v>
      </c>
      <c r="O2821">
        <v>0</v>
      </c>
    </row>
    <row r="2822" spans="1:15" x14ac:dyDescent="0.3">
      <c r="A2822">
        <v>2917</v>
      </c>
      <c r="B2822" s="34">
        <v>42012</v>
      </c>
      <c r="C2822">
        <v>1.1838599999999999</v>
      </c>
      <c r="D2822">
        <v>0</v>
      </c>
      <c r="F2822">
        <v>0.43513999999999797</v>
      </c>
      <c r="G2822">
        <v>23.092965712265801</v>
      </c>
      <c r="H2822">
        <v>0</v>
      </c>
      <c r="I2822">
        <v>0.52605409999999997</v>
      </c>
      <c r="J2822">
        <v>2015</v>
      </c>
      <c r="K2822">
        <v>1</v>
      </c>
      <c r="L2822">
        <v>8</v>
      </c>
      <c r="M2822" t="s">
        <v>90</v>
      </c>
      <c r="N2822">
        <v>0</v>
      </c>
      <c r="O2822">
        <v>0</v>
      </c>
    </row>
    <row r="2823" spans="1:15" x14ac:dyDescent="0.3">
      <c r="A2823">
        <v>2918</v>
      </c>
      <c r="B2823" s="34">
        <v>42013</v>
      </c>
      <c r="C2823">
        <v>1.17899</v>
      </c>
      <c r="D2823">
        <v>0</v>
      </c>
      <c r="F2823">
        <v>0.43513999999999797</v>
      </c>
      <c r="G2823">
        <v>23.092965712265801</v>
      </c>
      <c r="H2823">
        <v>0</v>
      </c>
      <c r="I2823">
        <v>0.52587390000000001</v>
      </c>
      <c r="J2823">
        <v>2015</v>
      </c>
      <c r="K2823">
        <v>1</v>
      </c>
      <c r="L2823">
        <v>9</v>
      </c>
      <c r="M2823" t="s">
        <v>91</v>
      </c>
      <c r="N2823">
        <v>0</v>
      </c>
      <c r="O2823">
        <v>0</v>
      </c>
    </row>
    <row r="2824" spans="1:15" x14ac:dyDescent="0.3">
      <c r="A2824">
        <v>2919</v>
      </c>
      <c r="B2824" s="34">
        <v>42016</v>
      </c>
      <c r="C2824">
        <v>1.1840200000000001</v>
      </c>
      <c r="D2824">
        <v>0</v>
      </c>
      <c r="F2824">
        <v>0.43513999999999797</v>
      </c>
      <c r="G2824">
        <v>23.092965712265801</v>
      </c>
      <c r="H2824">
        <v>1</v>
      </c>
      <c r="I2824">
        <v>0.52603630000000001</v>
      </c>
      <c r="J2824">
        <v>2015</v>
      </c>
      <c r="K2824">
        <v>1</v>
      </c>
      <c r="L2824">
        <v>12</v>
      </c>
      <c r="M2824" t="s">
        <v>92</v>
      </c>
      <c r="N2824">
        <v>0</v>
      </c>
      <c r="O2824">
        <v>0</v>
      </c>
    </row>
    <row r="2825" spans="1:15" x14ac:dyDescent="0.3">
      <c r="A2825">
        <v>2920</v>
      </c>
      <c r="B2825" s="34">
        <v>42017</v>
      </c>
      <c r="C2825">
        <v>1.1832499999999999</v>
      </c>
      <c r="D2825">
        <v>0</v>
      </c>
      <c r="F2825">
        <v>0.43513999999999797</v>
      </c>
      <c r="G2825">
        <v>23.092965712265801</v>
      </c>
      <c r="H2825">
        <v>1</v>
      </c>
      <c r="I2825">
        <v>0.52619859999999996</v>
      </c>
      <c r="J2825">
        <v>2015</v>
      </c>
      <c r="K2825">
        <v>1</v>
      </c>
      <c r="L2825">
        <v>13</v>
      </c>
      <c r="M2825" t="s">
        <v>93</v>
      </c>
      <c r="N2825">
        <v>0</v>
      </c>
      <c r="O2825">
        <v>0</v>
      </c>
    </row>
    <row r="2826" spans="1:15" x14ac:dyDescent="0.3">
      <c r="A2826">
        <v>2921</v>
      </c>
      <c r="B2826" s="34">
        <v>42018</v>
      </c>
      <c r="C2826">
        <v>1.1771799999999999</v>
      </c>
      <c r="D2826">
        <v>0</v>
      </c>
      <c r="F2826">
        <v>0.43513999999999797</v>
      </c>
      <c r="G2826">
        <v>23.092965712265801</v>
      </c>
      <c r="H2826">
        <v>1</v>
      </c>
      <c r="I2826">
        <v>0.52636079999999996</v>
      </c>
      <c r="J2826">
        <v>2015</v>
      </c>
      <c r="K2826">
        <v>1</v>
      </c>
      <c r="L2826">
        <v>14</v>
      </c>
      <c r="M2826" t="s">
        <v>89</v>
      </c>
      <c r="N2826">
        <v>0</v>
      </c>
      <c r="O2826">
        <v>0</v>
      </c>
    </row>
    <row r="2827" spans="1:15" x14ac:dyDescent="0.3">
      <c r="A2827">
        <v>2922</v>
      </c>
      <c r="B2827" s="34">
        <v>42019</v>
      </c>
      <c r="C2827">
        <v>1.1788099999999999</v>
      </c>
      <c r="D2827">
        <v>0</v>
      </c>
      <c r="F2827">
        <v>0.43513999999999797</v>
      </c>
      <c r="G2827">
        <v>23.092965712265801</v>
      </c>
      <c r="H2827">
        <v>1</v>
      </c>
      <c r="I2827">
        <v>0.52652290000000002</v>
      </c>
      <c r="J2827">
        <v>2015</v>
      </c>
      <c r="K2827">
        <v>1</v>
      </c>
      <c r="L2827">
        <v>15</v>
      </c>
      <c r="M2827" t="s">
        <v>90</v>
      </c>
      <c r="N2827">
        <v>0</v>
      </c>
      <c r="O2827">
        <v>0</v>
      </c>
    </row>
    <row r="2828" spans="1:15" x14ac:dyDescent="0.3">
      <c r="A2828">
        <v>2923</v>
      </c>
      <c r="B2828" s="34">
        <v>42020</v>
      </c>
      <c r="C2828">
        <v>1.1629799999999999</v>
      </c>
      <c r="D2828">
        <v>0</v>
      </c>
      <c r="F2828">
        <v>0.43513999999999797</v>
      </c>
      <c r="G2828">
        <v>23.092965712265801</v>
      </c>
      <c r="H2828">
        <v>0</v>
      </c>
      <c r="I2828">
        <v>0.5263428</v>
      </c>
      <c r="J2828">
        <v>2015</v>
      </c>
      <c r="K2828">
        <v>1</v>
      </c>
      <c r="L2828">
        <v>16</v>
      </c>
      <c r="M2828" t="s">
        <v>91</v>
      </c>
      <c r="N2828">
        <v>0</v>
      </c>
      <c r="O2828">
        <v>0</v>
      </c>
    </row>
    <row r="2829" spans="1:15" x14ac:dyDescent="0.3">
      <c r="A2829">
        <v>2924</v>
      </c>
      <c r="B2829" s="34">
        <v>42023</v>
      </c>
      <c r="C2829">
        <v>1.1565000000000001</v>
      </c>
      <c r="D2829">
        <v>0</v>
      </c>
      <c r="F2829">
        <v>0.43513999999999797</v>
      </c>
      <c r="G2829">
        <v>23.092965712265801</v>
      </c>
      <c r="H2829">
        <v>0</v>
      </c>
      <c r="I2829">
        <v>0.52616280000000004</v>
      </c>
      <c r="J2829">
        <v>2015</v>
      </c>
      <c r="K2829">
        <v>1</v>
      </c>
      <c r="L2829">
        <v>19</v>
      </c>
      <c r="M2829" t="s">
        <v>92</v>
      </c>
      <c r="N2829">
        <v>0</v>
      </c>
      <c r="O2829">
        <v>0</v>
      </c>
    </row>
    <row r="2830" spans="1:15" x14ac:dyDescent="0.3">
      <c r="A2830">
        <v>2925</v>
      </c>
      <c r="B2830" s="34">
        <v>42024</v>
      </c>
      <c r="C2830">
        <v>1.1606000000000001</v>
      </c>
      <c r="D2830">
        <v>0</v>
      </c>
      <c r="F2830">
        <v>0.43513999999999797</v>
      </c>
      <c r="G2830">
        <v>23.092965712265801</v>
      </c>
      <c r="H2830">
        <v>1</v>
      </c>
      <c r="I2830">
        <v>0.52632480000000004</v>
      </c>
      <c r="J2830">
        <v>2015</v>
      </c>
      <c r="K2830">
        <v>1</v>
      </c>
      <c r="L2830">
        <v>20</v>
      </c>
      <c r="M2830" t="s">
        <v>93</v>
      </c>
      <c r="N2830">
        <v>0</v>
      </c>
      <c r="O2830">
        <v>0</v>
      </c>
    </row>
    <row r="2831" spans="1:15" x14ac:dyDescent="0.3">
      <c r="A2831">
        <v>2926</v>
      </c>
      <c r="B2831" s="34">
        <v>42025</v>
      </c>
      <c r="C2831">
        <v>1.15479</v>
      </c>
      <c r="D2831">
        <v>7</v>
      </c>
      <c r="E2831" t="s">
        <v>418</v>
      </c>
      <c r="F2831">
        <v>0.441219999999998</v>
      </c>
      <c r="G2831">
        <v>22.018381053375698</v>
      </c>
      <c r="H2831">
        <v>1</v>
      </c>
      <c r="I2831">
        <v>0.52648669999999997</v>
      </c>
      <c r="J2831">
        <v>2015</v>
      </c>
      <c r="K2831">
        <v>1</v>
      </c>
      <c r="L2831">
        <v>21</v>
      </c>
      <c r="M2831" t="s">
        <v>89</v>
      </c>
      <c r="N2831">
        <v>0</v>
      </c>
      <c r="O2831">
        <v>0</v>
      </c>
    </row>
    <row r="2832" spans="1:15" x14ac:dyDescent="0.3">
      <c r="A2832">
        <v>2927</v>
      </c>
      <c r="B2832" s="34">
        <v>42026</v>
      </c>
      <c r="C2832">
        <v>1.1608700000000001</v>
      </c>
      <c r="D2832">
        <v>0</v>
      </c>
      <c r="F2832">
        <v>0.441219999999998</v>
      </c>
      <c r="G2832">
        <v>22.018381053375698</v>
      </c>
      <c r="H2832">
        <v>1</v>
      </c>
      <c r="I2832">
        <v>0.52664849999999996</v>
      </c>
      <c r="J2832">
        <v>2015</v>
      </c>
      <c r="K2832">
        <v>1</v>
      </c>
      <c r="L2832">
        <v>22</v>
      </c>
      <c r="M2832" t="s">
        <v>90</v>
      </c>
      <c r="N2832">
        <v>0</v>
      </c>
      <c r="O2832">
        <v>0</v>
      </c>
    </row>
    <row r="2833" spans="1:15" x14ac:dyDescent="0.3">
      <c r="A2833">
        <v>2928</v>
      </c>
      <c r="B2833" s="34">
        <v>42027</v>
      </c>
      <c r="C2833">
        <v>1.13642</v>
      </c>
      <c r="D2833">
        <v>0</v>
      </c>
      <c r="F2833">
        <v>0.441219999999998</v>
      </c>
      <c r="G2833">
        <v>22.018381053375698</v>
      </c>
      <c r="H2833">
        <v>1</v>
      </c>
      <c r="I2833">
        <v>0.52681009999999995</v>
      </c>
      <c r="J2833">
        <v>2015</v>
      </c>
      <c r="K2833">
        <v>1</v>
      </c>
      <c r="L2833">
        <v>23</v>
      </c>
      <c r="M2833" t="s">
        <v>91</v>
      </c>
      <c r="N2833">
        <v>0</v>
      </c>
      <c r="O2833">
        <v>0</v>
      </c>
    </row>
    <row r="2834" spans="1:15" x14ac:dyDescent="0.3">
      <c r="A2834">
        <v>2929</v>
      </c>
      <c r="B2834" s="34">
        <v>42030</v>
      </c>
      <c r="C2834">
        <v>1.12032</v>
      </c>
      <c r="D2834">
        <v>0</v>
      </c>
      <c r="F2834">
        <v>0.441219999999998</v>
      </c>
      <c r="G2834">
        <v>22.018381053375698</v>
      </c>
      <c r="H2834">
        <v>0</v>
      </c>
      <c r="I2834">
        <v>0.52663020000000005</v>
      </c>
      <c r="J2834">
        <v>2015</v>
      </c>
      <c r="K2834">
        <v>1</v>
      </c>
      <c r="L2834">
        <v>26</v>
      </c>
      <c r="M2834" t="s">
        <v>92</v>
      </c>
      <c r="N2834">
        <v>0</v>
      </c>
      <c r="O2834">
        <v>0</v>
      </c>
    </row>
    <row r="2835" spans="1:15" x14ac:dyDescent="0.3">
      <c r="A2835">
        <v>2930</v>
      </c>
      <c r="B2835" s="34">
        <v>42031</v>
      </c>
      <c r="C2835">
        <v>1.1237299999999999</v>
      </c>
      <c r="D2835">
        <v>0</v>
      </c>
      <c r="F2835">
        <v>0.441219999999998</v>
      </c>
      <c r="G2835">
        <v>22.018381053375698</v>
      </c>
      <c r="H2835">
        <v>1</v>
      </c>
      <c r="I2835">
        <v>0.52679180000000003</v>
      </c>
      <c r="J2835">
        <v>2015</v>
      </c>
      <c r="K2835">
        <v>1</v>
      </c>
      <c r="L2835">
        <v>27</v>
      </c>
      <c r="M2835" t="s">
        <v>93</v>
      </c>
      <c r="N2835">
        <v>0</v>
      </c>
      <c r="O2835">
        <v>0</v>
      </c>
    </row>
    <row r="2836" spans="1:15" x14ac:dyDescent="0.3">
      <c r="A2836">
        <v>2931</v>
      </c>
      <c r="B2836" s="34">
        <v>42032</v>
      </c>
      <c r="C2836">
        <v>1.1380300000000001</v>
      </c>
      <c r="D2836">
        <v>0</v>
      </c>
      <c r="F2836">
        <v>0.441219999999998</v>
      </c>
      <c r="G2836">
        <v>22.018381053375698</v>
      </c>
      <c r="H2836">
        <v>0</v>
      </c>
      <c r="I2836">
        <v>0.52661210000000003</v>
      </c>
      <c r="J2836">
        <v>2015</v>
      </c>
      <c r="K2836">
        <v>1</v>
      </c>
      <c r="L2836">
        <v>28</v>
      </c>
      <c r="M2836" t="s">
        <v>89</v>
      </c>
      <c r="N2836">
        <v>0</v>
      </c>
      <c r="O2836">
        <v>0</v>
      </c>
    </row>
    <row r="2837" spans="1:15" x14ac:dyDescent="0.3">
      <c r="A2837">
        <v>2932</v>
      </c>
      <c r="B2837" s="34">
        <v>42033</v>
      </c>
      <c r="C2837">
        <v>1.1286499999999999</v>
      </c>
      <c r="D2837">
        <v>0</v>
      </c>
      <c r="F2837">
        <v>0.441219999999998</v>
      </c>
      <c r="G2837">
        <v>22.018381053375698</v>
      </c>
      <c r="H2837">
        <v>1</v>
      </c>
      <c r="I2837">
        <v>0.52677350000000001</v>
      </c>
      <c r="J2837">
        <v>2015</v>
      </c>
      <c r="K2837">
        <v>1</v>
      </c>
      <c r="L2837">
        <v>29</v>
      </c>
      <c r="M2837" t="s">
        <v>90</v>
      </c>
      <c r="N2837">
        <v>0</v>
      </c>
      <c r="O2837">
        <v>0</v>
      </c>
    </row>
    <row r="2838" spans="1:15" x14ac:dyDescent="0.3">
      <c r="A2838">
        <v>2933</v>
      </c>
      <c r="B2838" s="34">
        <v>42034</v>
      </c>
      <c r="C2838">
        <v>1.13185</v>
      </c>
      <c r="D2838">
        <v>0</v>
      </c>
      <c r="F2838">
        <v>0.441219999999998</v>
      </c>
      <c r="G2838">
        <v>22.018381053375698</v>
      </c>
      <c r="H2838">
        <v>0</v>
      </c>
      <c r="I2838">
        <v>0.52659389999999995</v>
      </c>
      <c r="J2838">
        <v>2015</v>
      </c>
      <c r="K2838">
        <v>1</v>
      </c>
      <c r="L2838">
        <v>30</v>
      </c>
      <c r="M2838" t="s">
        <v>91</v>
      </c>
      <c r="N2838">
        <v>0</v>
      </c>
      <c r="O2838">
        <v>0</v>
      </c>
    </row>
    <row r="2839" spans="1:15" x14ac:dyDescent="0.3">
      <c r="A2839">
        <v>2934</v>
      </c>
      <c r="B2839" s="34">
        <v>42037</v>
      </c>
      <c r="C2839">
        <v>1.1284400000000001</v>
      </c>
      <c r="D2839">
        <v>0</v>
      </c>
      <c r="F2839">
        <v>0.441219999999998</v>
      </c>
      <c r="G2839">
        <v>22.018381053375698</v>
      </c>
      <c r="H2839">
        <v>1</v>
      </c>
      <c r="I2839">
        <v>0.52675530000000004</v>
      </c>
      <c r="J2839">
        <v>2015</v>
      </c>
      <c r="K2839">
        <v>2</v>
      </c>
      <c r="L2839">
        <v>2</v>
      </c>
      <c r="M2839" t="s">
        <v>92</v>
      </c>
      <c r="N2839">
        <v>0</v>
      </c>
      <c r="O2839">
        <v>0</v>
      </c>
    </row>
    <row r="2840" spans="1:15" x14ac:dyDescent="0.3">
      <c r="A2840">
        <v>2935</v>
      </c>
      <c r="B2840" s="34">
        <v>42038</v>
      </c>
      <c r="C2840">
        <v>1.1341300000000001</v>
      </c>
      <c r="D2840">
        <v>0</v>
      </c>
      <c r="F2840">
        <v>0.441219999999998</v>
      </c>
      <c r="G2840">
        <v>22.018381053375698</v>
      </c>
      <c r="H2840">
        <v>0</v>
      </c>
      <c r="I2840">
        <v>0.52657580000000004</v>
      </c>
      <c r="J2840">
        <v>2015</v>
      </c>
      <c r="K2840">
        <v>2</v>
      </c>
      <c r="L2840">
        <v>3</v>
      </c>
      <c r="M2840" t="s">
        <v>93</v>
      </c>
      <c r="N2840">
        <v>0</v>
      </c>
      <c r="O2840">
        <v>0</v>
      </c>
    </row>
    <row r="2841" spans="1:15" x14ac:dyDescent="0.3">
      <c r="A2841">
        <v>2936</v>
      </c>
      <c r="B2841" s="34">
        <v>42039</v>
      </c>
      <c r="C2841">
        <v>1.14781</v>
      </c>
      <c r="D2841">
        <v>0</v>
      </c>
      <c r="F2841">
        <v>0.441219999999998</v>
      </c>
      <c r="G2841">
        <v>22.018381053375698</v>
      </c>
      <c r="H2841">
        <v>0</v>
      </c>
      <c r="I2841">
        <v>0.52639650000000004</v>
      </c>
      <c r="J2841">
        <v>2015</v>
      </c>
      <c r="K2841">
        <v>2</v>
      </c>
      <c r="L2841">
        <v>4</v>
      </c>
      <c r="M2841" t="s">
        <v>89</v>
      </c>
      <c r="N2841">
        <v>0</v>
      </c>
      <c r="O2841">
        <v>0</v>
      </c>
    </row>
    <row r="2842" spans="1:15" x14ac:dyDescent="0.3">
      <c r="A2842">
        <v>2937</v>
      </c>
      <c r="B2842" s="34">
        <v>42040</v>
      </c>
      <c r="C2842">
        <v>1.1343300000000001</v>
      </c>
      <c r="D2842">
        <v>0</v>
      </c>
      <c r="F2842">
        <v>0.441219999999998</v>
      </c>
      <c r="G2842">
        <v>22.018381053375698</v>
      </c>
      <c r="H2842">
        <v>1</v>
      </c>
      <c r="I2842">
        <v>0.52655770000000002</v>
      </c>
      <c r="J2842">
        <v>2015</v>
      </c>
      <c r="K2842">
        <v>2</v>
      </c>
      <c r="L2842">
        <v>5</v>
      </c>
      <c r="M2842" t="s">
        <v>90</v>
      </c>
      <c r="N2842">
        <v>0</v>
      </c>
      <c r="O2842">
        <v>0</v>
      </c>
    </row>
    <row r="2843" spans="1:15" x14ac:dyDescent="0.3">
      <c r="A2843">
        <v>2938</v>
      </c>
      <c r="B2843" s="34">
        <v>42041</v>
      </c>
      <c r="C2843">
        <v>1.1476299999999999</v>
      </c>
      <c r="D2843">
        <v>0</v>
      </c>
      <c r="F2843">
        <v>0.441219999999998</v>
      </c>
      <c r="G2843">
        <v>22.018381053375698</v>
      </c>
      <c r="H2843">
        <v>0</v>
      </c>
      <c r="I2843">
        <v>0.52637849999999997</v>
      </c>
      <c r="J2843">
        <v>2015</v>
      </c>
      <c r="K2843">
        <v>2</v>
      </c>
      <c r="L2843">
        <v>6</v>
      </c>
      <c r="M2843" t="s">
        <v>91</v>
      </c>
      <c r="N2843">
        <v>0</v>
      </c>
      <c r="O2843">
        <v>0</v>
      </c>
    </row>
    <row r="2844" spans="1:15" x14ac:dyDescent="0.3">
      <c r="A2844">
        <v>2939</v>
      </c>
      <c r="B2844" s="34">
        <v>42044</v>
      </c>
      <c r="C2844">
        <v>1.1310199999999999</v>
      </c>
      <c r="D2844">
        <v>0</v>
      </c>
      <c r="F2844">
        <v>0.441219999999998</v>
      </c>
      <c r="G2844">
        <v>22.018381053375698</v>
      </c>
      <c r="H2844">
        <v>1</v>
      </c>
      <c r="I2844">
        <v>0.5265396</v>
      </c>
      <c r="J2844">
        <v>2015</v>
      </c>
      <c r="K2844">
        <v>2</v>
      </c>
      <c r="L2844">
        <v>9</v>
      </c>
      <c r="M2844" t="s">
        <v>92</v>
      </c>
      <c r="N2844">
        <v>0</v>
      </c>
      <c r="O2844">
        <v>0</v>
      </c>
    </row>
    <row r="2845" spans="1:15" x14ac:dyDescent="0.3">
      <c r="A2845">
        <v>2940</v>
      </c>
      <c r="B2845" s="34">
        <v>42045</v>
      </c>
      <c r="C2845">
        <v>1.1323399999999999</v>
      </c>
      <c r="D2845">
        <v>0</v>
      </c>
      <c r="F2845">
        <v>0.441219999999998</v>
      </c>
      <c r="G2845">
        <v>22.018381053375698</v>
      </c>
      <c r="H2845">
        <v>0</v>
      </c>
      <c r="I2845">
        <v>0.52636059999999996</v>
      </c>
      <c r="J2845">
        <v>2015</v>
      </c>
      <c r="K2845">
        <v>2</v>
      </c>
      <c r="L2845">
        <v>10</v>
      </c>
      <c r="M2845" t="s">
        <v>93</v>
      </c>
      <c r="N2845">
        <v>0</v>
      </c>
      <c r="O2845">
        <v>0</v>
      </c>
    </row>
    <row r="2846" spans="1:15" x14ac:dyDescent="0.3">
      <c r="A2846">
        <v>2941</v>
      </c>
      <c r="B2846" s="34">
        <v>42046</v>
      </c>
      <c r="C2846">
        <v>1.1319699999999999</v>
      </c>
      <c r="D2846">
        <v>0</v>
      </c>
      <c r="F2846">
        <v>0.441219999999998</v>
      </c>
      <c r="G2846">
        <v>22.018381053375698</v>
      </c>
      <c r="H2846">
        <v>1</v>
      </c>
      <c r="I2846">
        <v>0.52652160000000003</v>
      </c>
      <c r="J2846">
        <v>2015</v>
      </c>
      <c r="K2846">
        <v>2</v>
      </c>
      <c r="L2846">
        <v>11</v>
      </c>
      <c r="M2846" t="s">
        <v>89</v>
      </c>
      <c r="N2846">
        <v>0</v>
      </c>
      <c r="O2846">
        <v>0</v>
      </c>
    </row>
    <row r="2847" spans="1:15" x14ac:dyDescent="0.3">
      <c r="A2847">
        <v>2942</v>
      </c>
      <c r="B2847" s="34">
        <v>42047</v>
      </c>
      <c r="C2847">
        <v>1.13351</v>
      </c>
      <c r="D2847">
        <v>0</v>
      </c>
      <c r="F2847">
        <v>0.441219999999998</v>
      </c>
      <c r="G2847">
        <v>22.018381053375698</v>
      </c>
      <c r="H2847">
        <v>0</v>
      </c>
      <c r="I2847">
        <v>0.52634259999999999</v>
      </c>
      <c r="J2847">
        <v>2015</v>
      </c>
      <c r="K2847">
        <v>2</v>
      </c>
      <c r="L2847">
        <v>12</v>
      </c>
      <c r="M2847" t="s">
        <v>90</v>
      </c>
      <c r="N2847">
        <v>0</v>
      </c>
      <c r="O2847">
        <v>0</v>
      </c>
    </row>
    <row r="2848" spans="1:15" x14ac:dyDescent="0.3">
      <c r="A2848">
        <v>2943</v>
      </c>
      <c r="B2848" s="34">
        <v>42048</v>
      </c>
      <c r="C2848">
        <v>1.14022</v>
      </c>
      <c r="D2848">
        <v>0</v>
      </c>
      <c r="F2848">
        <v>0.441219999999998</v>
      </c>
      <c r="G2848">
        <v>22.018381053375698</v>
      </c>
      <c r="H2848">
        <v>0</v>
      </c>
      <c r="I2848">
        <v>0.52616379999999996</v>
      </c>
      <c r="J2848">
        <v>2015</v>
      </c>
      <c r="K2848">
        <v>2</v>
      </c>
      <c r="L2848">
        <v>13</v>
      </c>
      <c r="M2848" t="s">
        <v>91</v>
      </c>
      <c r="N2848">
        <v>0</v>
      </c>
      <c r="O2848">
        <v>0</v>
      </c>
    </row>
    <row r="2849" spans="1:15" x14ac:dyDescent="0.3">
      <c r="A2849">
        <v>2944</v>
      </c>
      <c r="B2849" s="34">
        <v>42051</v>
      </c>
      <c r="C2849">
        <v>1.1391899999999999</v>
      </c>
      <c r="D2849">
        <v>0</v>
      </c>
      <c r="F2849">
        <v>0.441219999999998</v>
      </c>
      <c r="G2849">
        <v>22.018381053375698</v>
      </c>
      <c r="H2849">
        <v>1</v>
      </c>
      <c r="I2849">
        <v>0.52632469999999998</v>
      </c>
      <c r="J2849">
        <v>2015</v>
      </c>
      <c r="K2849">
        <v>2</v>
      </c>
      <c r="L2849">
        <v>16</v>
      </c>
      <c r="M2849" t="s">
        <v>92</v>
      </c>
      <c r="N2849">
        <v>0</v>
      </c>
      <c r="O2849">
        <v>0</v>
      </c>
    </row>
    <row r="2850" spans="1:15" x14ac:dyDescent="0.3">
      <c r="A2850">
        <v>2945</v>
      </c>
      <c r="B2850" s="34">
        <v>42052</v>
      </c>
      <c r="C2850">
        <v>1.1352800000000001</v>
      </c>
      <c r="D2850">
        <v>0</v>
      </c>
      <c r="F2850">
        <v>0.441219999999998</v>
      </c>
      <c r="G2850">
        <v>22.018381053375698</v>
      </c>
      <c r="H2850">
        <v>1</v>
      </c>
      <c r="I2850">
        <v>0.5264856</v>
      </c>
      <c r="J2850">
        <v>2015</v>
      </c>
      <c r="K2850">
        <v>2</v>
      </c>
      <c r="L2850">
        <v>17</v>
      </c>
      <c r="M2850" t="s">
        <v>93</v>
      </c>
      <c r="N2850">
        <v>0</v>
      </c>
      <c r="O2850">
        <v>0</v>
      </c>
    </row>
    <row r="2851" spans="1:15" x14ac:dyDescent="0.3">
      <c r="A2851">
        <v>2946</v>
      </c>
      <c r="B2851" s="34">
        <v>42053</v>
      </c>
      <c r="C2851">
        <v>1.141</v>
      </c>
      <c r="D2851">
        <v>0</v>
      </c>
      <c r="F2851">
        <v>0.441219999999998</v>
      </c>
      <c r="G2851">
        <v>22.018381053375698</v>
      </c>
      <c r="H2851">
        <v>1</v>
      </c>
      <c r="I2851">
        <v>0.52664630000000001</v>
      </c>
      <c r="J2851">
        <v>2015</v>
      </c>
      <c r="K2851">
        <v>2</v>
      </c>
      <c r="L2851">
        <v>18</v>
      </c>
      <c r="M2851" t="s">
        <v>89</v>
      </c>
      <c r="N2851">
        <v>0</v>
      </c>
      <c r="O2851">
        <v>0</v>
      </c>
    </row>
    <row r="2852" spans="1:15" x14ac:dyDescent="0.3">
      <c r="A2852">
        <v>2947</v>
      </c>
      <c r="B2852" s="34">
        <v>42054</v>
      </c>
      <c r="C2852">
        <v>1.1396200000000001</v>
      </c>
      <c r="D2852">
        <v>0</v>
      </c>
      <c r="F2852">
        <v>0.441219999999998</v>
      </c>
      <c r="G2852">
        <v>22.018381053375698</v>
      </c>
      <c r="H2852">
        <v>1</v>
      </c>
      <c r="I2852">
        <v>0.52680700000000003</v>
      </c>
      <c r="J2852">
        <v>2015</v>
      </c>
      <c r="K2852">
        <v>2</v>
      </c>
      <c r="L2852">
        <v>19</v>
      </c>
      <c r="M2852" t="s">
        <v>90</v>
      </c>
      <c r="N2852">
        <v>0</v>
      </c>
      <c r="O2852">
        <v>0</v>
      </c>
    </row>
    <row r="2853" spans="1:15" x14ac:dyDescent="0.3">
      <c r="A2853">
        <v>2948</v>
      </c>
      <c r="B2853" s="34">
        <v>42055</v>
      </c>
      <c r="C2853">
        <v>1.1367400000000001</v>
      </c>
      <c r="D2853">
        <v>0</v>
      </c>
      <c r="F2853">
        <v>0.441219999999998</v>
      </c>
      <c r="G2853">
        <v>22.018381053375698</v>
      </c>
      <c r="H2853">
        <v>1</v>
      </c>
      <c r="I2853">
        <v>0.52696739999999997</v>
      </c>
      <c r="J2853">
        <v>2015</v>
      </c>
      <c r="K2853">
        <v>2</v>
      </c>
      <c r="L2853">
        <v>20</v>
      </c>
      <c r="M2853" t="s">
        <v>91</v>
      </c>
      <c r="N2853">
        <v>0</v>
      </c>
      <c r="O2853">
        <v>0</v>
      </c>
    </row>
    <row r="2854" spans="1:15" x14ac:dyDescent="0.3">
      <c r="A2854">
        <v>2949</v>
      </c>
      <c r="B2854" s="34">
        <v>42058</v>
      </c>
      <c r="C2854">
        <v>1.13785</v>
      </c>
      <c r="D2854">
        <v>0</v>
      </c>
      <c r="F2854">
        <v>0.441219999999998</v>
      </c>
      <c r="G2854">
        <v>22.018381053375698</v>
      </c>
      <c r="H2854">
        <v>1</v>
      </c>
      <c r="I2854">
        <v>0.52712789999999998</v>
      </c>
      <c r="J2854">
        <v>2015</v>
      </c>
      <c r="K2854">
        <v>2</v>
      </c>
      <c r="L2854">
        <v>23</v>
      </c>
      <c r="M2854" t="s">
        <v>92</v>
      </c>
      <c r="N2854">
        <v>0</v>
      </c>
      <c r="O2854">
        <v>0</v>
      </c>
    </row>
    <row r="2855" spans="1:15" x14ac:dyDescent="0.3">
      <c r="A2855">
        <v>2950</v>
      </c>
      <c r="B2855" s="34">
        <v>42059</v>
      </c>
      <c r="C2855">
        <v>1.1334</v>
      </c>
      <c r="D2855">
        <v>0</v>
      </c>
      <c r="F2855">
        <v>0.441219999999998</v>
      </c>
      <c r="G2855">
        <v>22.018381053375698</v>
      </c>
      <c r="H2855">
        <v>0</v>
      </c>
      <c r="I2855">
        <v>0.52694920000000001</v>
      </c>
      <c r="J2855">
        <v>2015</v>
      </c>
      <c r="K2855">
        <v>2</v>
      </c>
      <c r="L2855">
        <v>24</v>
      </c>
      <c r="M2855" t="s">
        <v>93</v>
      </c>
      <c r="N2855">
        <v>0</v>
      </c>
      <c r="O2855">
        <v>0</v>
      </c>
    </row>
    <row r="2856" spans="1:15" x14ac:dyDescent="0.3">
      <c r="A2856">
        <v>2951</v>
      </c>
      <c r="B2856" s="34">
        <v>42060</v>
      </c>
      <c r="C2856">
        <v>1.1339699999999999</v>
      </c>
      <c r="D2856">
        <v>0</v>
      </c>
      <c r="F2856">
        <v>0.441219999999998</v>
      </c>
      <c r="G2856">
        <v>22.018381053375698</v>
      </c>
      <c r="H2856">
        <v>1</v>
      </c>
      <c r="I2856">
        <v>0.52710939999999995</v>
      </c>
      <c r="J2856">
        <v>2015</v>
      </c>
      <c r="K2856">
        <v>2</v>
      </c>
      <c r="L2856">
        <v>25</v>
      </c>
      <c r="M2856" t="s">
        <v>89</v>
      </c>
      <c r="N2856">
        <v>0</v>
      </c>
      <c r="O2856">
        <v>0</v>
      </c>
    </row>
    <row r="2857" spans="1:15" x14ac:dyDescent="0.3">
      <c r="A2857">
        <v>2952</v>
      </c>
      <c r="B2857" s="34">
        <v>42061</v>
      </c>
      <c r="C2857">
        <v>1.1360600000000001</v>
      </c>
      <c r="D2857">
        <v>0</v>
      </c>
      <c r="F2857">
        <v>0.441219999999998</v>
      </c>
      <c r="G2857">
        <v>22.018381053375698</v>
      </c>
      <c r="H2857">
        <v>1</v>
      </c>
      <c r="I2857">
        <v>0.52726969999999995</v>
      </c>
      <c r="J2857">
        <v>2015</v>
      </c>
      <c r="K2857">
        <v>2</v>
      </c>
      <c r="L2857">
        <v>26</v>
      </c>
      <c r="M2857" t="s">
        <v>90</v>
      </c>
      <c r="N2857">
        <v>0</v>
      </c>
      <c r="O2857">
        <v>0</v>
      </c>
    </row>
    <row r="2858" spans="1:15" x14ac:dyDescent="0.3">
      <c r="A2858">
        <v>2953</v>
      </c>
      <c r="B2858" s="34">
        <v>42062</v>
      </c>
      <c r="C2858">
        <v>1.11975</v>
      </c>
      <c r="D2858">
        <v>0</v>
      </c>
      <c r="F2858">
        <v>0.441219999999998</v>
      </c>
      <c r="G2858">
        <v>22.018381053375698</v>
      </c>
      <c r="H2858">
        <v>1</v>
      </c>
      <c r="I2858">
        <v>0.52742979999999995</v>
      </c>
      <c r="J2858">
        <v>2015</v>
      </c>
      <c r="K2858">
        <v>2</v>
      </c>
      <c r="L2858">
        <v>27</v>
      </c>
      <c r="M2858" t="s">
        <v>91</v>
      </c>
      <c r="N2858">
        <v>0</v>
      </c>
      <c r="O2858">
        <v>0</v>
      </c>
    </row>
    <row r="2859" spans="1:15" x14ac:dyDescent="0.3">
      <c r="A2859">
        <v>2954</v>
      </c>
      <c r="B2859" s="34">
        <v>42065</v>
      </c>
      <c r="C2859">
        <v>1.11957</v>
      </c>
      <c r="D2859">
        <v>0</v>
      </c>
      <c r="F2859">
        <v>0.441219999999998</v>
      </c>
      <c r="G2859">
        <v>22.018381053375698</v>
      </c>
      <c r="H2859">
        <v>0</v>
      </c>
      <c r="I2859">
        <v>0.52725120000000003</v>
      </c>
      <c r="J2859">
        <v>2015</v>
      </c>
      <c r="K2859">
        <v>3</v>
      </c>
      <c r="L2859">
        <v>2</v>
      </c>
      <c r="M2859" t="s">
        <v>92</v>
      </c>
      <c r="N2859">
        <v>0</v>
      </c>
      <c r="O2859">
        <v>0</v>
      </c>
    </row>
    <row r="2860" spans="1:15" x14ac:dyDescent="0.3">
      <c r="A2860">
        <v>2955</v>
      </c>
      <c r="B2860" s="34">
        <v>42066</v>
      </c>
      <c r="C2860">
        <v>1.1182399999999999</v>
      </c>
      <c r="D2860">
        <v>0</v>
      </c>
      <c r="F2860">
        <v>0.441219999999998</v>
      </c>
      <c r="G2860">
        <v>22.018381053375698</v>
      </c>
      <c r="H2860">
        <v>0</v>
      </c>
      <c r="I2860">
        <v>0.52707280000000001</v>
      </c>
      <c r="J2860">
        <v>2015</v>
      </c>
      <c r="K2860">
        <v>3</v>
      </c>
      <c r="L2860">
        <v>3</v>
      </c>
      <c r="M2860" t="s">
        <v>93</v>
      </c>
      <c r="N2860">
        <v>0</v>
      </c>
      <c r="O2860">
        <v>0</v>
      </c>
    </row>
    <row r="2861" spans="1:15" x14ac:dyDescent="0.3">
      <c r="A2861">
        <v>2956</v>
      </c>
      <c r="B2861" s="34">
        <v>42067</v>
      </c>
      <c r="C2861">
        <v>1.1175200000000001</v>
      </c>
      <c r="D2861">
        <v>0</v>
      </c>
      <c r="F2861">
        <v>0.441219999999998</v>
      </c>
      <c r="G2861">
        <v>22.018381053375698</v>
      </c>
      <c r="H2861">
        <v>0</v>
      </c>
      <c r="I2861">
        <v>0.52689450000000004</v>
      </c>
      <c r="J2861">
        <v>2015</v>
      </c>
      <c r="K2861">
        <v>3</v>
      </c>
      <c r="L2861">
        <v>4</v>
      </c>
      <c r="M2861" t="s">
        <v>89</v>
      </c>
      <c r="N2861">
        <v>0</v>
      </c>
      <c r="O2861">
        <v>0</v>
      </c>
    </row>
    <row r="2862" spans="1:15" x14ac:dyDescent="0.3">
      <c r="A2862">
        <v>2957</v>
      </c>
      <c r="B2862" s="34">
        <v>42068</v>
      </c>
      <c r="C2862">
        <v>1.1076699999999999</v>
      </c>
      <c r="D2862">
        <v>0</v>
      </c>
      <c r="F2862">
        <v>0.441219999999998</v>
      </c>
      <c r="G2862">
        <v>22.018381053375698</v>
      </c>
      <c r="H2862">
        <v>0</v>
      </c>
      <c r="I2862">
        <v>0.52671630000000003</v>
      </c>
      <c r="J2862">
        <v>2015</v>
      </c>
      <c r="K2862">
        <v>3</v>
      </c>
      <c r="L2862">
        <v>5</v>
      </c>
      <c r="M2862" t="s">
        <v>90</v>
      </c>
      <c r="N2862">
        <v>0</v>
      </c>
      <c r="O2862">
        <v>0</v>
      </c>
    </row>
    <row r="2863" spans="1:15" x14ac:dyDescent="0.3">
      <c r="A2863">
        <v>2958</v>
      </c>
      <c r="B2863" s="34">
        <v>42069</v>
      </c>
      <c r="C2863">
        <v>1.1029100000000001</v>
      </c>
      <c r="D2863">
        <v>0</v>
      </c>
      <c r="F2863">
        <v>0.441219999999998</v>
      </c>
      <c r="G2863">
        <v>22.018381053375698</v>
      </c>
      <c r="H2863">
        <v>0</v>
      </c>
      <c r="I2863">
        <v>0.52653819999999996</v>
      </c>
      <c r="J2863">
        <v>2015</v>
      </c>
      <c r="K2863">
        <v>3</v>
      </c>
      <c r="L2863">
        <v>6</v>
      </c>
      <c r="M2863" t="s">
        <v>91</v>
      </c>
      <c r="N2863">
        <v>0</v>
      </c>
      <c r="O2863">
        <v>0</v>
      </c>
    </row>
    <row r="2864" spans="1:15" x14ac:dyDescent="0.3">
      <c r="A2864">
        <v>2959</v>
      </c>
      <c r="B2864" s="34">
        <v>42072</v>
      </c>
      <c r="C2864">
        <v>1.08433</v>
      </c>
      <c r="D2864">
        <v>0</v>
      </c>
      <c r="F2864">
        <v>0.441219999999998</v>
      </c>
      <c r="G2864">
        <v>22.018381053375698</v>
      </c>
      <c r="H2864">
        <v>0</v>
      </c>
      <c r="I2864">
        <v>0.5263603</v>
      </c>
      <c r="J2864">
        <v>2015</v>
      </c>
      <c r="K2864">
        <v>3</v>
      </c>
      <c r="L2864">
        <v>9</v>
      </c>
      <c r="M2864" t="s">
        <v>92</v>
      </c>
      <c r="N2864">
        <v>0</v>
      </c>
      <c r="O2864">
        <v>0</v>
      </c>
    </row>
    <row r="2865" spans="1:15" x14ac:dyDescent="0.3">
      <c r="A2865">
        <v>2960</v>
      </c>
      <c r="B2865" s="34">
        <v>42073</v>
      </c>
      <c r="C2865">
        <v>1.08518</v>
      </c>
      <c r="D2865">
        <v>0</v>
      </c>
      <c r="F2865">
        <v>0.441219999999998</v>
      </c>
      <c r="G2865">
        <v>22.018381053375698</v>
      </c>
      <c r="H2865">
        <v>1</v>
      </c>
      <c r="I2865">
        <v>0.52652030000000005</v>
      </c>
      <c r="J2865">
        <v>2015</v>
      </c>
      <c r="K2865">
        <v>3</v>
      </c>
      <c r="L2865">
        <v>10</v>
      </c>
      <c r="M2865" t="s">
        <v>93</v>
      </c>
      <c r="N2865">
        <v>0</v>
      </c>
      <c r="O2865">
        <v>0</v>
      </c>
    </row>
    <row r="2866" spans="1:15" x14ac:dyDescent="0.3">
      <c r="A2866">
        <v>2961</v>
      </c>
      <c r="B2866" s="34">
        <v>42074</v>
      </c>
      <c r="C2866">
        <v>1.06785</v>
      </c>
      <c r="D2866">
        <v>0</v>
      </c>
      <c r="F2866">
        <v>0.441219999999998</v>
      </c>
      <c r="G2866">
        <v>22.018381053375698</v>
      </c>
      <c r="H2866">
        <v>1</v>
      </c>
      <c r="I2866">
        <v>0.52668020000000004</v>
      </c>
      <c r="J2866">
        <v>2015</v>
      </c>
      <c r="K2866">
        <v>3</v>
      </c>
      <c r="L2866">
        <v>11</v>
      </c>
      <c r="M2866" t="s">
        <v>89</v>
      </c>
      <c r="N2866">
        <v>0</v>
      </c>
      <c r="O2866">
        <v>0</v>
      </c>
    </row>
    <row r="2867" spans="1:15" x14ac:dyDescent="0.3">
      <c r="A2867">
        <v>2962</v>
      </c>
      <c r="B2867" s="34">
        <v>42075</v>
      </c>
      <c r="C2867">
        <v>1.05444</v>
      </c>
      <c r="D2867">
        <v>0</v>
      </c>
      <c r="F2867">
        <v>0.441219999999998</v>
      </c>
      <c r="G2867">
        <v>22.018381053375698</v>
      </c>
      <c r="H2867">
        <v>0</v>
      </c>
      <c r="I2867">
        <v>0.52650240000000004</v>
      </c>
      <c r="J2867">
        <v>2015</v>
      </c>
      <c r="K2867">
        <v>3</v>
      </c>
      <c r="L2867">
        <v>12</v>
      </c>
      <c r="M2867" t="s">
        <v>90</v>
      </c>
      <c r="N2867">
        <v>0</v>
      </c>
      <c r="O2867">
        <v>0</v>
      </c>
    </row>
    <row r="2868" spans="1:15" x14ac:dyDescent="0.3">
      <c r="A2868">
        <v>2963</v>
      </c>
      <c r="B2868" s="34">
        <v>42076</v>
      </c>
      <c r="C2868">
        <v>1.0624100000000001</v>
      </c>
      <c r="D2868">
        <v>0</v>
      </c>
      <c r="F2868">
        <v>0.441219999999998</v>
      </c>
      <c r="G2868">
        <v>22.018381053375698</v>
      </c>
      <c r="H2868">
        <v>1</v>
      </c>
      <c r="I2868">
        <v>0.52666219999999997</v>
      </c>
      <c r="J2868">
        <v>2015</v>
      </c>
      <c r="K2868">
        <v>3</v>
      </c>
      <c r="L2868">
        <v>13</v>
      </c>
      <c r="M2868" t="s">
        <v>91</v>
      </c>
      <c r="N2868">
        <v>0</v>
      </c>
      <c r="O2868">
        <v>0</v>
      </c>
    </row>
    <row r="2869" spans="1:15" x14ac:dyDescent="0.3">
      <c r="A2869">
        <v>2964</v>
      </c>
      <c r="B2869" s="34">
        <v>42079</v>
      </c>
      <c r="C2869">
        <v>1.0490999999999999</v>
      </c>
      <c r="D2869">
        <v>0</v>
      </c>
      <c r="F2869">
        <v>0.441219999999998</v>
      </c>
      <c r="G2869">
        <v>22.018381053375698</v>
      </c>
      <c r="H2869">
        <v>1</v>
      </c>
      <c r="I2869">
        <v>0.52682189999999995</v>
      </c>
      <c r="J2869">
        <v>2015</v>
      </c>
      <c r="K2869">
        <v>3</v>
      </c>
      <c r="L2869">
        <v>16</v>
      </c>
      <c r="M2869" t="s">
        <v>92</v>
      </c>
      <c r="N2869">
        <v>0</v>
      </c>
      <c r="O2869">
        <v>0</v>
      </c>
    </row>
    <row r="2870" spans="1:15" x14ac:dyDescent="0.3">
      <c r="A2870">
        <v>2965</v>
      </c>
      <c r="B2870" s="34">
        <v>42080</v>
      </c>
      <c r="C2870">
        <v>1.0566899999999999</v>
      </c>
      <c r="D2870">
        <v>0</v>
      </c>
      <c r="F2870">
        <v>0.441219999999998</v>
      </c>
      <c r="G2870">
        <v>22.018381053375698</v>
      </c>
      <c r="H2870">
        <v>1</v>
      </c>
      <c r="I2870">
        <v>0.52698149999999999</v>
      </c>
      <c r="J2870">
        <v>2015</v>
      </c>
      <c r="K2870">
        <v>3</v>
      </c>
      <c r="L2870">
        <v>17</v>
      </c>
      <c r="M2870" t="s">
        <v>93</v>
      </c>
      <c r="N2870">
        <v>0</v>
      </c>
      <c r="O2870">
        <v>0</v>
      </c>
    </row>
    <row r="2871" spans="1:15" x14ac:dyDescent="0.3">
      <c r="A2871">
        <v>2966</v>
      </c>
      <c r="B2871" s="34">
        <v>42081</v>
      </c>
      <c r="C2871">
        <v>1.05972</v>
      </c>
      <c r="D2871">
        <v>0</v>
      </c>
      <c r="F2871">
        <v>0.441219999999998</v>
      </c>
      <c r="G2871">
        <v>22.018381053375698</v>
      </c>
      <c r="H2871">
        <v>0</v>
      </c>
      <c r="I2871">
        <v>0.52680380000000004</v>
      </c>
      <c r="J2871">
        <v>2015</v>
      </c>
      <c r="K2871">
        <v>3</v>
      </c>
      <c r="L2871">
        <v>18</v>
      </c>
      <c r="M2871" t="s">
        <v>89</v>
      </c>
      <c r="N2871">
        <v>0</v>
      </c>
      <c r="O2871">
        <v>0</v>
      </c>
    </row>
    <row r="2872" spans="1:15" x14ac:dyDescent="0.3">
      <c r="A2872">
        <v>2967</v>
      </c>
      <c r="B2872" s="34">
        <v>42082</v>
      </c>
      <c r="C2872">
        <v>1.08284</v>
      </c>
      <c r="D2872">
        <v>0</v>
      </c>
      <c r="F2872">
        <v>0.441219999999998</v>
      </c>
      <c r="G2872">
        <v>22.018381053375698</v>
      </c>
      <c r="H2872">
        <v>0</v>
      </c>
      <c r="I2872">
        <v>0.52662620000000004</v>
      </c>
      <c r="J2872">
        <v>2015</v>
      </c>
      <c r="K2872">
        <v>3</v>
      </c>
      <c r="L2872">
        <v>19</v>
      </c>
      <c r="M2872" t="s">
        <v>90</v>
      </c>
      <c r="N2872">
        <v>0</v>
      </c>
      <c r="O2872">
        <v>0</v>
      </c>
    </row>
    <row r="2873" spans="1:15" x14ac:dyDescent="0.3">
      <c r="A2873">
        <v>2968</v>
      </c>
      <c r="B2873" s="34">
        <v>42083</v>
      </c>
      <c r="C2873">
        <v>1.0656099999999999</v>
      </c>
      <c r="D2873">
        <v>0</v>
      </c>
      <c r="F2873">
        <v>0.441219999999998</v>
      </c>
      <c r="G2873">
        <v>22.018381053375698</v>
      </c>
      <c r="H2873">
        <v>1</v>
      </c>
      <c r="I2873">
        <v>0.52678570000000002</v>
      </c>
      <c r="J2873">
        <v>2015</v>
      </c>
      <c r="K2873">
        <v>3</v>
      </c>
      <c r="L2873">
        <v>20</v>
      </c>
      <c r="M2873" t="s">
        <v>91</v>
      </c>
      <c r="N2873">
        <v>0</v>
      </c>
      <c r="O2873">
        <v>0</v>
      </c>
    </row>
    <row r="2874" spans="1:15" x14ac:dyDescent="0.3">
      <c r="A2874">
        <v>2969</v>
      </c>
      <c r="B2874" s="34">
        <v>42086</v>
      </c>
      <c r="C2874">
        <v>1.08189</v>
      </c>
      <c r="D2874">
        <v>0</v>
      </c>
      <c r="F2874">
        <v>0.441219999999998</v>
      </c>
      <c r="G2874">
        <v>22.018381053375698</v>
      </c>
      <c r="H2874">
        <v>1</v>
      </c>
      <c r="I2874">
        <v>0.52694510000000006</v>
      </c>
      <c r="J2874">
        <v>2015</v>
      </c>
      <c r="K2874">
        <v>3</v>
      </c>
      <c r="L2874">
        <v>23</v>
      </c>
      <c r="M2874" t="s">
        <v>92</v>
      </c>
      <c r="N2874">
        <v>0</v>
      </c>
      <c r="O2874">
        <v>0</v>
      </c>
    </row>
    <row r="2875" spans="1:15" x14ac:dyDescent="0.3">
      <c r="A2875">
        <v>2970</v>
      </c>
      <c r="B2875" s="34">
        <v>42087</v>
      </c>
      <c r="C2875">
        <v>1.0944100000000001</v>
      </c>
      <c r="D2875">
        <v>0</v>
      </c>
      <c r="F2875">
        <v>0.441219999999998</v>
      </c>
      <c r="G2875">
        <v>22.018381053375698</v>
      </c>
      <c r="H2875">
        <v>0</v>
      </c>
      <c r="I2875">
        <v>0.52676769999999995</v>
      </c>
      <c r="J2875">
        <v>2015</v>
      </c>
      <c r="K2875">
        <v>3</v>
      </c>
      <c r="L2875">
        <v>24</v>
      </c>
      <c r="M2875" t="s">
        <v>93</v>
      </c>
      <c r="N2875">
        <v>0</v>
      </c>
      <c r="O2875">
        <v>0</v>
      </c>
    </row>
    <row r="2876" spans="1:15" x14ac:dyDescent="0.3">
      <c r="A2876">
        <v>2971</v>
      </c>
      <c r="B2876" s="34">
        <v>42088</v>
      </c>
      <c r="C2876">
        <v>1.0917600000000001</v>
      </c>
      <c r="D2876">
        <v>0</v>
      </c>
      <c r="F2876">
        <v>0.441219999999998</v>
      </c>
      <c r="G2876">
        <v>22.018381053375698</v>
      </c>
      <c r="H2876">
        <v>1</v>
      </c>
      <c r="I2876">
        <v>0.52692689999999998</v>
      </c>
      <c r="J2876">
        <v>2015</v>
      </c>
      <c r="K2876">
        <v>3</v>
      </c>
      <c r="L2876">
        <v>25</v>
      </c>
      <c r="M2876" t="s">
        <v>89</v>
      </c>
      <c r="N2876">
        <v>0</v>
      </c>
      <c r="O2876">
        <v>0</v>
      </c>
    </row>
    <row r="2877" spans="1:15" x14ac:dyDescent="0.3">
      <c r="A2877">
        <v>2972</v>
      </c>
      <c r="B2877" s="34">
        <v>42089</v>
      </c>
      <c r="C2877">
        <v>1.0970800000000001</v>
      </c>
      <c r="D2877">
        <v>0</v>
      </c>
      <c r="F2877">
        <v>0.441219999999998</v>
      </c>
      <c r="G2877">
        <v>22.018381053375698</v>
      </c>
      <c r="H2877">
        <v>0</v>
      </c>
      <c r="I2877">
        <v>0.52674969999999999</v>
      </c>
      <c r="J2877">
        <v>2015</v>
      </c>
      <c r="K2877">
        <v>3</v>
      </c>
      <c r="L2877">
        <v>26</v>
      </c>
      <c r="M2877" t="s">
        <v>90</v>
      </c>
      <c r="N2877">
        <v>0</v>
      </c>
      <c r="O2877">
        <v>0</v>
      </c>
    </row>
    <row r="2878" spans="1:15" x14ac:dyDescent="0.3">
      <c r="A2878">
        <v>2973</v>
      </c>
      <c r="B2878" s="34">
        <v>42090</v>
      </c>
      <c r="C2878">
        <v>1.0873999999999999</v>
      </c>
      <c r="D2878">
        <v>0</v>
      </c>
      <c r="F2878">
        <v>0.441219999999998</v>
      </c>
      <c r="G2878">
        <v>22.018381053375698</v>
      </c>
      <c r="H2878">
        <v>1</v>
      </c>
      <c r="I2878">
        <v>0.52690890000000001</v>
      </c>
      <c r="J2878">
        <v>2015</v>
      </c>
      <c r="K2878">
        <v>3</v>
      </c>
      <c r="L2878">
        <v>27</v>
      </c>
      <c r="M2878" t="s">
        <v>91</v>
      </c>
      <c r="N2878">
        <v>0</v>
      </c>
      <c r="O2878">
        <v>0</v>
      </c>
    </row>
    <row r="2879" spans="1:15" x14ac:dyDescent="0.3">
      <c r="A2879">
        <v>2974</v>
      </c>
      <c r="B2879" s="34">
        <v>42093</v>
      </c>
      <c r="C2879">
        <v>1.0884100000000001</v>
      </c>
      <c r="D2879">
        <v>-4</v>
      </c>
      <c r="F2879">
        <v>0.446429999999998</v>
      </c>
      <c r="G2879">
        <v>21.097560975609699</v>
      </c>
      <c r="H2879">
        <v>0</v>
      </c>
      <c r="I2879">
        <v>0.52673170000000002</v>
      </c>
      <c r="J2879">
        <v>2015</v>
      </c>
      <c r="K2879">
        <v>3</v>
      </c>
      <c r="L2879">
        <v>30</v>
      </c>
      <c r="M2879" t="s">
        <v>92</v>
      </c>
      <c r="N2879">
        <v>0</v>
      </c>
      <c r="O2879">
        <v>0</v>
      </c>
    </row>
    <row r="2880" spans="1:15" x14ac:dyDescent="0.3">
      <c r="A2880">
        <v>2975</v>
      </c>
      <c r="B2880" s="34">
        <v>42094</v>
      </c>
      <c r="C2880">
        <v>1.0831999999999999</v>
      </c>
      <c r="D2880">
        <v>0</v>
      </c>
      <c r="F2880">
        <v>0.446429999999998</v>
      </c>
      <c r="G2880">
        <v>21.097560975609699</v>
      </c>
      <c r="H2880">
        <v>1</v>
      </c>
      <c r="I2880">
        <v>0.52689079999999999</v>
      </c>
      <c r="J2880">
        <v>2015</v>
      </c>
      <c r="K2880">
        <v>3</v>
      </c>
      <c r="L2880">
        <v>31</v>
      </c>
      <c r="M2880" t="s">
        <v>93</v>
      </c>
      <c r="N2880">
        <v>0</v>
      </c>
      <c r="O2880">
        <v>0</v>
      </c>
    </row>
    <row r="2881" spans="1:15" x14ac:dyDescent="0.3">
      <c r="A2881">
        <v>2976</v>
      </c>
      <c r="B2881" s="34">
        <v>42095</v>
      </c>
      <c r="C2881">
        <v>1.07308</v>
      </c>
      <c r="D2881">
        <v>0</v>
      </c>
      <c r="F2881">
        <v>0.446429999999998</v>
      </c>
      <c r="G2881">
        <v>21.097560975609699</v>
      </c>
      <c r="H2881">
        <v>0</v>
      </c>
      <c r="I2881">
        <v>0.52671369999999995</v>
      </c>
      <c r="J2881">
        <v>2015</v>
      </c>
      <c r="K2881">
        <v>4</v>
      </c>
      <c r="L2881">
        <v>1</v>
      </c>
      <c r="M2881" t="s">
        <v>89</v>
      </c>
      <c r="N2881">
        <v>0</v>
      </c>
      <c r="O2881">
        <v>0</v>
      </c>
    </row>
    <row r="2882" spans="1:15" x14ac:dyDescent="0.3">
      <c r="A2882">
        <v>2977</v>
      </c>
      <c r="B2882" s="34">
        <v>42096</v>
      </c>
      <c r="C2882">
        <v>1.0762400000000001</v>
      </c>
      <c r="D2882">
        <v>0</v>
      </c>
      <c r="F2882">
        <v>0.446429999999998</v>
      </c>
      <c r="G2882">
        <v>21.097560975609699</v>
      </c>
      <c r="H2882">
        <v>1</v>
      </c>
      <c r="I2882">
        <v>0.52687269999999997</v>
      </c>
      <c r="J2882">
        <v>2015</v>
      </c>
      <c r="K2882">
        <v>4</v>
      </c>
      <c r="L2882">
        <v>2</v>
      </c>
      <c r="M2882" t="s">
        <v>90</v>
      </c>
      <c r="N2882">
        <v>0</v>
      </c>
      <c r="O2882">
        <v>0</v>
      </c>
    </row>
    <row r="2883" spans="1:15" x14ac:dyDescent="0.3">
      <c r="A2883">
        <v>2978</v>
      </c>
      <c r="B2883" s="34">
        <v>42097</v>
      </c>
      <c r="C2883">
        <v>1.08792</v>
      </c>
      <c r="D2883">
        <v>0</v>
      </c>
      <c r="F2883">
        <v>0.446429999999998</v>
      </c>
      <c r="G2883">
        <v>21.097560975609699</v>
      </c>
      <c r="H2883">
        <v>0</v>
      </c>
      <c r="I2883">
        <v>0.52669580000000005</v>
      </c>
      <c r="J2883">
        <v>2015</v>
      </c>
      <c r="K2883">
        <v>4</v>
      </c>
      <c r="L2883">
        <v>3</v>
      </c>
      <c r="M2883" t="s">
        <v>91</v>
      </c>
      <c r="N2883">
        <v>0</v>
      </c>
      <c r="O2883">
        <v>0</v>
      </c>
    </row>
    <row r="2884" spans="1:15" x14ac:dyDescent="0.3">
      <c r="A2884">
        <v>2979</v>
      </c>
      <c r="B2884" s="34">
        <v>42100</v>
      </c>
      <c r="C2884">
        <v>1.0967899999999999</v>
      </c>
      <c r="D2884">
        <v>0</v>
      </c>
      <c r="F2884">
        <v>0.446429999999998</v>
      </c>
      <c r="G2884">
        <v>21.097560975609699</v>
      </c>
      <c r="H2884">
        <v>0</v>
      </c>
      <c r="I2884">
        <v>0.52651890000000001</v>
      </c>
      <c r="J2884">
        <v>2015</v>
      </c>
      <c r="K2884">
        <v>4</v>
      </c>
      <c r="L2884">
        <v>6</v>
      </c>
      <c r="M2884" t="s">
        <v>92</v>
      </c>
      <c r="N2884">
        <v>0</v>
      </c>
      <c r="O2884">
        <v>0</v>
      </c>
    </row>
    <row r="2885" spans="1:15" x14ac:dyDescent="0.3">
      <c r="A2885">
        <v>2980</v>
      </c>
      <c r="B2885" s="34">
        <v>42101</v>
      </c>
      <c r="C2885">
        <v>1.09213</v>
      </c>
      <c r="D2885">
        <v>0</v>
      </c>
      <c r="F2885">
        <v>0.446429999999998</v>
      </c>
      <c r="G2885">
        <v>21.097560975609699</v>
      </c>
      <c r="H2885">
        <v>1</v>
      </c>
      <c r="I2885">
        <v>0.52667779999999997</v>
      </c>
      <c r="J2885">
        <v>2015</v>
      </c>
      <c r="K2885">
        <v>4</v>
      </c>
      <c r="L2885">
        <v>7</v>
      </c>
      <c r="M2885" t="s">
        <v>93</v>
      </c>
      <c r="N2885">
        <v>0</v>
      </c>
      <c r="O2885">
        <v>0</v>
      </c>
    </row>
    <row r="2886" spans="1:15" x14ac:dyDescent="0.3">
      <c r="A2886">
        <v>2981</v>
      </c>
      <c r="B2886" s="34">
        <v>42102</v>
      </c>
      <c r="C2886">
        <v>1.0813699999999999</v>
      </c>
      <c r="D2886">
        <v>0</v>
      </c>
      <c r="F2886">
        <v>0.446429999999998</v>
      </c>
      <c r="G2886">
        <v>21.097560975609699</v>
      </c>
      <c r="H2886">
        <v>1</v>
      </c>
      <c r="I2886">
        <v>0.52683659999999999</v>
      </c>
      <c r="J2886">
        <v>2015</v>
      </c>
      <c r="K2886">
        <v>4</v>
      </c>
      <c r="L2886">
        <v>8</v>
      </c>
      <c r="M2886" t="s">
        <v>89</v>
      </c>
      <c r="N2886">
        <v>0</v>
      </c>
      <c r="O2886">
        <v>0</v>
      </c>
    </row>
    <row r="2887" spans="1:15" x14ac:dyDescent="0.3">
      <c r="A2887">
        <v>2982</v>
      </c>
      <c r="B2887" s="34">
        <v>42103</v>
      </c>
      <c r="C2887">
        <v>1.07795</v>
      </c>
      <c r="D2887">
        <v>0</v>
      </c>
      <c r="F2887">
        <v>0.446429999999998</v>
      </c>
      <c r="G2887">
        <v>21.097560975609699</v>
      </c>
      <c r="H2887">
        <v>0</v>
      </c>
      <c r="I2887">
        <v>0.52666000000000002</v>
      </c>
      <c r="J2887">
        <v>2015</v>
      </c>
      <c r="K2887">
        <v>4</v>
      </c>
      <c r="L2887">
        <v>9</v>
      </c>
      <c r="M2887" t="s">
        <v>90</v>
      </c>
      <c r="N2887">
        <v>0</v>
      </c>
      <c r="O2887">
        <v>0</v>
      </c>
    </row>
    <row r="2888" spans="1:15" x14ac:dyDescent="0.3">
      <c r="A2888">
        <v>2983</v>
      </c>
      <c r="B2888" s="34">
        <v>42104</v>
      </c>
      <c r="C2888">
        <v>1.0658399999999999</v>
      </c>
      <c r="D2888">
        <v>0</v>
      </c>
      <c r="F2888">
        <v>0.446429999999998</v>
      </c>
      <c r="G2888">
        <v>21.097560975609699</v>
      </c>
      <c r="H2888">
        <v>0</v>
      </c>
      <c r="I2888">
        <v>0.52648340000000005</v>
      </c>
      <c r="J2888">
        <v>2015</v>
      </c>
      <c r="K2888">
        <v>4</v>
      </c>
      <c r="L2888">
        <v>10</v>
      </c>
      <c r="M2888" t="s">
        <v>91</v>
      </c>
      <c r="N2888">
        <v>0</v>
      </c>
      <c r="O2888">
        <v>0</v>
      </c>
    </row>
    <row r="2889" spans="1:15" x14ac:dyDescent="0.3">
      <c r="A2889">
        <v>2984</v>
      </c>
      <c r="B2889" s="34">
        <v>42107</v>
      </c>
      <c r="C2889">
        <v>1.0603</v>
      </c>
      <c r="D2889">
        <v>0</v>
      </c>
      <c r="F2889">
        <v>0.446429999999998</v>
      </c>
      <c r="G2889">
        <v>21.097560975609699</v>
      </c>
      <c r="H2889">
        <v>0</v>
      </c>
      <c r="I2889">
        <v>0.52630699999999997</v>
      </c>
      <c r="J2889">
        <v>2015</v>
      </c>
      <c r="K2889">
        <v>4</v>
      </c>
      <c r="L2889">
        <v>13</v>
      </c>
      <c r="M2889" t="s">
        <v>92</v>
      </c>
      <c r="N2889">
        <v>0</v>
      </c>
      <c r="O2889">
        <v>0</v>
      </c>
    </row>
    <row r="2890" spans="1:15" x14ac:dyDescent="0.3">
      <c r="A2890">
        <v>2985</v>
      </c>
      <c r="B2890" s="34">
        <v>42108</v>
      </c>
      <c r="C2890">
        <v>1.0565899999999999</v>
      </c>
      <c r="D2890">
        <v>0</v>
      </c>
      <c r="F2890">
        <v>0.446429999999998</v>
      </c>
      <c r="G2890">
        <v>21.097560975609699</v>
      </c>
      <c r="H2890">
        <v>0</v>
      </c>
      <c r="I2890">
        <v>0.52613069999999995</v>
      </c>
      <c r="J2890">
        <v>2015</v>
      </c>
      <c r="K2890">
        <v>4</v>
      </c>
      <c r="L2890">
        <v>14</v>
      </c>
      <c r="M2890" t="s">
        <v>93</v>
      </c>
      <c r="N2890">
        <v>0</v>
      </c>
      <c r="O2890">
        <v>0</v>
      </c>
    </row>
    <row r="2891" spans="1:15" x14ac:dyDescent="0.3">
      <c r="A2891">
        <v>2986</v>
      </c>
      <c r="B2891" s="34">
        <v>42109</v>
      </c>
      <c r="C2891">
        <v>1.0653900000000001</v>
      </c>
      <c r="D2891">
        <v>0</v>
      </c>
      <c r="F2891">
        <v>0.446429999999998</v>
      </c>
      <c r="G2891">
        <v>21.097560975609699</v>
      </c>
      <c r="H2891">
        <v>0</v>
      </c>
      <c r="I2891">
        <v>0.52595440000000004</v>
      </c>
      <c r="J2891">
        <v>2015</v>
      </c>
      <c r="K2891">
        <v>4</v>
      </c>
      <c r="L2891">
        <v>15</v>
      </c>
      <c r="M2891" t="s">
        <v>89</v>
      </c>
      <c r="N2891">
        <v>0</v>
      </c>
      <c r="O2891">
        <v>0</v>
      </c>
    </row>
    <row r="2892" spans="1:15" x14ac:dyDescent="0.3">
      <c r="A2892">
        <v>2987</v>
      </c>
      <c r="B2892" s="34">
        <v>42110</v>
      </c>
      <c r="C2892">
        <v>1.0686899999999999</v>
      </c>
      <c r="D2892">
        <v>0</v>
      </c>
      <c r="F2892">
        <v>0.446429999999998</v>
      </c>
      <c r="G2892">
        <v>21.097560975609699</v>
      </c>
      <c r="H2892">
        <v>0</v>
      </c>
      <c r="I2892">
        <v>0.52577839999999998</v>
      </c>
      <c r="J2892">
        <v>2015</v>
      </c>
      <c r="K2892">
        <v>4</v>
      </c>
      <c r="L2892">
        <v>16</v>
      </c>
      <c r="M2892" t="s">
        <v>90</v>
      </c>
      <c r="N2892">
        <v>0</v>
      </c>
      <c r="O2892">
        <v>0</v>
      </c>
    </row>
    <row r="2893" spans="1:15" x14ac:dyDescent="0.3">
      <c r="A2893">
        <v>2988</v>
      </c>
      <c r="B2893" s="34">
        <v>42111</v>
      </c>
      <c r="C2893">
        <v>1.07592</v>
      </c>
      <c r="D2893">
        <v>0</v>
      </c>
      <c r="F2893">
        <v>0.446429999999998</v>
      </c>
      <c r="G2893">
        <v>21.097560975609699</v>
      </c>
      <c r="H2893">
        <v>0</v>
      </c>
      <c r="I2893">
        <v>0.52560240000000003</v>
      </c>
      <c r="J2893">
        <v>2015</v>
      </c>
      <c r="K2893">
        <v>4</v>
      </c>
      <c r="L2893">
        <v>17</v>
      </c>
      <c r="M2893" t="s">
        <v>91</v>
      </c>
      <c r="N2893">
        <v>0</v>
      </c>
      <c r="O2893">
        <v>0</v>
      </c>
    </row>
    <row r="2894" spans="1:15" x14ac:dyDescent="0.3">
      <c r="A2894">
        <v>2989</v>
      </c>
      <c r="B2894" s="34">
        <v>42114</v>
      </c>
      <c r="C2894">
        <v>1.0808899999999999</v>
      </c>
      <c r="D2894">
        <v>0</v>
      </c>
      <c r="F2894">
        <v>0.446429999999998</v>
      </c>
      <c r="G2894">
        <v>21.097560975609699</v>
      </c>
      <c r="H2894">
        <v>0</v>
      </c>
      <c r="I2894">
        <v>0.52542659999999997</v>
      </c>
      <c r="J2894">
        <v>2015</v>
      </c>
      <c r="K2894">
        <v>4</v>
      </c>
      <c r="L2894">
        <v>20</v>
      </c>
      <c r="M2894" t="s">
        <v>92</v>
      </c>
      <c r="N2894">
        <v>0</v>
      </c>
      <c r="O2894">
        <v>0</v>
      </c>
    </row>
    <row r="2895" spans="1:15" x14ac:dyDescent="0.3">
      <c r="A2895">
        <v>2990</v>
      </c>
      <c r="B2895" s="34">
        <v>42115</v>
      </c>
      <c r="C2895">
        <v>1.07379</v>
      </c>
      <c r="D2895">
        <v>0</v>
      </c>
      <c r="F2895">
        <v>0.446429999999998</v>
      </c>
      <c r="G2895">
        <v>21.097560975609699</v>
      </c>
      <c r="H2895">
        <v>1</v>
      </c>
      <c r="I2895">
        <v>0.52558530000000003</v>
      </c>
      <c r="J2895">
        <v>2015</v>
      </c>
      <c r="K2895">
        <v>4</v>
      </c>
      <c r="L2895">
        <v>21</v>
      </c>
      <c r="M2895" t="s">
        <v>93</v>
      </c>
      <c r="N2895">
        <v>0</v>
      </c>
      <c r="O2895">
        <v>0</v>
      </c>
    </row>
    <row r="2896" spans="1:15" x14ac:dyDescent="0.3">
      <c r="A2896">
        <v>2991</v>
      </c>
      <c r="B2896" s="34">
        <v>42116</v>
      </c>
      <c r="C2896">
        <v>1.0733299999999999</v>
      </c>
      <c r="D2896">
        <v>0</v>
      </c>
      <c r="F2896">
        <v>0.446429999999998</v>
      </c>
      <c r="G2896">
        <v>21.097560975609699</v>
      </c>
      <c r="H2896">
        <v>1</v>
      </c>
      <c r="I2896">
        <v>0.52574390000000004</v>
      </c>
      <c r="J2896">
        <v>2015</v>
      </c>
      <c r="K2896">
        <v>4</v>
      </c>
      <c r="L2896">
        <v>22</v>
      </c>
      <c r="M2896" t="s">
        <v>89</v>
      </c>
      <c r="N2896">
        <v>0</v>
      </c>
      <c r="O2896">
        <v>0</v>
      </c>
    </row>
    <row r="2897" spans="1:15" x14ac:dyDescent="0.3">
      <c r="A2897">
        <v>2992</v>
      </c>
      <c r="B2897" s="34">
        <v>42117</v>
      </c>
      <c r="C2897">
        <v>1.07253</v>
      </c>
      <c r="D2897">
        <v>0</v>
      </c>
      <c r="F2897">
        <v>0.446429999999998</v>
      </c>
      <c r="G2897">
        <v>21.097560975609699</v>
      </c>
      <c r="H2897">
        <v>1</v>
      </c>
      <c r="I2897">
        <v>0.52590239999999999</v>
      </c>
      <c r="J2897">
        <v>2015</v>
      </c>
      <c r="K2897">
        <v>4</v>
      </c>
      <c r="L2897">
        <v>23</v>
      </c>
      <c r="M2897" t="s">
        <v>90</v>
      </c>
      <c r="N2897">
        <v>0</v>
      </c>
      <c r="O2897">
        <v>0</v>
      </c>
    </row>
    <row r="2898" spans="1:15" x14ac:dyDescent="0.3">
      <c r="A2898">
        <v>2993</v>
      </c>
      <c r="B2898" s="34">
        <v>42118</v>
      </c>
      <c r="C2898">
        <v>1.0824499999999999</v>
      </c>
      <c r="D2898">
        <v>0</v>
      </c>
      <c r="F2898">
        <v>0.446429999999998</v>
      </c>
      <c r="G2898">
        <v>21.097560975609699</v>
      </c>
      <c r="H2898">
        <v>1</v>
      </c>
      <c r="I2898">
        <v>0.5260608</v>
      </c>
      <c r="J2898">
        <v>2015</v>
      </c>
      <c r="K2898">
        <v>4</v>
      </c>
      <c r="L2898">
        <v>24</v>
      </c>
      <c r="M2898" t="s">
        <v>91</v>
      </c>
      <c r="N2898">
        <v>0</v>
      </c>
      <c r="O2898">
        <v>0</v>
      </c>
    </row>
    <row r="2899" spans="1:15" x14ac:dyDescent="0.3">
      <c r="A2899">
        <v>2994</v>
      </c>
      <c r="B2899" s="34">
        <v>42121</v>
      </c>
      <c r="C2899">
        <v>1.087</v>
      </c>
      <c r="D2899">
        <v>0</v>
      </c>
      <c r="F2899">
        <v>0.446429999999998</v>
      </c>
      <c r="G2899">
        <v>21.097560975609699</v>
      </c>
      <c r="H2899">
        <v>0</v>
      </c>
      <c r="I2899">
        <v>0.52588509999999999</v>
      </c>
      <c r="J2899">
        <v>2015</v>
      </c>
      <c r="K2899">
        <v>4</v>
      </c>
      <c r="L2899">
        <v>27</v>
      </c>
      <c r="M2899" t="s">
        <v>92</v>
      </c>
      <c r="N2899">
        <v>0</v>
      </c>
      <c r="O2899">
        <v>0</v>
      </c>
    </row>
    <row r="2900" spans="1:15" x14ac:dyDescent="0.3">
      <c r="A2900">
        <v>2995</v>
      </c>
      <c r="B2900" s="34">
        <v>42122</v>
      </c>
      <c r="C2900">
        <v>1.0886899999999999</v>
      </c>
      <c r="D2900">
        <v>0</v>
      </c>
      <c r="F2900">
        <v>0.446429999999998</v>
      </c>
      <c r="G2900">
        <v>21.097560975609699</v>
      </c>
      <c r="H2900">
        <v>0</v>
      </c>
      <c r="I2900">
        <v>0.52570950000000005</v>
      </c>
      <c r="J2900">
        <v>2015</v>
      </c>
      <c r="K2900">
        <v>4</v>
      </c>
      <c r="L2900">
        <v>28</v>
      </c>
      <c r="M2900" t="s">
        <v>93</v>
      </c>
      <c r="N2900">
        <v>0</v>
      </c>
      <c r="O2900">
        <v>0</v>
      </c>
    </row>
    <row r="2901" spans="1:15" x14ac:dyDescent="0.3">
      <c r="A2901">
        <v>2996</v>
      </c>
      <c r="B2901" s="34">
        <v>42123</v>
      </c>
      <c r="C2901">
        <v>1.09788</v>
      </c>
      <c r="D2901">
        <v>0</v>
      </c>
      <c r="F2901">
        <v>0.446429999999998</v>
      </c>
      <c r="G2901">
        <v>21.097560975609699</v>
      </c>
      <c r="H2901">
        <v>0</v>
      </c>
      <c r="I2901">
        <v>0.52553399999999995</v>
      </c>
      <c r="J2901">
        <v>2015</v>
      </c>
      <c r="K2901">
        <v>4</v>
      </c>
      <c r="L2901">
        <v>29</v>
      </c>
      <c r="M2901" t="s">
        <v>89</v>
      </c>
      <c r="N2901">
        <v>0</v>
      </c>
      <c r="O2901">
        <v>0</v>
      </c>
    </row>
    <row r="2902" spans="1:15" x14ac:dyDescent="0.3">
      <c r="A2902">
        <v>2997</v>
      </c>
      <c r="B2902" s="34">
        <v>42124</v>
      </c>
      <c r="C2902">
        <v>1.1126499999999999</v>
      </c>
      <c r="D2902">
        <v>0</v>
      </c>
      <c r="F2902">
        <v>0.446429999999998</v>
      </c>
      <c r="G2902">
        <v>21.097560975609699</v>
      </c>
      <c r="H2902">
        <v>0</v>
      </c>
      <c r="I2902">
        <v>0.52535869999999996</v>
      </c>
      <c r="J2902">
        <v>2015</v>
      </c>
      <c r="K2902">
        <v>4</v>
      </c>
      <c r="L2902">
        <v>30</v>
      </c>
      <c r="M2902" t="s">
        <v>90</v>
      </c>
      <c r="N2902">
        <v>0</v>
      </c>
      <c r="O2902">
        <v>0</v>
      </c>
    </row>
    <row r="2903" spans="1:15" x14ac:dyDescent="0.3">
      <c r="A2903">
        <v>2998</v>
      </c>
      <c r="B2903" s="34">
        <v>42125</v>
      </c>
      <c r="C2903">
        <v>1.12222</v>
      </c>
      <c r="D2903">
        <v>0</v>
      </c>
      <c r="F2903">
        <v>0.446429999999998</v>
      </c>
      <c r="G2903">
        <v>21.097560975609699</v>
      </c>
      <c r="H2903">
        <v>0</v>
      </c>
      <c r="I2903">
        <v>0.52518339999999997</v>
      </c>
      <c r="J2903">
        <v>2015</v>
      </c>
      <c r="K2903">
        <v>5</v>
      </c>
      <c r="L2903">
        <v>1</v>
      </c>
      <c r="M2903" t="s">
        <v>91</v>
      </c>
      <c r="N2903">
        <v>0</v>
      </c>
      <c r="O2903">
        <v>0</v>
      </c>
    </row>
    <row r="2904" spans="1:15" x14ac:dyDescent="0.3">
      <c r="A2904">
        <v>2999</v>
      </c>
      <c r="B2904" s="34">
        <v>42128</v>
      </c>
      <c r="C2904">
        <v>1.1196699999999999</v>
      </c>
      <c r="D2904">
        <v>0</v>
      </c>
      <c r="F2904">
        <v>0.446429999999998</v>
      </c>
      <c r="G2904">
        <v>21.097560975609699</v>
      </c>
      <c r="H2904">
        <v>1</v>
      </c>
      <c r="I2904">
        <v>0.52534179999999997</v>
      </c>
      <c r="J2904">
        <v>2015</v>
      </c>
      <c r="K2904">
        <v>5</v>
      </c>
      <c r="L2904">
        <v>4</v>
      </c>
      <c r="M2904" t="s">
        <v>92</v>
      </c>
      <c r="N2904">
        <v>0</v>
      </c>
      <c r="O2904">
        <v>0</v>
      </c>
    </row>
    <row r="2905" spans="1:15" x14ac:dyDescent="0.3">
      <c r="A2905">
        <v>3000</v>
      </c>
      <c r="B2905" s="34">
        <v>42129</v>
      </c>
      <c r="C2905">
        <v>1.11469</v>
      </c>
      <c r="D2905">
        <v>0</v>
      </c>
      <c r="F2905">
        <v>0.446429999999998</v>
      </c>
      <c r="G2905">
        <v>21.097560975609699</v>
      </c>
      <c r="H2905">
        <v>1</v>
      </c>
      <c r="I2905">
        <v>0.52549999999999997</v>
      </c>
      <c r="J2905">
        <v>2015</v>
      </c>
      <c r="K2905">
        <v>5</v>
      </c>
      <c r="L2905">
        <v>5</v>
      </c>
      <c r="M2905" t="s">
        <v>93</v>
      </c>
      <c r="N2905">
        <v>0</v>
      </c>
      <c r="O2905">
        <v>0</v>
      </c>
    </row>
    <row r="2906" spans="1:15" x14ac:dyDescent="0.3">
      <c r="A2906">
        <v>3001</v>
      </c>
      <c r="B2906" s="34">
        <v>42130</v>
      </c>
      <c r="C2906">
        <v>1.11849</v>
      </c>
      <c r="D2906">
        <v>0</v>
      </c>
      <c r="F2906">
        <v>0.446429999999998</v>
      </c>
      <c r="G2906">
        <v>21.097560975609699</v>
      </c>
      <c r="H2906">
        <v>1</v>
      </c>
      <c r="I2906">
        <v>0.52565810000000002</v>
      </c>
      <c r="J2906">
        <v>2015</v>
      </c>
      <c r="K2906">
        <v>5</v>
      </c>
      <c r="L2906">
        <v>6</v>
      </c>
      <c r="M2906" t="s">
        <v>89</v>
      </c>
      <c r="N2906">
        <v>0</v>
      </c>
      <c r="O2906">
        <v>0</v>
      </c>
    </row>
    <row r="2907" spans="1:15" x14ac:dyDescent="0.3">
      <c r="A2907">
        <v>3002</v>
      </c>
      <c r="B2907" s="34">
        <v>42131</v>
      </c>
      <c r="C2907">
        <v>1.1344700000000001</v>
      </c>
      <c r="D2907">
        <v>0</v>
      </c>
      <c r="F2907">
        <v>0.446429999999998</v>
      </c>
      <c r="G2907">
        <v>21.097560975609699</v>
      </c>
      <c r="H2907">
        <v>0</v>
      </c>
      <c r="I2907">
        <v>0.52548300000000003</v>
      </c>
      <c r="J2907">
        <v>2015</v>
      </c>
      <c r="K2907">
        <v>5</v>
      </c>
      <c r="L2907">
        <v>7</v>
      </c>
      <c r="M2907" t="s">
        <v>90</v>
      </c>
      <c r="N2907">
        <v>0</v>
      </c>
      <c r="O2907">
        <v>0</v>
      </c>
    </row>
    <row r="2908" spans="1:15" x14ac:dyDescent="0.3">
      <c r="A2908">
        <v>3003</v>
      </c>
      <c r="B2908" s="34">
        <v>42132</v>
      </c>
      <c r="C2908">
        <v>1.1265700000000001</v>
      </c>
      <c r="D2908">
        <v>0</v>
      </c>
      <c r="F2908">
        <v>0.446429999999998</v>
      </c>
      <c r="G2908">
        <v>21.097560975609699</v>
      </c>
      <c r="H2908">
        <v>1</v>
      </c>
      <c r="I2908">
        <v>0.52564100000000002</v>
      </c>
      <c r="J2908">
        <v>2015</v>
      </c>
      <c r="K2908">
        <v>5</v>
      </c>
      <c r="L2908">
        <v>8</v>
      </c>
      <c r="M2908" t="s">
        <v>91</v>
      </c>
      <c r="N2908">
        <v>0</v>
      </c>
      <c r="O2908">
        <v>0</v>
      </c>
    </row>
    <row r="2909" spans="1:15" x14ac:dyDescent="0.3">
      <c r="A2909">
        <v>3004</v>
      </c>
      <c r="B2909" s="34">
        <v>42135</v>
      </c>
      <c r="C2909">
        <v>1.1208499999999999</v>
      </c>
      <c r="D2909">
        <v>0</v>
      </c>
      <c r="F2909">
        <v>0.446429999999998</v>
      </c>
      <c r="G2909">
        <v>21.097560975609699</v>
      </c>
      <c r="H2909">
        <v>1</v>
      </c>
      <c r="I2909">
        <v>0.52579889999999996</v>
      </c>
      <c r="J2909">
        <v>2015</v>
      </c>
      <c r="K2909">
        <v>5</v>
      </c>
      <c r="L2909">
        <v>11</v>
      </c>
      <c r="M2909" t="s">
        <v>92</v>
      </c>
      <c r="N2909">
        <v>0</v>
      </c>
      <c r="O2909">
        <v>0</v>
      </c>
    </row>
    <row r="2910" spans="1:15" x14ac:dyDescent="0.3">
      <c r="A2910">
        <v>3005</v>
      </c>
      <c r="B2910" s="34">
        <v>42136</v>
      </c>
      <c r="C2910">
        <v>1.1154200000000001</v>
      </c>
      <c r="D2910">
        <v>0</v>
      </c>
      <c r="F2910">
        <v>0.446429999999998</v>
      </c>
      <c r="G2910">
        <v>21.097560975609699</v>
      </c>
      <c r="H2910">
        <v>1</v>
      </c>
      <c r="I2910">
        <v>0.52595670000000005</v>
      </c>
      <c r="J2910">
        <v>2015</v>
      </c>
      <c r="K2910">
        <v>5</v>
      </c>
      <c r="L2910">
        <v>12</v>
      </c>
      <c r="M2910" t="s">
        <v>93</v>
      </c>
      <c r="N2910">
        <v>0</v>
      </c>
      <c r="O2910">
        <v>0</v>
      </c>
    </row>
    <row r="2911" spans="1:15" x14ac:dyDescent="0.3">
      <c r="A2911">
        <v>3006</v>
      </c>
      <c r="B2911" s="34">
        <v>42137</v>
      </c>
      <c r="C2911">
        <v>1.12127</v>
      </c>
      <c r="D2911">
        <v>0</v>
      </c>
      <c r="F2911">
        <v>0.446429999999998</v>
      </c>
      <c r="G2911">
        <v>21.097560975609699</v>
      </c>
      <c r="H2911">
        <v>1</v>
      </c>
      <c r="I2911">
        <v>0.52611450000000004</v>
      </c>
      <c r="J2911">
        <v>2015</v>
      </c>
      <c r="K2911">
        <v>5</v>
      </c>
      <c r="L2911">
        <v>13</v>
      </c>
      <c r="M2911" t="s">
        <v>89</v>
      </c>
      <c r="N2911">
        <v>0</v>
      </c>
      <c r="O2911">
        <v>0</v>
      </c>
    </row>
    <row r="2912" spans="1:15" x14ac:dyDescent="0.3">
      <c r="A2912">
        <v>3007</v>
      </c>
      <c r="B2912" s="34">
        <v>42138</v>
      </c>
      <c r="C2912">
        <v>1.1354200000000001</v>
      </c>
      <c r="D2912">
        <v>0</v>
      </c>
      <c r="F2912">
        <v>0.446429999999998</v>
      </c>
      <c r="G2912">
        <v>21.097560975609699</v>
      </c>
      <c r="H2912">
        <v>0</v>
      </c>
      <c r="I2912">
        <v>0.5259395</v>
      </c>
      <c r="J2912">
        <v>2015</v>
      </c>
      <c r="K2912">
        <v>5</v>
      </c>
      <c r="L2912">
        <v>14</v>
      </c>
      <c r="M2912" t="s">
        <v>90</v>
      </c>
      <c r="N2912">
        <v>0</v>
      </c>
      <c r="O2912">
        <v>0</v>
      </c>
    </row>
    <row r="2913" spans="1:15" x14ac:dyDescent="0.3">
      <c r="A2913">
        <v>3008</v>
      </c>
      <c r="B2913" s="34">
        <v>42139</v>
      </c>
      <c r="C2913">
        <v>1.1409499999999999</v>
      </c>
      <c r="D2913">
        <v>0</v>
      </c>
      <c r="F2913">
        <v>0.446429999999998</v>
      </c>
      <c r="G2913">
        <v>21.097560975609699</v>
      </c>
      <c r="H2913">
        <v>0</v>
      </c>
      <c r="I2913">
        <v>0.52576460000000003</v>
      </c>
      <c r="J2913">
        <v>2015</v>
      </c>
      <c r="K2913">
        <v>5</v>
      </c>
      <c r="L2913">
        <v>15</v>
      </c>
      <c r="M2913" t="s">
        <v>91</v>
      </c>
      <c r="N2913">
        <v>0</v>
      </c>
      <c r="O2913">
        <v>0</v>
      </c>
    </row>
    <row r="2914" spans="1:15" x14ac:dyDescent="0.3">
      <c r="A2914">
        <v>3009</v>
      </c>
      <c r="B2914" s="34">
        <v>42142</v>
      </c>
      <c r="C2914">
        <v>1.14466</v>
      </c>
      <c r="D2914">
        <v>0</v>
      </c>
      <c r="F2914">
        <v>0.446429999999998</v>
      </c>
      <c r="G2914">
        <v>21.097560975609699</v>
      </c>
      <c r="H2914">
        <v>0</v>
      </c>
      <c r="I2914">
        <v>0.52558990000000005</v>
      </c>
      <c r="J2914">
        <v>2015</v>
      </c>
      <c r="K2914">
        <v>5</v>
      </c>
      <c r="L2914">
        <v>18</v>
      </c>
      <c r="M2914" t="s">
        <v>92</v>
      </c>
      <c r="N2914">
        <v>0</v>
      </c>
      <c r="O2914">
        <v>0</v>
      </c>
    </row>
    <row r="2915" spans="1:15" x14ac:dyDescent="0.3">
      <c r="A2915">
        <v>3010</v>
      </c>
      <c r="B2915" s="34">
        <v>42143</v>
      </c>
      <c r="C2915">
        <v>1.1314</v>
      </c>
      <c r="D2915">
        <v>0</v>
      </c>
      <c r="F2915">
        <v>0.446429999999998</v>
      </c>
      <c r="G2915">
        <v>21.097560975609699</v>
      </c>
      <c r="H2915">
        <v>1</v>
      </c>
      <c r="I2915">
        <v>0.52574750000000003</v>
      </c>
      <c r="J2915">
        <v>2015</v>
      </c>
      <c r="K2915">
        <v>5</v>
      </c>
      <c r="L2915">
        <v>19</v>
      </c>
      <c r="M2915" t="s">
        <v>93</v>
      </c>
      <c r="N2915">
        <v>0</v>
      </c>
      <c r="O2915">
        <v>0</v>
      </c>
    </row>
    <row r="2916" spans="1:15" x14ac:dyDescent="0.3">
      <c r="A2916">
        <v>3011</v>
      </c>
      <c r="B2916" s="34">
        <v>42144</v>
      </c>
      <c r="C2916">
        <v>1.1149</v>
      </c>
      <c r="D2916">
        <v>0</v>
      </c>
      <c r="F2916">
        <v>0.446429999999998</v>
      </c>
      <c r="G2916">
        <v>21.097560975609699</v>
      </c>
      <c r="H2916">
        <v>1</v>
      </c>
      <c r="I2916">
        <v>0.52590499999999996</v>
      </c>
      <c r="J2916">
        <v>2015</v>
      </c>
      <c r="K2916">
        <v>5</v>
      </c>
      <c r="L2916">
        <v>20</v>
      </c>
      <c r="M2916" t="s">
        <v>89</v>
      </c>
      <c r="N2916">
        <v>0</v>
      </c>
      <c r="O2916">
        <v>0</v>
      </c>
    </row>
    <row r="2917" spans="1:15" x14ac:dyDescent="0.3">
      <c r="A2917">
        <v>3012</v>
      </c>
      <c r="B2917" s="34">
        <v>42145</v>
      </c>
      <c r="C2917">
        <v>1.1093200000000001</v>
      </c>
      <c r="D2917">
        <v>0</v>
      </c>
      <c r="F2917">
        <v>0.446429999999998</v>
      </c>
      <c r="G2917">
        <v>21.097560975609699</v>
      </c>
      <c r="H2917">
        <v>0</v>
      </c>
      <c r="I2917">
        <v>0.52573040000000004</v>
      </c>
      <c r="J2917">
        <v>2015</v>
      </c>
      <c r="K2917">
        <v>5</v>
      </c>
      <c r="L2917">
        <v>21</v>
      </c>
      <c r="M2917" t="s">
        <v>90</v>
      </c>
      <c r="N2917">
        <v>0</v>
      </c>
      <c r="O2917">
        <v>0</v>
      </c>
    </row>
    <row r="2918" spans="1:15" x14ac:dyDescent="0.3">
      <c r="A2918">
        <v>3013</v>
      </c>
      <c r="B2918" s="34">
        <v>42146</v>
      </c>
      <c r="C2918">
        <v>1.11113</v>
      </c>
      <c r="D2918">
        <v>0</v>
      </c>
      <c r="F2918">
        <v>0.446429999999998</v>
      </c>
      <c r="G2918">
        <v>21.097560975609699</v>
      </c>
      <c r="H2918">
        <v>1</v>
      </c>
      <c r="I2918">
        <v>0.52588780000000002</v>
      </c>
      <c r="J2918">
        <v>2015</v>
      </c>
      <c r="K2918">
        <v>5</v>
      </c>
      <c r="L2918">
        <v>22</v>
      </c>
      <c r="M2918" t="s">
        <v>91</v>
      </c>
      <c r="N2918">
        <v>0</v>
      </c>
      <c r="O2918">
        <v>0</v>
      </c>
    </row>
    <row r="2919" spans="1:15" x14ac:dyDescent="0.3">
      <c r="A2919">
        <v>3014</v>
      </c>
      <c r="B2919" s="34">
        <v>42149</v>
      </c>
      <c r="C2919">
        <v>1.10141</v>
      </c>
      <c r="D2919">
        <v>0</v>
      </c>
      <c r="F2919">
        <v>0.446429999999998</v>
      </c>
      <c r="G2919">
        <v>21.097560975609699</v>
      </c>
      <c r="H2919">
        <v>1</v>
      </c>
      <c r="I2919">
        <v>0.52604510000000004</v>
      </c>
      <c r="J2919">
        <v>2015</v>
      </c>
      <c r="K2919">
        <v>5</v>
      </c>
      <c r="L2919">
        <v>25</v>
      </c>
      <c r="M2919" t="s">
        <v>92</v>
      </c>
      <c r="N2919">
        <v>0</v>
      </c>
      <c r="O2919">
        <v>0</v>
      </c>
    </row>
    <row r="2920" spans="1:15" x14ac:dyDescent="0.3">
      <c r="A2920">
        <v>3015</v>
      </c>
      <c r="B2920" s="34">
        <v>42150</v>
      </c>
      <c r="C2920">
        <v>1.0976900000000001</v>
      </c>
      <c r="D2920">
        <v>0</v>
      </c>
      <c r="F2920">
        <v>0.446429999999998</v>
      </c>
      <c r="G2920">
        <v>21.097560975609699</v>
      </c>
      <c r="H2920">
        <v>0</v>
      </c>
      <c r="I2920">
        <v>0.52587059999999997</v>
      </c>
      <c r="J2920">
        <v>2015</v>
      </c>
      <c r="K2920">
        <v>5</v>
      </c>
      <c r="L2920">
        <v>26</v>
      </c>
      <c r="M2920" t="s">
        <v>93</v>
      </c>
      <c r="N2920">
        <v>0</v>
      </c>
      <c r="O2920">
        <v>0</v>
      </c>
    </row>
    <row r="2921" spans="1:15" x14ac:dyDescent="0.3">
      <c r="A2921">
        <v>3016</v>
      </c>
      <c r="B2921" s="34">
        <v>42151</v>
      </c>
      <c r="C2921">
        <v>1.0872299999999999</v>
      </c>
      <c r="D2921">
        <v>0</v>
      </c>
      <c r="F2921">
        <v>0.446429999999998</v>
      </c>
      <c r="G2921">
        <v>21.097560975609699</v>
      </c>
      <c r="H2921">
        <v>0</v>
      </c>
      <c r="I2921">
        <v>0.52569630000000001</v>
      </c>
      <c r="J2921">
        <v>2015</v>
      </c>
      <c r="K2921">
        <v>5</v>
      </c>
      <c r="L2921">
        <v>27</v>
      </c>
      <c r="M2921" t="s">
        <v>89</v>
      </c>
      <c r="N2921">
        <v>0</v>
      </c>
      <c r="O2921">
        <v>0</v>
      </c>
    </row>
    <row r="2922" spans="1:15" x14ac:dyDescent="0.3">
      <c r="A2922">
        <v>3017</v>
      </c>
      <c r="B2922" s="34">
        <v>42152</v>
      </c>
      <c r="C2922">
        <v>1.0903400000000001</v>
      </c>
      <c r="D2922">
        <v>0</v>
      </c>
      <c r="F2922">
        <v>0.446429999999998</v>
      </c>
      <c r="G2922">
        <v>21.097560975609699</v>
      </c>
      <c r="H2922">
        <v>1</v>
      </c>
      <c r="I2922">
        <v>0.52585349999999997</v>
      </c>
      <c r="J2922">
        <v>2015</v>
      </c>
      <c r="K2922">
        <v>5</v>
      </c>
      <c r="L2922">
        <v>28</v>
      </c>
      <c r="M2922" t="s">
        <v>90</v>
      </c>
      <c r="N2922">
        <v>0</v>
      </c>
      <c r="O2922">
        <v>0</v>
      </c>
    </row>
    <row r="2923" spans="1:15" x14ac:dyDescent="0.3">
      <c r="A2923">
        <v>3018</v>
      </c>
      <c r="B2923" s="34">
        <v>42153</v>
      </c>
      <c r="C2923">
        <v>1.09473</v>
      </c>
      <c r="D2923">
        <v>0</v>
      </c>
      <c r="F2923">
        <v>0.446429999999998</v>
      </c>
      <c r="G2923">
        <v>21.097560975609699</v>
      </c>
      <c r="H2923">
        <v>0</v>
      </c>
      <c r="I2923">
        <v>0.52567920000000001</v>
      </c>
      <c r="J2923">
        <v>2015</v>
      </c>
      <c r="K2923">
        <v>5</v>
      </c>
      <c r="L2923">
        <v>29</v>
      </c>
      <c r="M2923" t="s">
        <v>91</v>
      </c>
      <c r="N2923">
        <v>0</v>
      </c>
      <c r="O2923">
        <v>0</v>
      </c>
    </row>
    <row r="2924" spans="1:15" x14ac:dyDescent="0.3">
      <c r="A2924">
        <v>3019</v>
      </c>
      <c r="B2924" s="34">
        <v>42156</v>
      </c>
      <c r="C2924">
        <v>1.0989500000000001</v>
      </c>
      <c r="D2924">
        <v>0</v>
      </c>
      <c r="F2924">
        <v>0.446429999999998</v>
      </c>
      <c r="G2924">
        <v>21.097560975609699</v>
      </c>
      <c r="H2924">
        <v>0</v>
      </c>
      <c r="I2924">
        <v>0.52550509999999995</v>
      </c>
      <c r="J2924">
        <v>2015</v>
      </c>
      <c r="K2924">
        <v>6</v>
      </c>
      <c r="L2924">
        <v>1</v>
      </c>
      <c r="M2924" t="s">
        <v>92</v>
      </c>
      <c r="N2924">
        <v>0</v>
      </c>
      <c r="O2924">
        <v>0</v>
      </c>
    </row>
    <row r="2925" spans="1:15" x14ac:dyDescent="0.3">
      <c r="A2925">
        <v>3020</v>
      </c>
      <c r="B2925" s="34">
        <v>42157</v>
      </c>
      <c r="C2925">
        <v>1.0925800000000001</v>
      </c>
      <c r="D2925">
        <v>0</v>
      </c>
      <c r="F2925">
        <v>0.446429999999998</v>
      </c>
      <c r="G2925">
        <v>21.097560975609699</v>
      </c>
      <c r="H2925">
        <v>1</v>
      </c>
      <c r="I2925">
        <v>0.52566219999999997</v>
      </c>
      <c r="J2925">
        <v>2015</v>
      </c>
      <c r="K2925">
        <v>6</v>
      </c>
      <c r="L2925">
        <v>2</v>
      </c>
      <c r="M2925" t="s">
        <v>93</v>
      </c>
      <c r="N2925">
        <v>0</v>
      </c>
      <c r="O2925">
        <v>0</v>
      </c>
    </row>
    <row r="2926" spans="1:15" x14ac:dyDescent="0.3">
      <c r="A2926">
        <v>3021</v>
      </c>
      <c r="B2926" s="34">
        <v>42158</v>
      </c>
      <c r="C2926">
        <v>1.1150100000000001</v>
      </c>
      <c r="D2926">
        <v>0</v>
      </c>
      <c r="F2926">
        <v>0.446429999999998</v>
      </c>
      <c r="G2926">
        <v>21.097560975609699</v>
      </c>
      <c r="H2926">
        <v>1</v>
      </c>
      <c r="I2926">
        <v>0.52581920000000004</v>
      </c>
      <c r="J2926">
        <v>2015</v>
      </c>
      <c r="K2926">
        <v>6</v>
      </c>
      <c r="L2926">
        <v>3</v>
      </c>
      <c r="M2926" t="s">
        <v>89</v>
      </c>
      <c r="N2926">
        <v>0</v>
      </c>
      <c r="O2926">
        <v>0</v>
      </c>
    </row>
    <row r="2927" spans="1:15" x14ac:dyDescent="0.3">
      <c r="A2927">
        <v>3022</v>
      </c>
      <c r="B2927" s="34">
        <v>42159</v>
      </c>
      <c r="C2927">
        <v>1.12737</v>
      </c>
      <c r="D2927">
        <v>0</v>
      </c>
      <c r="F2927">
        <v>0.446429999999998</v>
      </c>
      <c r="G2927">
        <v>21.097560975609699</v>
      </c>
      <c r="H2927">
        <v>0</v>
      </c>
      <c r="I2927">
        <v>0.52564529999999998</v>
      </c>
      <c r="J2927">
        <v>2015</v>
      </c>
      <c r="K2927">
        <v>6</v>
      </c>
      <c r="L2927">
        <v>4</v>
      </c>
      <c r="M2927" t="s">
        <v>90</v>
      </c>
      <c r="N2927">
        <v>0</v>
      </c>
      <c r="O2927">
        <v>0</v>
      </c>
    </row>
    <row r="2928" spans="1:15" x14ac:dyDescent="0.3">
      <c r="A2928">
        <v>3023</v>
      </c>
      <c r="B2928" s="34">
        <v>42160</v>
      </c>
      <c r="C2928">
        <v>1.1237200000000001</v>
      </c>
      <c r="D2928">
        <v>0</v>
      </c>
      <c r="F2928">
        <v>0.446429999999998</v>
      </c>
      <c r="G2928">
        <v>21.097560975609699</v>
      </c>
      <c r="H2928">
        <v>1</v>
      </c>
      <c r="I2928">
        <v>0.5258022</v>
      </c>
      <c r="J2928">
        <v>2015</v>
      </c>
      <c r="K2928">
        <v>6</v>
      </c>
      <c r="L2928">
        <v>5</v>
      </c>
      <c r="M2928" t="s">
        <v>91</v>
      </c>
      <c r="N2928">
        <v>0</v>
      </c>
      <c r="O2928">
        <v>0</v>
      </c>
    </row>
    <row r="2929" spans="1:15" x14ac:dyDescent="0.3">
      <c r="A2929">
        <v>3024</v>
      </c>
      <c r="B2929" s="34">
        <v>42163</v>
      </c>
      <c r="C2929">
        <v>1.1116299999999999</v>
      </c>
      <c r="D2929">
        <v>0</v>
      </c>
      <c r="F2929">
        <v>0.446429999999998</v>
      </c>
      <c r="G2929">
        <v>21.097560975609699</v>
      </c>
      <c r="H2929">
        <v>1</v>
      </c>
      <c r="I2929">
        <v>0.52595899999999995</v>
      </c>
      <c r="J2929">
        <v>2015</v>
      </c>
      <c r="K2929">
        <v>6</v>
      </c>
      <c r="L2929">
        <v>8</v>
      </c>
      <c r="M2929" t="s">
        <v>92</v>
      </c>
      <c r="N2929">
        <v>0</v>
      </c>
      <c r="O2929">
        <v>0</v>
      </c>
    </row>
    <row r="2930" spans="1:15" x14ac:dyDescent="0.3">
      <c r="A2930">
        <v>3025</v>
      </c>
      <c r="B2930" s="34">
        <v>42164</v>
      </c>
      <c r="C2930">
        <v>1.1290800000000001</v>
      </c>
      <c r="D2930">
        <v>0</v>
      </c>
      <c r="F2930">
        <v>0.446429999999998</v>
      </c>
      <c r="G2930">
        <v>21.097560975609699</v>
      </c>
      <c r="H2930">
        <v>0</v>
      </c>
      <c r="I2930">
        <v>0.52578510000000001</v>
      </c>
      <c r="J2930">
        <v>2015</v>
      </c>
      <c r="K2930">
        <v>6</v>
      </c>
      <c r="L2930">
        <v>9</v>
      </c>
      <c r="M2930" t="s">
        <v>93</v>
      </c>
      <c r="N2930">
        <v>0</v>
      </c>
      <c r="O2930">
        <v>0</v>
      </c>
    </row>
    <row r="2931" spans="1:15" x14ac:dyDescent="0.3">
      <c r="A2931">
        <v>3026</v>
      </c>
      <c r="B2931" s="34">
        <v>42165</v>
      </c>
      <c r="C2931">
        <v>1.1281699999999999</v>
      </c>
      <c r="D2931">
        <v>0</v>
      </c>
      <c r="F2931">
        <v>0.446429999999998</v>
      </c>
      <c r="G2931">
        <v>21.097560975609699</v>
      </c>
      <c r="H2931">
        <v>1</v>
      </c>
      <c r="I2931">
        <v>0.52594180000000001</v>
      </c>
      <c r="J2931">
        <v>2015</v>
      </c>
      <c r="K2931">
        <v>6</v>
      </c>
      <c r="L2931">
        <v>10</v>
      </c>
      <c r="M2931" t="s">
        <v>89</v>
      </c>
      <c r="N2931">
        <v>0</v>
      </c>
      <c r="O2931">
        <v>0</v>
      </c>
    </row>
    <row r="2932" spans="1:15" x14ac:dyDescent="0.3">
      <c r="A2932">
        <v>3027</v>
      </c>
      <c r="B2932" s="34">
        <v>42166</v>
      </c>
      <c r="C2932">
        <v>1.1323000000000001</v>
      </c>
      <c r="D2932">
        <v>0</v>
      </c>
      <c r="F2932">
        <v>0.446429999999998</v>
      </c>
      <c r="G2932">
        <v>21.097560975609699</v>
      </c>
      <c r="H2932">
        <v>0</v>
      </c>
      <c r="I2932">
        <v>0.52576809999999996</v>
      </c>
      <c r="J2932">
        <v>2015</v>
      </c>
      <c r="K2932">
        <v>6</v>
      </c>
      <c r="L2932">
        <v>11</v>
      </c>
      <c r="M2932" t="s">
        <v>90</v>
      </c>
      <c r="N2932">
        <v>0</v>
      </c>
      <c r="O2932">
        <v>0</v>
      </c>
    </row>
    <row r="2933" spans="1:15" x14ac:dyDescent="0.3">
      <c r="A2933">
        <v>3028</v>
      </c>
      <c r="B2933" s="34">
        <v>42167</v>
      </c>
      <c r="C2933">
        <v>1.1256600000000001</v>
      </c>
      <c r="D2933">
        <v>1</v>
      </c>
      <c r="E2933" t="s">
        <v>419</v>
      </c>
      <c r="F2933">
        <v>0.44697999999999799</v>
      </c>
      <c r="G2933">
        <v>21.000353481795599</v>
      </c>
      <c r="H2933">
        <v>1</v>
      </c>
      <c r="I2933">
        <v>0.52592470000000002</v>
      </c>
      <c r="J2933">
        <v>2015</v>
      </c>
      <c r="K2933">
        <v>6</v>
      </c>
      <c r="L2933">
        <v>12</v>
      </c>
      <c r="M2933" t="s">
        <v>91</v>
      </c>
      <c r="N2933">
        <v>0</v>
      </c>
      <c r="O2933">
        <v>0</v>
      </c>
    </row>
    <row r="2934" spans="1:15" x14ac:dyDescent="0.3">
      <c r="A2934">
        <v>3029</v>
      </c>
      <c r="B2934" s="34">
        <v>42170</v>
      </c>
      <c r="C2934">
        <v>1.1262099999999999</v>
      </c>
      <c r="D2934">
        <v>0</v>
      </c>
      <c r="F2934">
        <v>0.44697999999999799</v>
      </c>
      <c r="G2934">
        <v>21.000353481795599</v>
      </c>
      <c r="H2934">
        <v>0</v>
      </c>
      <c r="I2934">
        <v>0.52575110000000003</v>
      </c>
      <c r="J2934">
        <v>2015</v>
      </c>
      <c r="K2934">
        <v>6</v>
      </c>
      <c r="L2934">
        <v>15</v>
      </c>
      <c r="M2934" t="s">
        <v>92</v>
      </c>
      <c r="N2934">
        <v>0</v>
      </c>
      <c r="O2934">
        <v>0</v>
      </c>
    </row>
    <row r="2935" spans="1:15" x14ac:dyDescent="0.3">
      <c r="A2935">
        <v>3030</v>
      </c>
      <c r="B2935" s="34">
        <v>42171</v>
      </c>
      <c r="C2935">
        <v>1.1282000000000001</v>
      </c>
      <c r="D2935">
        <v>0</v>
      </c>
      <c r="F2935">
        <v>0.44697999999999799</v>
      </c>
      <c r="G2935">
        <v>21.000353481795599</v>
      </c>
      <c r="H2935">
        <v>0</v>
      </c>
      <c r="I2935">
        <v>0.52557750000000003</v>
      </c>
      <c r="J2935">
        <v>2015</v>
      </c>
      <c r="K2935">
        <v>6</v>
      </c>
      <c r="L2935">
        <v>16</v>
      </c>
      <c r="M2935" t="s">
        <v>93</v>
      </c>
      <c r="N2935">
        <v>0</v>
      </c>
      <c r="O2935">
        <v>0</v>
      </c>
    </row>
    <row r="2936" spans="1:15" x14ac:dyDescent="0.3">
      <c r="A2936">
        <v>3031</v>
      </c>
      <c r="B2936" s="34">
        <v>42172</v>
      </c>
      <c r="C2936">
        <v>1.1246700000000001</v>
      </c>
      <c r="D2936">
        <v>5</v>
      </c>
      <c r="E2936" t="s">
        <v>420</v>
      </c>
      <c r="F2936">
        <v>0.45595999999999798</v>
      </c>
      <c r="G2936">
        <v>19.4132202191586</v>
      </c>
      <c r="H2936">
        <v>1</v>
      </c>
      <c r="I2936">
        <v>0.52573409999999998</v>
      </c>
      <c r="J2936">
        <v>2015</v>
      </c>
      <c r="K2936">
        <v>6</v>
      </c>
      <c r="L2936">
        <v>17</v>
      </c>
      <c r="M2936" t="s">
        <v>89</v>
      </c>
      <c r="N2936">
        <v>0</v>
      </c>
      <c r="O2936">
        <v>0</v>
      </c>
    </row>
    <row r="2937" spans="1:15" x14ac:dyDescent="0.3">
      <c r="A2937">
        <v>3032</v>
      </c>
      <c r="B2937" s="34">
        <v>42173</v>
      </c>
      <c r="C2937">
        <v>1.13365</v>
      </c>
      <c r="D2937">
        <v>0</v>
      </c>
      <c r="F2937">
        <v>0.45595999999999798</v>
      </c>
      <c r="G2937">
        <v>19.4132202191586</v>
      </c>
      <c r="H2937">
        <v>0</v>
      </c>
      <c r="I2937">
        <v>0.52556069999999999</v>
      </c>
      <c r="J2937">
        <v>2015</v>
      </c>
      <c r="K2937">
        <v>6</v>
      </c>
      <c r="L2937">
        <v>18</v>
      </c>
      <c r="M2937" t="s">
        <v>90</v>
      </c>
      <c r="N2937">
        <v>0</v>
      </c>
      <c r="O2937">
        <v>0</v>
      </c>
    </row>
    <row r="2938" spans="1:15" x14ac:dyDescent="0.3">
      <c r="A2938">
        <v>3033</v>
      </c>
      <c r="B2938" s="34">
        <v>42174</v>
      </c>
      <c r="C2938">
        <v>1.13595</v>
      </c>
      <c r="D2938">
        <v>0</v>
      </c>
      <c r="F2938">
        <v>0.45595999999999798</v>
      </c>
      <c r="G2938">
        <v>19.4132202191586</v>
      </c>
      <c r="H2938">
        <v>0</v>
      </c>
      <c r="I2938">
        <v>0.52538739999999995</v>
      </c>
      <c r="J2938">
        <v>2015</v>
      </c>
      <c r="K2938">
        <v>6</v>
      </c>
      <c r="L2938">
        <v>19</v>
      </c>
      <c r="M2938" t="s">
        <v>91</v>
      </c>
      <c r="N2938">
        <v>0</v>
      </c>
      <c r="O2938">
        <v>0</v>
      </c>
    </row>
    <row r="2939" spans="1:15" x14ac:dyDescent="0.3">
      <c r="A2939">
        <v>3034</v>
      </c>
      <c r="B2939" s="34">
        <v>42177</v>
      </c>
      <c r="C2939">
        <v>1.13483</v>
      </c>
      <c r="D2939">
        <v>0</v>
      </c>
      <c r="F2939">
        <v>0.45595999999999798</v>
      </c>
      <c r="G2939">
        <v>19.4132202191586</v>
      </c>
      <c r="H2939">
        <v>1</v>
      </c>
      <c r="I2939">
        <v>0.52554380000000001</v>
      </c>
      <c r="J2939">
        <v>2015</v>
      </c>
      <c r="K2939">
        <v>6</v>
      </c>
      <c r="L2939">
        <v>22</v>
      </c>
      <c r="M2939" t="s">
        <v>92</v>
      </c>
      <c r="N2939">
        <v>0</v>
      </c>
      <c r="O2939">
        <v>0</v>
      </c>
    </row>
    <row r="2940" spans="1:15" x14ac:dyDescent="0.3">
      <c r="A2940">
        <v>3035</v>
      </c>
      <c r="B2940" s="34">
        <v>42178</v>
      </c>
      <c r="C2940">
        <v>1.1339600000000001</v>
      </c>
      <c r="D2940">
        <v>0</v>
      </c>
      <c r="F2940">
        <v>0.45595999999999798</v>
      </c>
      <c r="G2940">
        <v>19.4132202191586</v>
      </c>
      <c r="H2940">
        <v>1</v>
      </c>
      <c r="I2940">
        <v>0.52570019999999995</v>
      </c>
      <c r="J2940">
        <v>2015</v>
      </c>
      <c r="K2940">
        <v>6</v>
      </c>
      <c r="L2940">
        <v>23</v>
      </c>
      <c r="M2940" t="s">
        <v>93</v>
      </c>
      <c r="N2940">
        <v>0</v>
      </c>
      <c r="O2940">
        <v>0</v>
      </c>
    </row>
    <row r="2941" spans="1:15" x14ac:dyDescent="0.3">
      <c r="A2941">
        <v>3036</v>
      </c>
      <c r="B2941" s="34">
        <v>42179</v>
      </c>
      <c r="C2941">
        <v>1.1167400000000001</v>
      </c>
      <c r="D2941">
        <v>0</v>
      </c>
      <c r="F2941">
        <v>0.45595999999999798</v>
      </c>
      <c r="G2941">
        <v>19.4132202191586</v>
      </c>
      <c r="H2941">
        <v>0</v>
      </c>
      <c r="I2941">
        <v>0.52552699999999997</v>
      </c>
      <c r="J2941">
        <v>2015</v>
      </c>
      <c r="K2941">
        <v>6</v>
      </c>
      <c r="L2941">
        <v>24</v>
      </c>
      <c r="M2941" t="s">
        <v>89</v>
      </c>
      <c r="N2941">
        <v>0</v>
      </c>
      <c r="O2941">
        <v>0</v>
      </c>
    </row>
    <row r="2942" spans="1:15" x14ac:dyDescent="0.3">
      <c r="A2942">
        <v>3037</v>
      </c>
      <c r="B2942" s="34">
        <v>42180</v>
      </c>
      <c r="C2942">
        <v>1.12033</v>
      </c>
      <c r="D2942">
        <v>0</v>
      </c>
      <c r="F2942">
        <v>0.45595999999999798</v>
      </c>
      <c r="G2942">
        <v>19.4132202191586</v>
      </c>
      <c r="H2942">
        <v>1</v>
      </c>
      <c r="I2942">
        <v>0.52568320000000002</v>
      </c>
      <c r="J2942">
        <v>2015</v>
      </c>
      <c r="K2942">
        <v>6</v>
      </c>
      <c r="L2942">
        <v>25</v>
      </c>
      <c r="M2942" t="s">
        <v>90</v>
      </c>
      <c r="N2942">
        <v>0</v>
      </c>
      <c r="O2942">
        <v>0</v>
      </c>
    </row>
    <row r="2943" spans="1:15" x14ac:dyDescent="0.3">
      <c r="A2943">
        <v>3038</v>
      </c>
      <c r="B2943" s="34">
        <v>42181</v>
      </c>
      <c r="C2943">
        <v>1.12035</v>
      </c>
      <c r="D2943">
        <v>0</v>
      </c>
      <c r="F2943">
        <v>0.45595999999999798</v>
      </c>
      <c r="G2943">
        <v>19.4132202191586</v>
      </c>
      <c r="H2943">
        <v>1</v>
      </c>
      <c r="I2943">
        <v>0.52583939999999996</v>
      </c>
      <c r="J2943">
        <v>2015</v>
      </c>
      <c r="K2943">
        <v>6</v>
      </c>
      <c r="L2943">
        <v>26</v>
      </c>
      <c r="M2943" t="s">
        <v>91</v>
      </c>
      <c r="N2943">
        <v>0</v>
      </c>
      <c r="O2943">
        <v>0</v>
      </c>
    </row>
    <row r="2944" spans="1:15" x14ac:dyDescent="0.3">
      <c r="A2944">
        <v>3039</v>
      </c>
      <c r="B2944" s="34">
        <v>42184</v>
      </c>
      <c r="C2944">
        <v>1.11713</v>
      </c>
      <c r="D2944">
        <v>0</v>
      </c>
      <c r="F2944">
        <v>0.45595999999999798</v>
      </c>
      <c r="G2944">
        <v>19.4132202191586</v>
      </c>
      <c r="H2944">
        <v>0</v>
      </c>
      <c r="I2944">
        <v>0.52566639999999998</v>
      </c>
      <c r="J2944">
        <v>2015</v>
      </c>
      <c r="K2944">
        <v>6</v>
      </c>
      <c r="L2944">
        <v>29</v>
      </c>
      <c r="M2944" t="s">
        <v>92</v>
      </c>
      <c r="N2944">
        <v>0</v>
      </c>
      <c r="O2944">
        <v>0</v>
      </c>
    </row>
    <row r="2945" spans="1:15" x14ac:dyDescent="0.3">
      <c r="A2945">
        <v>3040</v>
      </c>
      <c r="B2945" s="34">
        <v>42185</v>
      </c>
      <c r="C2945">
        <v>1.1234999999999999</v>
      </c>
      <c r="D2945">
        <v>0</v>
      </c>
      <c r="F2945">
        <v>0.45595999999999798</v>
      </c>
      <c r="G2945">
        <v>19.4132202191586</v>
      </c>
      <c r="H2945">
        <v>1</v>
      </c>
      <c r="I2945">
        <v>0.52582229999999996</v>
      </c>
      <c r="J2945">
        <v>2015</v>
      </c>
      <c r="K2945">
        <v>6</v>
      </c>
      <c r="L2945">
        <v>30</v>
      </c>
      <c r="M2945" t="s">
        <v>93</v>
      </c>
      <c r="N2945">
        <v>0</v>
      </c>
      <c r="O2945">
        <v>0</v>
      </c>
    </row>
    <row r="2946" spans="1:15" x14ac:dyDescent="0.3">
      <c r="A2946">
        <v>3041</v>
      </c>
      <c r="B2946" s="34">
        <v>42186</v>
      </c>
      <c r="C2946">
        <v>1.11453</v>
      </c>
      <c r="D2946">
        <v>2</v>
      </c>
      <c r="E2946" t="s">
        <v>421</v>
      </c>
      <c r="F2946">
        <v>0.44660999999999801</v>
      </c>
      <c r="G2946">
        <v>21.0657476139978</v>
      </c>
      <c r="H2946">
        <v>1</v>
      </c>
      <c r="I2946">
        <v>0.52597830000000001</v>
      </c>
      <c r="J2946">
        <v>2015</v>
      </c>
      <c r="K2946">
        <v>7</v>
      </c>
      <c r="L2946">
        <v>1</v>
      </c>
      <c r="M2946" t="s">
        <v>89</v>
      </c>
      <c r="N2946">
        <v>0</v>
      </c>
      <c r="O2946">
        <v>0</v>
      </c>
    </row>
    <row r="2947" spans="1:15" x14ac:dyDescent="0.3">
      <c r="A2947">
        <v>3042</v>
      </c>
      <c r="B2947" s="34">
        <v>42187</v>
      </c>
      <c r="C2947">
        <v>1.1051800000000001</v>
      </c>
      <c r="D2947">
        <v>0</v>
      </c>
      <c r="F2947">
        <v>0.44660999999999801</v>
      </c>
      <c r="G2947">
        <v>21.0657476139978</v>
      </c>
      <c r="H2947">
        <v>0</v>
      </c>
      <c r="I2947">
        <v>0.52580539999999998</v>
      </c>
      <c r="J2947">
        <v>2015</v>
      </c>
      <c r="K2947">
        <v>7</v>
      </c>
      <c r="L2947">
        <v>2</v>
      </c>
      <c r="M2947" t="s">
        <v>90</v>
      </c>
      <c r="N2947">
        <v>0</v>
      </c>
      <c r="O2947">
        <v>0</v>
      </c>
    </row>
    <row r="2948" spans="1:15" x14ac:dyDescent="0.3">
      <c r="A2948">
        <v>3043</v>
      </c>
      <c r="B2948" s="34">
        <v>42188</v>
      </c>
      <c r="C2948">
        <v>1.10826</v>
      </c>
      <c r="D2948">
        <v>0</v>
      </c>
      <c r="F2948">
        <v>0.44660999999999801</v>
      </c>
      <c r="G2948">
        <v>21.0657476139978</v>
      </c>
      <c r="H2948">
        <v>1</v>
      </c>
      <c r="I2948">
        <v>0.52596120000000002</v>
      </c>
      <c r="J2948">
        <v>2015</v>
      </c>
      <c r="K2948">
        <v>7</v>
      </c>
      <c r="L2948">
        <v>3</v>
      </c>
      <c r="M2948" t="s">
        <v>91</v>
      </c>
      <c r="N2948">
        <v>0</v>
      </c>
      <c r="O2948">
        <v>0</v>
      </c>
    </row>
    <row r="2949" spans="1:15" x14ac:dyDescent="0.3">
      <c r="A2949">
        <v>3044</v>
      </c>
      <c r="B2949" s="34">
        <v>42191</v>
      </c>
      <c r="C2949">
        <v>1.1103799999999999</v>
      </c>
      <c r="D2949">
        <v>0</v>
      </c>
      <c r="F2949">
        <v>0.44660999999999801</v>
      </c>
      <c r="G2949">
        <v>21.0657476139978</v>
      </c>
      <c r="H2949">
        <v>0</v>
      </c>
      <c r="I2949">
        <v>0.52578840000000004</v>
      </c>
      <c r="J2949">
        <v>2015</v>
      </c>
      <c r="K2949">
        <v>7</v>
      </c>
      <c r="L2949">
        <v>6</v>
      </c>
      <c r="M2949" t="s">
        <v>92</v>
      </c>
      <c r="N2949">
        <v>0</v>
      </c>
      <c r="O2949">
        <v>0</v>
      </c>
    </row>
    <row r="2950" spans="1:15" x14ac:dyDescent="0.3">
      <c r="A2950">
        <v>3045</v>
      </c>
      <c r="B2950" s="34">
        <v>42192</v>
      </c>
      <c r="C2950">
        <v>1.10551</v>
      </c>
      <c r="D2950">
        <v>0</v>
      </c>
      <c r="F2950">
        <v>0.44660999999999801</v>
      </c>
      <c r="G2950">
        <v>21.0657476139978</v>
      </c>
      <c r="H2950">
        <v>1</v>
      </c>
      <c r="I2950">
        <v>0.52594419999999997</v>
      </c>
      <c r="J2950">
        <v>2015</v>
      </c>
      <c r="K2950">
        <v>7</v>
      </c>
      <c r="L2950">
        <v>7</v>
      </c>
      <c r="M2950" t="s">
        <v>93</v>
      </c>
      <c r="N2950">
        <v>0</v>
      </c>
      <c r="O2950">
        <v>0</v>
      </c>
    </row>
    <row r="2951" spans="1:15" x14ac:dyDescent="0.3">
      <c r="A2951">
        <v>3046</v>
      </c>
      <c r="B2951" s="34">
        <v>42193</v>
      </c>
      <c r="C2951">
        <v>1.10103</v>
      </c>
      <c r="D2951">
        <v>0</v>
      </c>
      <c r="F2951">
        <v>0.44660999999999801</v>
      </c>
      <c r="G2951">
        <v>21.0657476139978</v>
      </c>
      <c r="H2951">
        <v>0</v>
      </c>
      <c r="I2951">
        <v>0.52577149999999995</v>
      </c>
      <c r="J2951">
        <v>2015</v>
      </c>
      <c r="K2951">
        <v>7</v>
      </c>
      <c r="L2951">
        <v>8</v>
      </c>
      <c r="M2951" t="s">
        <v>89</v>
      </c>
      <c r="N2951">
        <v>0</v>
      </c>
      <c r="O2951">
        <v>0</v>
      </c>
    </row>
    <row r="2952" spans="1:15" x14ac:dyDescent="0.3">
      <c r="A2952">
        <v>3047</v>
      </c>
      <c r="B2952" s="34">
        <v>42194</v>
      </c>
      <c r="C2952">
        <v>1.1075600000000001</v>
      </c>
      <c r="D2952">
        <v>0</v>
      </c>
      <c r="F2952">
        <v>0.44660999999999801</v>
      </c>
      <c r="G2952">
        <v>21.0657476139978</v>
      </c>
      <c r="H2952">
        <v>1</v>
      </c>
      <c r="I2952">
        <v>0.52592709999999998</v>
      </c>
      <c r="J2952">
        <v>2015</v>
      </c>
      <c r="K2952">
        <v>7</v>
      </c>
      <c r="L2952">
        <v>9</v>
      </c>
      <c r="M2952" t="s">
        <v>90</v>
      </c>
      <c r="N2952">
        <v>0</v>
      </c>
      <c r="O2952">
        <v>0</v>
      </c>
    </row>
    <row r="2953" spans="1:15" x14ac:dyDescent="0.3">
      <c r="A2953">
        <v>3048</v>
      </c>
      <c r="B2953" s="34">
        <v>42195</v>
      </c>
      <c r="C2953">
        <v>1.1035299999999999</v>
      </c>
      <c r="D2953">
        <v>0</v>
      </c>
      <c r="F2953">
        <v>0.44660999999999801</v>
      </c>
      <c r="G2953">
        <v>21.0657476139978</v>
      </c>
      <c r="H2953">
        <v>1</v>
      </c>
      <c r="I2953">
        <v>0.52608270000000001</v>
      </c>
      <c r="J2953">
        <v>2015</v>
      </c>
      <c r="K2953">
        <v>7</v>
      </c>
      <c r="L2953">
        <v>10</v>
      </c>
      <c r="M2953" t="s">
        <v>91</v>
      </c>
      <c r="N2953">
        <v>0</v>
      </c>
      <c r="O2953">
        <v>0</v>
      </c>
    </row>
    <row r="2954" spans="1:15" x14ac:dyDescent="0.3">
      <c r="A2954">
        <v>3049</v>
      </c>
      <c r="B2954" s="34">
        <v>42198</v>
      </c>
      <c r="C2954">
        <v>1.11541</v>
      </c>
      <c r="D2954">
        <v>0</v>
      </c>
      <c r="F2954">
        <v>0.44660999999999801</v>
      </c>
      <c r="G2954">
        <v>21.0657476139978</v>
      </c>
      <c r="H2954">
        <v>1</v>
      </c>
      <c r="I2954">
        <v>0.52623810000000004</v>
      </c>
      <c r="J2954">
        <v>2015</v>
      </c>
      <c r="K2954">
        <v>7</v>
      </c>
      <c r="L2954">
        <v>13</v>
      </c>
      <c r="M2954" t="s">
        <v>92</v>
      </c>
      <c r="N2954">
        <v>0</v>
      </c>
      <c r="O2954">
        <v>0</v>
      </c>
    </row>
    <row r="2955" spans="1:15" x14ac:dyDescent="0.3">
      <c r="A2955">
        <v>3050</v>
      </c>
      <c r="B2955" s="34">
        <v>42199</v>
      </c>
      <c r="C2955">
        <v>1.1000099999999999</v>
      </c>
      <c r="D2955">
        <v>0</v>
      </c>
      <c r="F2955">
        <v>0.44660999999999801</v>
      </c>
      <c r="G2955">
        <v>21.0657476139978</v>
      </c>
      <c r="H2955">
        <v>1</v>
      </c>
      <c r="I2955">
        <v>0.52639340000000001</v>
      </c>
      <c r="J2955">
        <v>2015</v>
      </c>
      <c r="K2955">
        <v>7</v>
      </c>
      <c r="L2955">
        <v>14</v>
      </c>
      <c r="M2955" t="s">
        <v>93</v>
      </c>
      <c r="N2955">
        <v>0</v>
      </c>
      <c r="O2955">
        <v>0</v>
      </c>
    </row>
    <row r="2956" spans="1:15" x14ac:dyDescent="0.3">
      <c r="A2956">
        <v>3051</v>
      </c>
      <c r="B2956" s="34">
        <v>42200</v>
      </c>
      <c r="C2956">
        <v>1.1008199999999999</v>
      </c>
      <c r="D2956">
        <v>0</v>
      </c>
      <c r="F2956">
        <v>0.44660999999999801</v>
      </c>
      <c r="G2956">
        <v>21.0657476139978</v>
      </c>
      <c r="H2956">
        <v>1</v>
      </c>
      <c r="I2956">
        <v>0.52654869999999998</v>
      </c>
      <c r="J2956">
        <v>2015</v>
      </c>
      <c r="K2956">
        <v>7</v>
      </c>
      <c r="L2956">
        <v>15</v>
      </c>
      <c r="M2956" t="s">
        <v>89</v>
      </c>
      <c r="N2956">
        <v>0</v>
      </c>
      <c r="O2956">
        <v>0</v>
      </c>
    </row>
    <row r="2957" spans="1:15" x14ac:dyDescent="0.3">
      <c r="A2957">
        <v>3052</v>
      </c>
      <c r="B2957" s="34">
        <v>42201</v>
      </c>
      <c r="C2957">
        <v>1.09477</v>
      </c>
      <c r="D2957">
        <v>0</v>
      </c>
      <c r="F2957">
        <v>0.44660999999999801</v>
      </c>
      <c r="G2957">
        <v>21.0657476139978</v>
      </c>
      <c r="H2957">
        <v>0</v>
      </c>
      <c r="I2957">
        <v>0.52637610000000001</v>
      </c>
      <c r="J2957">
        <v>2015</v>
      </c>
      <c r="K2957">
        <v>7</v>
      </c>
      <c r="L2957">
        <v>16</v>
      </c>
      <c r="M2957" t="s">
        <v>90</v>
      </c>
      <c r="N2957">
        <v>0</v>
      </c>
      <c r="O2957">
        <v>0</v>
      </c>
    </row>
    <row r="2958" spans="1:15" x14ac:dyDescent="0.3">
      <c r="A2958">
        <v>3053</v>
      </c>
      <c r="B2958" s="34">
        <v>42202</v>
      </c>
      <c r="C2958">
        <v>1.0872999999999999</v>
      </c>
      <c r="D2958">
        <v>0</v>
      </c>
      <c r="F2958">
        <v>0.44660999999999801</v>
      </c>
      <c r="G2958">
        <v>21.0657476139978</v>
      </c>
      <c r="H2958">
        <v>0</v>
      </c>
      <c r="I2958">
        <v>0.5262038</v>
      </c>
      <c r="J2958">
        <v>2015</v>
      </c>
      <c r="K2958">
        <v>7</v>
      </c>
      <c r="L2958">
        <v>17</v>
      </c>
      <c r="M2958" t="s">
        <v>91</v>
      </c>
      <c r="N2958">
        <v>0</v>
      </c>
      <c r="O2958">
        <v>0</v>
      </c>
    </row>
    <row r="2959" spans="1:15" x14ac:dyDescent="0.3">
      <c r="A2959">
        <v>3054</v>
      </c>
      <c r="B2959" s="34">
        <v>42205</v>
      </c>
      <c r="C2959">
        <v>1.0829899999999999</v>
      </c>
      <c r="D2959">
        <v>0</v>
      </c>
      <c r="F2959">
        <v>0.44660999999999801</v>
      </c>
      <c r="G2959">
        <v>21.0657476139978</v>
      </c>
      <c r="H2959">
        <v>0</v>
      </c>
      <c r="I2959">
        <v>0.52603140000000004</v>
      </c>
      <c r="J2959">
        <v>2015</v>
      </c>
      <c r="K2959">
        <v>7</v>
      </c>
      <c r="L2959">
        <v>20</v>
      </c>
      <c r="M2959" t="s">
        <v>92</v>
      </c>
      <c r="N2959">
        <v>0</v>
      </c>
      <c r="O2959">
        <v>0</v>
      </c>
    </row>
    <row r="2960" spans="1:15" x14ac:dyDescent="0.3">
      <c r="A2960">
        <v>3055</v>
      </c>
      <c r="B2960" s="34">
        <v>42206</v>
      </c>
      <c r="C2960">
        <v>1.0824499999999999</v>
      </c>
      <c r="D2960">
        <v>0</v>
      </c>
      <c r="F2960">
        <v>0.44660999999999801</v>
      </c>
      <c r="G2960">
        <v>21.0657476139978</v>
      </c>
      <c r="H2960">
        <v>0</v>
      </c>
      <c r="I2960">
        <v>0.52585919999999997</v>
      </c>
      <c r="J2960">
        <v>2015</v>
      </c>
      <c r="K2960">
        <v>7</v>
      </c>
      <c r="L2960">
        <v>21</v>
      </c>
      <c r="M2960" t="s">
        <v>93</v>
      </c>
      <c r="N2960">
        <v>0</v>
      </c>
      <c r="O2960">
        <v>0</v>
      </c>
    </row>
    <row r="2961" spans="1:15" x14ac:dyDescent="0.3">
      <c r="A2961">
        <v>3056</v>
      </c>
      <c r="B2961" s="34">
        <v>42207</v>
      </c>
      <c r="C2961">
        <v>1.09324</v>
      </c>
      <c r="D2961">
        <v>0</v>
      </c>
      <c r="F2961">
        <v>0.44660999999999801</v>
      </c>
      <c r="G2961">
        <v>21.0657476139978</v>
      </c>
      <c r="H2961">
        <v>0</v>
      </c>
      <c r="I2961">
        <v>0.52568720000000002</v>
      </c>
      <c r="J2961">
        <v>2015</v>
      </c>
      <c r="K2961">
        <v>7</v>
      </c>
      <c r="L2961">
        <v>22</v>
      </c>
      <c r="M2961" t="s">
        <v>89</v>
      </c>
      <c r="N2961">
        <v>0</v>
      </c>
      <c r="O2961">
        <v>0</v>
      </c>
    </row>
    <row r="2962" spans="1:15" x14ac:dyDescent="0.3">
      <c r="A2962">
        <v>3057</v>
      </c>
      <c r="B2962" s="34">
        <v>42208</v>
      </c>
      <c r="C2962">
        <v>1.0927800000000001</v>
      </c>
      <c r="D2962">
        <v>0</v>
      </c>
      <c r="F2962">
        <v>0.44660999999999801</v>
      </c>
      <c r="G2962">
        <v>21.0657476139978</v>
      </c>
      <c r="H2962">
        <v>1</v>
      </c>
      <c r="I2962">
        <v>0.52584229999999998</v>
      </c>
      <c r="J2962">
        <v>2015</v>
      </c>
      <c r="K2962">
        <v>7</v>
      </c>
      <c r="L2962">
        <v>23</v>
      </c>
      <c r="M2962" t="s">
        <v>90</v>
      </c>
      <c r="N2962">
        <v>0</v>
      </c>
      <c r="O2962">
        <v>0</v>
      </c>
    </row>
    <row r="2963" spans="1:15" x14ac:dyDescent="0.3">
      <c r="A2963">
        <v>3058</v>
      </c>
      <c r="B2963" s="34">
        <v>42209</v>
      </c>
      <c r="C2963">
        <v>1.09826</v>
      </c>
      <c r="D2963">
        <v>0</v>
      </c>
      <c r="F2963">
        <v>0.44660999999999801</v>
      </c>
      <c r="G2963">
        <v>21.0657476139978</v>
      </c>
      <c r="H2963">
        <v>0</v>
      </c>
      <c r="I2963">
        <v>0.52567030000000003</v>
      </c>
      <c r="J2963">
        <v>2015</v>
      </c>
      <c r="K2963">
        <v>7</v>
      </c>
      <c r="L2963">
        <v>24</v>
      </c>
      <c r="M2963" t="s">
        <v>91</v>
      </c>
      <c r="N2963">
        <v>0</v>
      </c>
      <c r="O2963">
        <v>0</v>
      </c>
    </row>
    <row r="2964" spans="1:15" x14ac:dyDescent="0.3">
      <c r="A2964">
        <v>3059</v>
      </c>
      <c r="B2964" s="34">
        <v>42212</v>
      </c>
      <c r="C2964">
        <v>1.09762</v>
      </c>
      <c r="D2964">
        <v>0</v>
      </c>
      <c r="F2964">
        <v>0.44660999999999801</v>
      </c>
      <c r="G2964">
        <v>21.0657476139978</v>
      </c>
      <c r="H2964">
        <v>1</v>
      </c>
      <c r="I2964">
        <v>0.5258254</v>
      </c>
      <c r="J2964">
        <v>2015</v>
      </c>
      <c r="K2964">
        <v>7</v>
      </c>
      <c r="L2964">
        <v>27</v>
      </c>
      <c r="M2964" t="s">
        <v>92</v>
      </c>
      <c r="N2964">
        <v>0</v>
      </c>
      <c r="O2964">
        <v>0</v>
      </c>
    </row>
    <row r="2965" spans="1:15" x14ac:dyDescent="0.3">
      <c r="A2965">
        <v>3060</v>
      </c>
      <c r="B2965" s="34">
        <v>42213</v>
      </c>
      <c r="C2965">
        <v>1.10866</v>
      </c>
      <c r="D2965">
        <v>0</v>
      </c>
      <c r="F2965">
        <v>0.44660999999999801</v>
      </c>
      <c r="G2965">
        <v>21.0657476139978</v>
      </c>
      <c r="H2965">
        <v>1</v>
      </c>
      <c r="I2965">
        <v>0.52598040000000001</v>
      </c>
      <c r="J2965">
        <v>2015</v>
      </c>
      <c r="K2965">
        <v>7</v>
      </c>
      <c r="L2965">
        <v>28</v>
      </c>
      <c r="M2965" t="s">
        <v>93</v>
      </c>
      <c r="N2965">
        <v>0</v>
      </c>
      <c r="O2965">
        <v>0</v>
      </c>
    </row>
    <row r="2966" spans="1:15" x14ac:dyDescent="0.3">
      <c r="A2966">
        <v>3061</v>
      </c>
      <c r="B2966" s="34">
        <v>42214</v>
      </c>
      <c r="C2966">
        <v>1.10592</v>
      </c>
      <c r="D2966">
        <v>0</v>
      </c>
      <c r="F2966">
        <v>0.44660999999999801</v>
      </c>
      <c r="G2966">
        <v>21.0657476139978</v>
      </c>
      <c r="H2966">
        <v>1</v>
      </c>
      <c r="I2966">
        <v>0.52613529999999997</v>
      </c>
      <c r="J2966">
        <v>2015</v>
      </c>
      <c r="K2966">
        <v>7</v>
      </c>
      <c r="L2966">
        <v>29</v>
      </c>
      <c r="M2966" t="s">
        <v>89</v>
      </c>
      <c r="N2966">
        <v>0</v>
      </c>
      <c r="O2966">
        <v>0</v>
      </c>
    </row>
    <row r="2967" spans="1:15" x14ac:dyDescent="0.3">
      <c r="A2967">
        <v>3062</v>
      </c>
      <c r="B2967" s="34">
        <v>42215</v>
      </c>
      <c r="C2967">
        <v>1.0982099999999999</v>
      </c>
      <c r="D2967">
        <v>0</v>
      </c>
      <c r="F2967">
        <v>0.44660999999999801</v>
      </c>
      <c r="G2967">
        <v>21.0657476139978</v>
      </c>
      <c r="H2967">
        <v>1</v>
      </c>
      <c r="I2967">
        <v>0.52629000000000004</v>
      </c>
      <c r="J2967">
        <v>2015</v>
      </c>
      <c r="K2967">
        <v>7</v>
      </c>
      <c r="L2967">
        <v>30</v>
      </c>
      <c r="M2967" t="s">
        <v>90</v>
      </c>
      <c r="N2967">
        <v>0</v>
      </c>
      <c r="O2967">
        <v>0</v>
      </c>
    </row>
    <row r="2968" spans="1:15" x14ac:dyDescent="0.3">
      <c r="A2968">
        <v>3063</v>
      </c>
      <c r="B2968" s="34">
        <v>42216</v>
      </c>
      <c r="C2968">
        <v>1.0931299999999999</v>
      </c>
      <c r="D2968">
        <v>0</v>
      </c>
      <c r="F2968">
        <v>0.44660999999999801</v>
      </c>
      <c r="G2968">
        <v>21.0657476139978</v>
      </c>
      <c r="H2968">
        <v>0</v>
      </c>
      <c r="I2968">
        <v>0.52611819999999998</v>
      </c>
      <c r="J2968">
        <v>2015</v>
      </c>
      <c r="K2968">
        <v>7</v>
      </c>
      <c r="L2968">
        <v>31</v>
      </c>
      <c r="M2968" t="s">
        <v>91</v>
      </c>
      <c r="N2968">
        <v>0</v>
      </c>
      <c r="O2968">
        <v>0</v>
      </c>
    </row>
    <row r="2969" spans="1:15" x14ac:dyDescent="0.3">
      <c r="A2969">
        <v>3064</v>
      </c>
      <c r="B2969" s="34">
        <v>42219</v>
      </c>
      <c r="C2969">
        <v>1.0983099999999999</v>
      </c>
      <c r="D2969">
        <v>0</v>
      </c>
      <c r="F2969">
        <v>0.44660999999999801</v>
      </c>
      <c r="G2969">
        <v>21.0657476139978</v>
      </c>
      <c r="H2969">
        <v>1</v>
      </c>
      <c r="I2969">
        <v>0.52627279999999999</v>
      </c>
      <c r="J2969">
        <v>2015</v>
      </c>
      <c r="K2969">
        <v>8</v>
      </c>
      <c r="L2969">
        <v>3</v>
      </c>
      <c r="M2969" t="s">
        <v>92</v>
      </c>
      <c r="N2969">
        <v>0</v>
      </c>
      <c r="O2969">
        <v>0</v>
      </c>
    </row>
    <row r="2970" spans="1:15" x14ac:dyDescent="0.3">
      <c r="A2970">
        <v>3065</v>
      </c>
      <c r="B2970" s="34">
        <v>42220</v>
      </c>
      <c r="C2970">
        <v>1.0950299999999999</v>
      </c>
      <c r="D2970">
        <v>0</v>
      </c>
      <c r="F2970">
        <v>0.44660999999999801</v>
      </c>
      <c r="G2970">
        <v>21.0657476139978</v>
      </c>
      <c r="H2970">
        <v>1</v>
      </c>
      <c r="I2970">
        <v>0.52642739999999999</v>
      </c>
      <c r="J2970">
        <v>2015</v>
      </c>
      <c r="K2970">
        <v>8</v>
      </c>
      <c r="L2970">
        <v>4</v>
      </c>
      <c r="M2970" t="s">
        <v>93</v>
      </c>
      <c r="N2970">
        <v>0</v>
      </c>
      <c r="O2970">
        <v>0</v>
      </c>
    </row>
    <row r="2971" spans="1:15" x14ac:dyDescent="0.3">
      <c r="A2971">
        <v>3066</v>
      </c>
      <c r="B2971" s="34">
        <v>42221</v>
      </c>
      <c r="C2971">
        <v>1.08809</v>
      </c>
      <c r="D2971">
        <v>0</v>
      </c>
      <c r="F2971">
        <v>0.44660999999999801</v>
      </c>
      <c r="G2971">
        <v>21.0657476139978</v>
      </c>
      <c r="H2971">
        <v>0</v>
      </c>
      <c r="I2971">
        <v>0.52625569999999999</v>
      </c>
      <c r="J2971">
        <v>2015</v>
      </c>
      <c r="K2971">
        <v>8</v>
      </c>
      <c r="L2971">
        <v>5</v>
      </c>
      <c r="M2971" t="s">
        <v>89</v>
      </c>
      <c r="N2971">
        <v>0</v>
      </c>
      <c r="O2971">
        <v>0</v>
      </c>
    </row>
    <row r="2972" spans="1:15" x14ac:dyDescent="0.3">
      <c r="A2972">
        <v>3067</v>
      </c>
      <c r="B2972" s="34">
        <v>42222</v>
      </c>
      <c r="C2972">
        <v>1.0905199999999999</v>
      </c>
      <c r="D2972">
        <v>0</v>
      </c>
      <c r="F2972">
        <v>0.44660999999999801</v>
      </c>
      <c r="G2972">
        <v>21.0657476139978</v>
      </c>
      <c r="H2972">
        <v>1</v>
      </c>
      <c r="I2972">
        <v>0.52641020000000005</v>
      </c>
      <c r="J2972">
        <v>2015</v>
      </c>
      <c r="K2972">
        <v>8</v>
      </c>
      <c r="L2972">
        <v>6</v>
      </c>
      <c r="M2972" t="s">
        <v>90</v>
      </c>
      <c r="N2972">
        <v>0</v>
      </c>
      <c r="O2972">
        <v>0</v>
      </c>
    </row>
    <row r="2973" spans="1:15" x14ac:dyDescent="0.3">
      <c r="A2973">
        <v>3068</v>
      </c>
      <c r="B2973" s="34">
        <v>42223</v>
      </c>
      <c r="C2973">
        <v>1.0923499999999999</v>
      </c>
      <c r="D2973">
        <v>0</v>
      </c>
      <c r="F2973">
        <v>0.44660999999999801</v>
      </c>
      <c r="G2973">
        <v>21.0657476139978</v>
      </c>
      <c r="H2973">
        <v>0</v>
      </c>
      <c r="I2973">
        <v>0.5262386</v>
      </c>
      <c r="J2973">
        <v>2015</v>
      </c>
      <c r="K2973">
        <v>8</v>
      </c>
      <c r="L2973">
        <v>7</v>
      </c>
      <c r="M2973" t="s">
        <v>91</v>
      </c>
      <c r="N2973">
        <v>0</v>
      </c>
      <c r="O2973">
        <v>0</v>
      </c>
    </row>
    <row r="2974" spans="1:15" x14ac:dyDescent="0.3">
      <c r="A2974">
        <v>3069</v>
      </c>
      <c r="B2974" s="34">
        <v>42226</v>
      </c>
      <c r="C2974">
        <v>1.0964</v>
      </c>
      <c r="D2974">
        <v>0</v>
      </c>
      <c r="F2974">
        <v>0.44660999999999801</v>
      </c>
      <c r="G2974">
        <v>21.0657476139978</v>
      </c>
      <c r="H2974">
        <v>0</v>
      </c>
      <c r="I2974">
        <v>0.52606710000000001</v>
      </c>
      <c r="J2974">
        <v>2015</v>
      </c>
      <c r="K2974">
        <v>8</v>
      </c>
      <c r="L2974">
        <v>10</v>
      </c>
      <c r="M2974" t="s">
        <v>92</v>
      </c>
      <c r="N2974">
        <v>0</v>
      </c>
      <c r="O2974">
        <v>0</v>
      </c>
    </row>
    <row r="2975" spans="1:15" x14ac:dyDescent="0.3">
      <c r="A2975">
        <v>3070</v>
      </c>
      <c r="B2975" s="34">
        <v>42227</v>
      </c>
      <c r="C2975">
        <v>1.10154</v>
      </c>
      <c r="D2975">
        <v>-1</v>
      </c>
      <c r="F2975">
        <v>0.44444999999999801</v>
      </c>
      <c r="G2975">
        <v>21.447507953340299</v>
      </c>
      <c r="H2975">
        <v>0</v>
      </c>
      <c r="I2975">
        <v>0.52589580000000002</v>
      </c>
      <c r="J2975">
        <v>2015</v>
      </c>
      <c r="K2975">
        <v>8</v>
      </c>
      <c r="L2975">
        <v>11</v>
      </c>
      <c r="M2975" t="s">
        <v>93</v>
      </c>
      <c r="N2975">
        <v>0</v>
      </c>
      <c r="O2975">
        <v>0</v>
      </c>
    </row>
    <row r="2976" spans="1:15" x14ac:dyDescent="0.3">
      <c r="A2976">
        <v>3071</v>
      </c>
      <c r="B2976" s="34">
        <v>42228</v>
      </c>
      <c r="C2976">
        <v>1.1036999999999999</v>
      </c>
      <c r="D2976">
        <v>0</v>
      </c>
      <c r="F2976">
        <v>0.44444999999999801</v>
      </c>
      <c r="G2976">
        <v>21.447507953340299</v>
      </c>
      <c r="H2976">
        <v>0</v>
      </c>
      <c r="I2976">
        <v>0.52572450000000004</v>
      </c>
      <c r="J2976">
        <v>2015</v>
      </c>
      <c r="K2976">
        <v>8</v>
      </c>
      <c r="L2976">
        <v>12</v>
      </c>
      <c r="M2976" t="s">
        <v>89</v>
      </c>
      <c r="N2976">
        <v>0</v>
      </c>
      <c r="O2976">
        <v>0</v>
      </c>
    </row>
    <row r="2977" spans="1:15" x14ac:dyDescent="0.3">
      <c r="A2977">
        <v>3072</v>
      </c>
      <c r="B2977" s="34">
        <v>42229</v>
      </c>
      <c r="C2977">
        <v>1.1155299999999999</v>
      </c>
      <c r="D2977">
        <v>0</v>
      </c>
      <c r="F2977">
        <v>0.44444999999999801</v>
      </c>
      <c r="G2977">
        <v>21.447507953340299</v>
      </c>
      <c r="H2977">
        <v>0</v>
      </c>
      <c r="I2977">
        <v>0.52555339999999995</v>
      </c>
      <c r="J2977">
        <v>2015</v>
      </c>
      <c r="K2977">
        <v>8</v>
      </c>
      <c r="L2977">
        <v>13</v>
      </c>
      <c r="M2977" t="s">
        <v>90</v>
      </c>
      <c r="N2977">
        <v>0</v>
      </c>
      <c r="O2977">
        <v>0</v>
      </c>
    </row>
    <row r="2978" spans="1:15" x14ac:dyDescent="0.3">
      <c r="A2978">
        <v>3073</v>
      </c>
      <c r="B2978" s="34">
        <v>42230</v>
      </c>
      <c r="C2978">
        <v>1.11476</v>
      </c>
      <c r="D2978">
        <v>0</v>
      </c>
      <c r="F2978">
        <v>0.44444999999999801</v>
      </c>
      <c r="G2978">
        <v>21.447507953340299</v>
      </c>
      <c r="H2978">
        <v>1</v>
      </c>
      <c r="I2978">
        <v>0.52570779999999995</v>
      </c>
      <c r="J2978">
        <v>2015</v>
      </c>
      <c r="K2978">
        <v>8</v>
      </c>
      <c r="L2978">
        <v>14</v>
      </c>
      <c r="M2978" t="s">
        <v>91</v>
      </c>
      <c r="N2978">
        <v>0</v>
      </c>
      <c r="O2978">
        <v>0</v>
      </c>
    </row>
    <row r="2979" spans="1:15" x14ac:dyDescent="0.3">
      <c r="A2979">
        <v>3074</v>
      </c>
      <c r="B2979" s="34">
        <v>42233</v>
      </c>
      <c r="C2979">
        <v>1.111</v>
      </c>
      <c r="D2979">
        <v>0</v>
      </c>
      <c r="F2979">
        <v>0.44444999999999801</v>
      </c>
      <c r="G2979">
        <v>21.447507953340299</v>
      </c>
      <c r="H2979">
        <v>1</v>
      </c>
      <c r="I2979">
        <v>0.5258621</v>
      </c>
      <c r="J2979">
        <v>2015</v>
      </c>
      <c r="K2979">
        <v>8</v>
      </c>
      <c r="L2979">
        <v>17</v>
      </c>
      <c r="M2979" t="s">
        <v>92</v>
      </c>
      <c r="N2979">
        <v>0</v>
      </c>
      <c r="O2979">
        <v>0</v>
      </c>
    </row>
    <row r="2980" spans="1:15" x14ac:dyDescent="0.3">
      <c r="A2980">
        <v>3075</v>
      </c>
      <c r="B2980" s="34">
        <v>42234</v>
      </c>
      <c r="C2980">
        <v>1.10728</v>
      </c>
      <c r="D2980">
        <v>3</v>
      </c>
      <c r="E2980" t="s">
        <v>422</v>
      </c>
      <c r="F2980">
        <v>0.43944999999999801</v>
      </c>
      <c r="G2980">
        <v>22.331212442559199</v>
      </c>
      <c r="H2980">
        <v>0.5</v>
      </c>
      <c r="I2980">
        <v>0.52585360000000003</v>
      </c>
      <c r="J2980">
        <v>2015</v>
      </c>
      <c r="K2980">
        <v>8</v>
      </c>
      <c r="L2980">
        <v>18</v>
      </c>
      <c r="M2980" t="s">
        <v>93</v>
      </c>
      <c r="N2980">
        <v>0</v>
      </c>
      <c r="O2980">
        <v>0</v>
      </c>
    </row>
    <row r="2981" spans="1:15" x14ac:dyDescent="0.3">
      <c r="A2981">
        <v>3076</v>
      </c>
      <c r="B2981" s="34">
        <v>42235</v>
      </c>
      <c r="C2981">
        <v>1.1022799999999999</v>
      </c>
      <c r="D2981">
        <v>0</v>
      </c>
      <c r="F2981">
        <v>0.43944999999999801</v>
      </c>
      <c r="G2981">
        <v>22.331212442559199</v>
      </c>
      <c r="H2981">
        <v>0</v>
      </c>
      <c r="I2981">
        <v>0.52568269999999995</v>
      </c>
      <c r="J2981">
        <v>2015</v>
      </c>
      <c r="K2981">
        <v>8</v>
      </c>
      <c r="L2981">
        <v>19</v>
      </c>
      <c r="M2981" t="s">
        <v>89</v>
      </c>
      <c r="N2981">
        <v>0</v>
      </c>
      <c r="O2981">
        <v>0</v>
      </c>
    </row>
    <row r="2982" spans="1:15" x14ac:dyDescent="0.3">
      <c r="A2982">
        <v>3077</v>
      </c>
      <c r="B2982" s="34">
        <v>42236</v>
      </c>
      <c r="C2982">
        <v>1.1115999999999999</v>
      </c>
      <c r="D2982">
        <v>0</v>
      </c>
      <c r="F2982">
        <v>0.43944999999999801</v>
      </c>
      <c r="G2982">
        <v>22.331212442559199</v>
      </c>
      <c r="H2982">
        <v>1</v>
      </c>
      <c r="I2982">
        <v>0.52583679999999999</v>
      </c>
      <c r="J2982">
        <v>2015</v>
      </c>
      <c r="K2982">
        <v>8</v>
      </c>
      <c r="L2982">
        <v>20</v>
      </c>
      <c r="M2982" t="s">
        <v>90</v>
      </c>
      <c r="N2982">
        <v>0</v>
      </c>
      <c r="O2982">
        <v>0</v>
      </c>
    </row>
    <row r="2983" spans="1:15" x14ac:dyDescent="0.3">
      <c r="A2983">
        <v>3078</v>
      </c>
      <c r="B2983" s="34">
        <v>42237</v>
      </c>
      <c r="C2983">
        <v>1.12375</v>
      </c>
      <c r="D2983">
        <v>0</v>
      </c>
      <c r="F2983">
        <v>0.43944999999999801</v>
      </c>
      <c r="G2983">
        <v>22.331212442559199</v>
      </c>
      <c r="H2983">
        <v>0</v>
      </c>
      <c r="I2983">
        <v>0.52566599999999997</v>
      </c>
      <c r="J2983">
        <v>2015</v>
      </c>
      <c r="K2983">
        <v>8</v>
      </c>
      <c r="L2983">
        <v>21</v>
      </c>
      <c r="M2983" t="s">
        <v>91</v>
      </c>
      <c r="N2983">
        <v>0</v>
      </c>
      <c r="O2983">
        <v>0</v>
      </c>
    </row>
    <row r="2984" spans="1:15" x14ac:dyDescent="0.3">
      <c r="A2984">
        <v>3079</v>
      </c>
      <c r="B2984" s="34">
        <v>42240</v>
      </c>
      <c r="C2984">
        <v>1.1386499999999999</v>
      </c>
      <c r="D2984">
        <v>0</v>
      </c>
      <c r="F2984">
        <v>0.43944999999999801</v>
      </c>
      <c r="G2984">
        <v>22.331212442559199</v>
      </c>
      <c r="H2984">
        <v>0</v>
      </c>
      <c r="I2984">
        <v>0.5254953</v>
      </c>
      <c r="J2984">
        <v>2015</v>
      </c>
      <c r="K2984">
        <v>8</v>
      </c>
      <c r="L2984">
        <v>24</v>
      </c>
      <c r="M2984" t="s">
        <v>92</v>
      </c>
      <c r="N2984">
        <v>0</v>
      </c>
      <c r="O2984">
        <v>0</v>
      </c>
    </row>
    <row r="2985" spans="1:15" x14ac:dyDescent="0.3">
      <c r="A2985">
        <v>3080</v>
      </c>
      <c r="B2985" s="34">
        <v>42241</v>
      </c>
      <c r="C2985">
        <v>1.1612899999999999</v>
      </c>
      <c r="D2985">
        <v>0</v>
      </c>
      <c r="F2985">
        <v>0.43944999999999801</v>
      </c>
      <c r="G2985">
        <v>22.331212442559199</v>
      </c>
      <c r="H2985">
        <v>0</v>
      </c>
      <c r="I2985">
        <v>0.52532469999999998</v>
      </c>
      <c r="J2985">
        <v>2015</v>
      </c>
      <c r="K2985">
        <v>8</v>
      </c>
      <c r="L2985">
        <v>25</v>
      </c>
      <c r="M2985" t="s">
        <v>93</v>
      </c>
      <c r="N2985">
        <v>0</v>
      </c>
      <c r="O2985">
        <v>0</v>
      </c>
    </row>
    <row r="2986" spans="1:15" x14ac:dyDescent="0.3">
      <c r="A2986">
        <v>3081</v>
      </c>
      <c r="B2986" s="34">
        <v>42242</v>
      </c>
      <c r="C2986">
        <v>1.15127</v>
      </c>
      <c r="D2986">
        <v>0</v>
      </c>
      <c r="F2986">
        <v>0.43944999999999801</v>
      </c>
      <c r="G2986">
        <v>22.331212442559199</v>
      </c>
      <c r="H2986">
        <v>1</v>
      </c>
      <c r="I2986">
        <v>0.52547869999999997</v>
      </c>
      <c r="J2986">
        <v>2015</v>
      </c>
      <c r="K2986">
        <v>8</v>
      </c>
      <c r="L2986">
        <v>26</v>
      </c>
      <c r="M2986" t="s">
        <v>89</v>
      </c>
      <c r="N2986">
        <v>0</v>
      </c>
      <c r="O2986">
        <v>0</v>
      </c>
    </row>
    <row r="2987" spans="1:15" x14ac:dyDescent="0.3">
      <c r="A2987">
        <v>3082</v>
      </c>
      <c r="B2987" s="34">
        <v>42243</v>
      </c>
      <c r="C2987">
        <v>1.1311500000000001</v>
      </c>
      <c r="D2987">
        <v>0</v>
      </c>
      <c r="F2987">
        <v>0.43944999999999801</v>
      </c>
      <c r="G2987">
        <v>22.331212442559199</v>
      </c>
      <c r="H2987">
        <v>1</v>
      </c>
      <c r="I2987">
        <v>0.52563269999999995</v>
      </c>
      <c r="J2987">
        <v>2015</v>
      </c>
      <c r="K2987">
        <v>8</v>
      </c>
      <c r="L2987">
        <v>27</v>
      </c>
      <c r="M2987" t="s">
        <v>90</v>
      </c>
      <c r="N2987">
        <v>0</v>
      </c>
      <c r="O2987">
        <v>0</v>
      </c>
    </row>
    <row r="2988" spans="1:15" x14ac:dyDescent="0.3">
      <c r="A2988">
        <v>3083</v>
      </c>
      <c r="B2988" s="34">
        <v>42244</v>
      </c>
      <c r="C2988">
        <v>1.1239300000000001</v>
      </c>
      <c r="D2988">
        <v>0</v>
      </c>
      <c r="F2988">
        <v>0.43944999999999801</v>
      </c>
      <c r="G2988">
        <v>22.331212442559199</v>
      </c>
      <c r="H2988">
        <v>0</v>
      </c>
      <c r="I2988">
        <v>0.52546219999999999</v>
      </c>
      <c r="J2988">
        <v>2015</v>
      </c>
      <c r="K2988">
        <v>8</v>
      </c>
      <c r="L2988">
        <v>28</v>
      </c>
      <c r="M2988" t="s">
        <v>91</v>
      </c>
      <c r="N2988">
        <v>0</v>
      </c>
      <c r="O2988">
        <v>0</v>
      </c>
    </row>
    <row r="2989" spans="1:15" x14ac:dyDescent="0.3">
      <c r="A2989">
        <v>3084</v>
      </c>
      <c r="B2989" s="34">
        <v>42247</v>
      </c>
      <c r="C2989">
        <v>1.1180300000000001</v>
      </c>
      <c r="D2989">
        <v>0</v>
      </c>
      <c r="F2989">
        <v>0.43944999999999801</v>
      </c>
      <c r="G2989">
        <v>22.331212442559199</v>
      </c>
      <c r="H2989">
        <v>0</v>
      </c>
      <c r="I2989">
        <v>0.52529179999999998</v>
      </c>
      <c r="J2989">
        <v>2015</v>
      </c>
      <c r="K2989">
        <v>8</v>
      </c>
      <c r="L2989">
        <v>31</v>
      </c>
      <c r="M2989" t="s">
        <v>92</v>
      </c>
      <c r="N2989">
        <v>0</v>
      </c>
      <c r="O2989">
        <v>0</v>
      </c>
    </row>
    <row r="2990" spans="1:15" x14ac:dyDescent="0.3">
      <c r="A2990">
        <v>3085</v>
      </c>
      <c r="B2990" s="34">
        <v>42248</v>
      </c>
      <c r="C2990">
        <v>1.1209</v>
      </c>
      <c r="D2990">
        <v>0</v>
      </c>
      <c r="F2990">
        <v>0.43944999999999801</v>
      </c>
      <c r="G2990">
        <v>22.331212442559199</v>
      </c>
      <c r="H2990">
        <v>1</v>
      </c>
      <c r="I2990">
        <v>0.52544570000000002</v>
      </c>
      <c r="J2990">
        <v>2015</v>
      </c>
      <c r="K2990">
        <v>9</v>
      </c>
      <c r="L2990">
        <v>1</v>
      </c>
      <c r="M2990" t="s">
        <v>93</v>
      </c>
      <c r="N2990">
        <v>0</v>
      </c>
      <c r="O2990">
        <v>0</v>
      </c>
    </row>
    <row r="2991" spans="1:15" x14ac:dyDescent="0.3">
      <c r="A2991">
        <v>3086</v>
      </c>
      <c r="B2991" s="34">
        <v>42249</v>
      </c>
      <c r="C2991">
        <v>1.1313299999999999</v>
      </c>
      <c r="D2991">
        <v>-18</v>
      </c>
      <c r="F2991">
        <v>0.44819999999999799</v>
      </c>
      <c r="G2991">
        <v>20.784729586426199</v>
      </c>
      <c r="H2991">
        <v>0.5</v>
      </c>
      <c r="I2991">
        <v>0.5254375</v>
      </c>
      <c r="J2991">
        <v>2015</v>
      </c>
      <c r="K2991">
        <v>9</v>
      </c>
      <c r="L2991">
        <v>2</v>
      </c>
      <c r="M2991" t="s">
        <v>89</v>
      </c>
      <c r="N2991">
        <v>0</v>
      </c>
      <c r="O2991">
        <v>0</v>
      </c>
    </row>
    <row r="2992" spans="1:15" x14ac:dyDescent="0.3">
      <c r="A2992">
        <v>3087</v>
      </c>
      <c r="B2992" s="34">
        <v>42250</v>
      </c>
      <c r="C2992">
        <v>1.1225799999999999</v>
      </c>
      <c r="D2992">
        <v>0</v>
      </c>
      <c r="F2992">
        <v>0.44819999999999799</v>
      </c>
      <c r="G2992">
        <v>20.784729586426199</v>
      </c>
      <c r="H2992">
        <v>1</v>
      </c>
      <c r="I2992">
        <v>0.52559120000000004</v>
      </c>
      <c r="J2992">
        <v>2015</v>
      </c>
      <c r="K2992">
        <v>9</v>
      </c>
      <c r="L2992">
        <v>3</v>
      </c>
      <c r="M2992" t="s">
        <v>90</v>
      </c>
      <c r="N2992">
        <v>0</v>
      </c>
      <c r="O2992">
        <v>0</v>
      </c>
    </row>
    <row r="2993" spans="1:15" x14ac:dyDescent="0.3">
      <c r="A2993">
        <v>3088</v>
      </c>
      <c r="B2993" s="34">
        <v>42251</v>
      </c>
      <c r="C2993">
        <v>1.11222</v>
      </c>
      <c r="D2993">
        <v>0</v>
      </c>
      <c r="F2993">
        <v>0.44819999999999799</v>
      </c>
      <c r="G2993">
        <v>20.784729586426199</v>
      </c>
      <c r="H2993">
        <v>0</v>
      </c>
      <c r="I2993">
        <v>0.52542100000000003</v>
      </c>
      <c r="J2993">
        <v>2015</v>
      </c>
      <c r="K2993">
        <v>9</v>
      </c>
      <c r="L2993">
        <v>4</v>
      </c>
      <c r="M2993" t="s">
        <v>91</v>
      </c>
      <c r="N2993">
        <v>0</v>
      </c>
      <c r="O2993">
        <v>0</v>
      </c>
    </row>
    <row r="2994" spans="1:15" x14ac:dyDescent="0.3">
      <c r="A2994">
        <v>3089</v>
      </c>
      <c r="B2994" s="34">
        <v>42254</v>
      </c>
      <c r="C2994">
        <v>1.11469</v>
      </c>
      <c r="D2994">
        <v>0</v>
      </c>
      <c r="F2994">
        <v>0.44819999999999799</v>
      </c>
      <c r="G2994">
        <v>20.784729586426199</v>
      </c>
      <c r="H2994">
        <v>1</v>
      </c>
      <c r="I2994">
        <v>0.5255746</v>
      </c>
      <c r="J2994">
        <v>2015</v>
      </c>
      <c r="K2994">
        <v>9</v>
      </c>
      <c r="L2994">
        <v>7</v>
      </c>
      <c r="M2994" t="s">
        <v>92</v>
      </c>
      <c r="N2994">
        <v>0</v>
      </c>
      <c r="O2994">
        <v>0</v>
      </c>
    </row>
    <row r="2995" spans="1:15" x14ac:dyDescent="0.3">
      <c r="A2995">
        <v>3090</v>
      </c>
      <c r="B2995" s="34">
        <v>42255</v>
      </c>
      <c r="C2995">
        <v>1.1168400000000001</v>
      </c>
      <c r="D2995">
        <v>0</v>
      </c>
      <c r="F2995">
        <v>0.44819999999999799</v>
      </c>
      <c r="G2995">
        <v>20.784729586426199</v>
      </c>
      <c r="H2995">
        <v>1</v>
      </c>
      <c r="I2995">
        <v>0.52572819999999998</v>
      </c>
      <c r="J2995">
        <v>2015</v>
      </c>
      <c r="K2995">
        <v>9</v>
      </c>
      <c r="L2995">
        <v>8</v>
      </c>
      <c r="M2995" t="s">
        <v>93</v>
      </c>
      <c r="N2995">
        <v>0</v>
      </c>
      <c r="O2995">
        <v>0</v>
      </c>
    </row>
    <row r="2996" spans="1:15" x14ac:dyDescent="0.3">
      <c r="A2996">
        <v>3091</v>
      </c>
      <c r="B2996" s="34">
        <v>42256</v>
      </c>
      <c r="C2996">
        <v>1.12012</v>
      </c>
      <c r="D2996">
        <v>0</v>
      </c>
      <c r="F2996">
        <v>0.44819999999999799</v>
      </c>
      <c r="G2996">
        <v>20.784729586426199</v>
      </c>
      <c r="H2996">
        <v>0</v>
      </c>
      <c r="I2996">
        <v>0.52555810000000003</v>
      </c>
      <c r="J2996">
        <v>2015</v>
      </c>
      <c r="K2996">
        <v>9</v>
      </c>
      <c r="L2996">
        <v>9</v>
      </c>
      <c r="M2996" t="s">
        <v>89</v>
      </c>
      <c r="N2996">
        <v>0</v>
      </c>
      <c r="O2996">
        <v>0</v>
      </c>
    </row>
    <row r="2997" spans="1:15" x14ac:dyDescent="0.3">
      <c r="A2997">
        <v>3092</v>
      </c>
      <c r="B2997" s="34">
        <v>42257</v>
      </c>
      <c r="C2997">
        <v>1.1206</v>
      </c>
      <c r="D2997">
        <v>0</v>
      </c>
      <c r="F2997">
        <v>0.44819999999999799</v>
      </c>
      <c r="G2997">
        <v>20.784729586426199</v>
      </c>
      <c r="H2997">
        <v>0</v>
      </c>
      <c r="I2997">
        <v>0.52538810000000002</v>
      </c>
      <c r="J2997">
        <v>2015</v>
      </c>
      <c r="K2997">
        <v>9</v>
      </c>
      <c r="L2997">
        <v>10</v>
      </c>
      <c r="M2997" t="s">
        <v>90</v>
      </c>
      <c r="N2997">
        <v>0</v>
      </c>
      <c r="O2997">
        <v>0</v>
      </c>
    </row>
    <row r="2998" spans="1:15" x14ac:dyDescent="0.3">
      <c r="A2998">
        <v>3093</v>
      </c>
      <c r="B2998" s="34">
        <v>42258</v>
      </c>
      <c r="C2998">
        <v>1.1277600000000001</v>
      </c>
      <c r="D2998">
        <v>-2</v>
      </c>
      <c r="F2998">
        <v>0.44200999999999802</v>
      </c>
      <c r="G2998">
        <v>21.878755744079101</v>
      </c>
      <c r="H2998">
        <v>0</v>
      </c>
      <c r="I2998">
        <v>0.52521819999999997</v>
      </c>
      <c r="J2998">
        <v>2015</v>
      </c>
      <c r="K2998">
        <v>9</v>
      </c>
      <c r="L2998">
        <v>11</v>
      </c>
      <c r="M2998" t="s">
        <v>91</v>
      </c>
      <c r="N2998">
        <v>0</v>
      </c>
      <c r="O2998">
        <v>0</v>
      </c>
    </row>
    <row r="2999" spans="1:15" x14ac:dyDescent="0.3">
      <c r="A2999">
        <v>3094</v>
      </c>
      <c r="B2999" s="34">
        <v>42261</v>
      </c>
      <c r="C2999">
        <v>1.13395</v>
      </c>
      <c r="D2999">
        <v>0</v>
      </c>
      <c r="F2999">
        <v>0.44200999999999802</v>
      </c>
      <c r="G2999">
        <v>21.878755744079101</v>
      </c>
      <c r="H2999">
        <v>0</v>
      </c>
      <c r="I2999">
        <v>0.52504850000000003</v>
      </c>
      <c r="J2999">
        <v>2015</v>
      </c>
      <c r="K2999">
        <v>9</v>
      </c>
      <c r="L2999">
        <v>14</v>
      </c>
      <c r="M2999" t="s">
        <v>92</v>
      </c>
      <c r="N2999">
        <v>0</v>
      </c>
      <c r="O2999">
        <v>0</v>
      </c>
    </row>
    <row r="3000" spans="1:15" x14ac:dyDescent="0.3">
      <c r="A3000">
        <v>3095</v>
      </c>
      <c r="B3000" s="34">
        <v>42262</v>
      </c>
      <c r="C3000">
        <v>1.1315</v>
      </c>
      <c r="D3000">
        <v>0</v>
      </c>
      <c r="F3000">
        <v>0.44200999999999802</v>
      </c>
      <c r="G3000">
        <v>21.878755744079101</v>
      </c>
      <c r="H3000">
        <v>1</v>
      </c>
      <c r="I3000">
        <v>0.5252019</v>
      </c>
      <c r="J3000">
        <v>2015</v>
      </c>
      <c r="K3000">
        <v>9</v>
      </c>
      <c r="L3000">
        <v>15</v>
      </c>
      <c r="M3000" t="s">
        <v>93</v>
      </c>
      <c r="N3000">
        <v>0</v>
      </c>
      <c r="O3000">
        <v>0</v>
      </c>
    </row>
    <row r="3001" spans="1:15" x14ac:dyDescent="0.3">
      <c r="A3001">
        <v>3096</v>
      </c>
      <c r="B3001" s="34">
        <v>42263</v>
      </c>
      <c r="C3001">
        <v>1.12687</v>
      </c>
      <c r="D3001">
        <v>10</v>
      </c>
      <c r="E3001" t="s">
        <v>423</v>
      </c>
      <c r="F3001">
        <v>0.44403999999999799</v>
      </c>
      <c r="G3001">
        <v>21.519971721456301</v>
      </c>
      <c r="H3001">
        <v>1</v>
      </c>
      <c r="I3001">
        <v>0.52535529999999997</v>
      </c>
      <c r="J3001">
        <v>2015</v>
      </c>
      <c r="K3001">
        <v>9</v>
      </c>
      <c r="L3001">
        <v>16</v>
      </c>
      <c r="M3001" t="s">
        <v>89</v>
      </c>
      <c r="N3001">
        <v>0</v>
      </c>
      <c r="O3001">
        <v>0</v>
      </c>
    </row>
    <row r="3002" spans="1:15" x14ac:dyDescent="0.3">
      <c r="A3002">
        <v>3097</v>
      </c>
      <c r="B3002" s="34">
        <v>42264</v>
      </c>
      <c r="C3002">
        <v>1.1289</v>
      </c>
      <c r="D3002">
        <v>0</v>
      </c>
      <c r="F3002">
        <v>0.44403999999999799</v>
      </c>
      <c r="G3002">
        <v>21.519971721456301</v>
      </c>
      <c r="H3002">
        <v>0</v>
      </c>
      <c r="I3002">
        <v>0.52518560000000003</v>
      </c>
      <c r="J3002">
        <v>2015</v>
      </c>
      <c r="K3002">
        <v>9</v>
      </c>
      <c r="L3002">
        <v>17</v>
      </c>
      <c r="M3002" t="s">
        <v>90</v>
      </c>
      <c r="N3002">
        <v>0</v>
      </c>
      <c r="O3002">
        <v>0</v>
      </c>
    </row>
    <row r="3003" spans="1:15" x14ac:dyDescent="0.3">
      <c r="A3003">
        <v>3098</v>
      </c>
      <c r="B3003" s="34">
        <v>42265</v>
      </c>
      <c r="C3003">
        <v>1.1433599999999999</v>
      </c>
      <c r="D3003">
        <v>-5</v>
      </c>
      <c r="F3003">
        <v>0.45754999999999801</v>
      </c>
      <c r="G3003">
        <v>19.132202191587101</v>
      </c>
      <c r="H3003">
        <v>0</v>
      </c>
      <c r="I3003">
        <v>0.52501609999999999</v>
      </c>
      <c r="J3003">
        <v>2015</v>
      </c>
      <c r="K3003">
        <v>9</v>
      </c>
      <c r="L3003">
        <v>18</v>
      </c>
      <c r="M3003" t="s">
        <v>91</v>
      </c>
      <c r="N3003">
        <v>0</v>
      </c>
      <c r="O3003">
        <v>0</v>
      </c>
    </row>
    <row r="3004" spans="1:15" x14ac:dyDescent="0.3">
      <c r="A3004">
        <v>3099</v>
      </c>
      <c r="B3004" s="34">
        <v>42268</v>
      </c>
      <c r="C3004">
        <v>1.12985</v>
      </c>
      <c r="D3004">
        <v>0</v>
      </c>
      <c r="F3004">
        <v>0.45754999999999801</v>
      </c>
      <c r="G3004">
        <v>19.132202191587101</v>
      </c>
      <c r="H3004">
        <v>1</v>
      </c>
      <c r="I3004">
        <v>0.52516940000000001</v>
      </c>
      <c r="J3004">
        <v>2015</v>
      </c>
      <c r="K3004">
        <v>9</v>
      </c>
      <c r="L3004">
        <v>21</v>
      </c>
      <c r="M3004" t="s">
        <v>92</v>
      </c>
      <c r="N3004">
        <v>0</v>
      </c>
      <c r="O3004">
        <v>0</v>
      </c>
    </row>
    <row r="3005" spans="1:15" x14ac:dyDescent="0.3">
      <c r="A3005">
        <v>3100</v>
      </c>
      <c r="B3005" s="34">
        <v>42269</v>
      </c>
      <c r="C3005">
        <v>1.1188800000000001</v>
      </c>
      <c r="D3005">
        <v>0</v>
      </c>
      <c r="F3005">
        <v>0.45754999999999801</v>
      </c>
      <c r="G3005">
        <v>19.132202191587101</v>
      </c>
      <c r="H3005">
        <v>1</v>
      </c>
      <c r="I3005">
        <v>0.52532259999999997</v>
      </c>
      <c r="J3005">
        <v>2015</v>
      </c>
      <c r="K3005">
        <v>9</v>
      </c>
      <c r="L3005">
        <v>22</v>
      </c>
      <c r="M3005" t="s">
        <v>93</v>
      </c>
      <c r="N3005">
        <v>0</v>
      </c>
      <c r="O3005">
        <v>0</v>
      </c>
    </row>
    <row r="3006" spans="1:15" x14ac:dyDescent="0.3">
      <c r="A3006">
        <v>3101</v>
      </c>
      <c r="B3006" s="34">
        <v>42270</v>
      </c>
      <c r="C3006">
        <v>1.11236</v>
      </c>
      <c r="D3006">
        <v>0</v>
      </c>
      <c r="F3006">
        <v>0.45754999999999801</v>
      </c>
      <c r="G3006">
        <v>19.132202191587101</v>
      </c>
      <c r="H3006">
        <v>0</v>
      </c>
      <c r="I3006">
        <v>0.52515319999999999</v>
      </c>
      <c r="J3006">
        <v>2015</v>
      </c>
      <c r="K3006">
        <v>9</v>
      </c>
      <c r="L3006">
        <v>23</v>
      </c>
      <c r="M3006" t="s">
        <v>89</v>
      </c>
      <c r="N3006">
        <v>0</v>
      </c>
      <c r="O3006">
        <v>0</v>
      </c>
    </row>
    <row r="3007" spans="1:15" x14ac:dyDescent="0.3">
      <c r="A3007">
        <v>3102</v>
      </c>
      <c r="B3007" s="34">
        <v>42271</v>
      </c>
      <c r="C3007">
        <v>1.1184400000000001</v>
      </c>
      <c r="D3007">
        <v>0</v>
      </c>
      <c r="F3007">
        <v>0.45754999999999801</v>
      </c>
      <c r="G3007">
        <v>19.132202191587101</v>
      </c>
      <c r="H3007">
        <v>1</v>
      </c>
      <c r="I3007">
        <v>0.52530619999999995</v>
      </c>
      <c r="J3007">
        <v>2015</v>
      </c>
      <c r="K3007">
        <v>9</v>
      </c>
      <c r="L3007">
        <v>24</v>
      </c>
      <c r="M3007" t="s">
        <v>90</v>
      </c>
      <c r="N3007">
        <v>0</v>
      </c>
      <c r="O3007">
        <v>0</v>
      </c>
    </row>
    <row r="3008" spans="1:15" x14ac:dyDescent="0.3">
      <c r="A3008">
        <v>3103</v>
      </c>
      <c r="B3008" s="34">
        <v>42272</v>
      </c>
      <c r="C3008">
        <v>1.12321</v>
      </c>
      <c r="D3008">
        <v>0</v>
      </c>
      <c r="F3008">
        <v>0.45754999999999801</v>
      </c>
      <c r="G3008">
        <v>19.132202191587101</v>
      </c>
      <c r="H3008">
        <v>0</v>
      </c>
      <c r="I3008">
        <v>0.52513690000000002</v>
      </c>
      <c r="J3008">
        <v>2015</v>
      </c>
      <c r="K3008">
        <v>9</v>
      </c>
      <c r="L3008">
        <v>25</v>
      </c>
      <c r="M3008" t="s">
        <v>91</v>
      </c>
      <c r="N3008">
        <v>0</v>
      </c>
      <c r="O3008">
        <v>0</v>
      </c>
    </row>
    <row r="3009" spans="1:15" x14ac:dyDescent="0.3">
      <c r="A3009">
        <v>3104</v>
      </c>
      <c r="B3009" s="34">
        <v>42275</v>
      </c>
      <c r="C3009">
        <v>1.1199399999999999</v>
      </c>
      <c r="D3009">
        <v>0</v>
      </c>
      <c r="F3009">
        <v>0.45754999999999801</v>
      </c>
      <c r="G3009">
        <v>19.132202191587101</v>
      </c>
      <c r="H3009">
        <v>1</v>
      </c>
      <c r="I3009">
        <v>0.52529000000000003</v>
      </c>
      <c r="J3009">
        <v>2015</v>
      </c>
      <c r="K3009">
        <v>9</v>
      </c>
      <c r="L3009">
        <v>28</v>
      </c>
      <c r="M3009" t="s">
        <v>92</v>
      </c>
      <c r="N3009">
        <v>0</v>
      </c>
      <c r="O3009">
        <v>0</v>
      </c>
    </row>
    <row r="3010" spans="1:15" x14ac:dyDescent="0.3">
      <c r="A3010">
        <v>3105</v>
      </c>
      <c r="B3010" s="34">
        <v>42276</v>
      </c>
      <c r="C3010">
        <v>1.12436</v>
      </c>
      <c r="D3010">
        <v>0</v>
      </c>
      <c r="F3010">
        <v>0.45754999999999801</v>
      </c>
      <c r="G3010">
        <v>19.132202191587101</v>
      </c>
      <c r="H3010">
        <v>0</v>
      </c>
      <c r="I3010">
        <v>0.52512080000000005</v>
      </c>
      <c r="J3010">
        <v>2015</v>
      </c>
      <c r="K3010">
        <v>9</v>
      </c>
      <c r="L3010">
        <v>29</v>
      </c>
      <c r="M3010" t="s">
        <v>93</v>
      </c>
      <c r="N3010">
        <v>0</v>
      </c>
      <c r="O3010">
        <v>0</v>
      </c>
    </row>
    <row r="3011" spans="1:15" x14ac:dyDescent="0.3">
      <c r="A3011">
        <v>3106</v>
      </c>
      <c r="B3011" s="34">
        <v>42277</v>
      </c>
      <c r="C3011">
        <v>1.1247799999999999</v>
      </c>
      <c r="D3011">
        <v>0</v>
      </c>
      <c r="F3011">
        <v>0.45754999999999801</v>
      </c>
      <c r="G3011">
        <v>19.132202191587101</v>
      </c>
      <c r="H3011">
        <v>0</v>
      </c>
      <c r="I3011">
        <v>0.52495170000000002</v>
      </c>
      <c r="J3011">
        <v>2015</v>
      </c>
      <c r="K3011">
        <v>9</v>
      </c>
      <c r="L3011">
        <v>30</v>
      </c>
      <c r="M3011" t="s">
        <v>89</v>
      </c>
      <c r="N3011">
        <v>0</v>
      </c>
      <c r="O3011">
        <v>0</v>
      </c>
    </row>
    <row r="3012" spans="1:15" x14ac:dyDescent="0.3">
      <c r="A3012">
        <v>3107</v>
      </c>
      <c r="B3012" s="34">
        <v>42278</v>
      </c>
      <c r="C3012">
        <v>1.1176299999999999</v>
      </c>
      <c r="D3012">
        <v>0</v>
      </c>
      <c r="F3012">
        <v>0.45754999999999801</v>
      </c>
      <c r="G3012">
        <v>19.132202191587101</v>
      </c>
      <c r="H3012">
        <v>1</v>
      </c>
      <c r="I3012">
        <v>0.52510460000000003</v>
      </c>
      <c r="J3012">
        <v>2015</v>
      </c>
      <c r="K3012">
        <v>10</v>
      </c>
      <c r="L3012">
        <v>1</v>
      </c>
      <c r="M3012" t="s">
        <v>90</v>
      </c>
      <c r="N3012">
        <v>0</v>
      </c>
      <c r="O3012">
        <v>0</v>
      </c>
    </row>
    <row r="3013" spans="1:15" x14ac:dyDescent="0.3">
      <c r="A3013">
        <v>3108</v>
      </c>
      <c r="B3013" s="34">
        <v>42279</v>
      </c>
      <c r="C3013">
        <v>1.1193900000000001</v>
      </c>
      <c r="D3013">
        <v>0</v>
      </c>
      <c r="F3013">
        <v>0.45754999999999801</v>
      </c>
      <c r="G3013">
        <v>19.132202191587101</v>
      </c>
      <c r="H3013">
        <v>1</v>
      </c>
      <c r="I3013">
        <v>0.52525739999999999</v>
      </c>
      <c r="J3013">
        <v>2015</v>
      </c>
      <c r="K3013">
        <v>10</v>
      </c>
      <c r="L3013">
        <v>2</v>
      </c>
      <c r="M3013" t="s">
        <v>91</v>
      </c>
      <c r="N3013">
        <v>0</v>
      </c>
      <c r="O3013">
        <v>0</v>
      </c>
    </row>
    <row r="3014" spans="1:15" x14ac:dyDescent="0.3">
      <c r="A3014">
        <v>3109</v>
      </c>
      <c r="B3014" s="34">
        <v>42282</v>
      </c>
      <c r="C3014">
        <v>1.1209499999999999</v>
      </c>
      <c r="D3014">
        <v>0</v>
      </c>
      <c r="F3014">
        <v>0.45754999999999801</v>
      </c>
      <c r="G3014">
        <v>19.132202191587101</v>
      </c>
      <c r="H3014">
        <v>1</v>
      </c>
      <c r="I3014">
        <v>0.52541009999999999</v>
      </c>
      <c r="J3014">
        <v>2015</v>
      </c>
      <c r="K3014">
        <v>10</v>
      </c>
      <c r="L3014">
        <v>5</v>
      </c>
      <c r="M3014" t="s">
        <v>92</v>
      </c>
      <c r="N3014">
        <v>0</v>
      </c>
      <c r="O3014">
        <v>0</v>
      </c>
    </row>
    <row r="3015" spans="1:15" x14ac:dyDescent="0.3">
      <c r="A3015">
        <v>3110</v>
      </c>
      <c r="B3015" s="34">
        <v>42283</v>
      </c>
      <c r="C3015">
        <v>1.1187100000000001</v>
      </c>
      <c r="D3015">
        <v>0</v>
      </c>
      <c r="F3015">
        <v>0.45754999999999801</v>
      </c>
      <c r="G3015">
        <v>19.132202191587101</v>
      </c>
      <c r="H3015">
        <v>1</v>
      </c>
      <c r="I3015">
        <v>0.52556270000000005</v>
      </c>
      <c r="J3015">
        <v>2015</v>
      </c>
      <c r="K3015">
        <v>10</v>
      </c>
      <c r="L3015">
        <v>6</v>
      </c>
      <c r="M3015" t="s">
        <v>93</v>
      </c>
      <c r="N3015">
        <v>0</v>
      </c>
      <c r="O3015">
        <v>0</v>
      </c>
    </row>
    <row r="3016" spans="1:15" x14ac:dyDescent="0.3">
      <c r="A3016">
        <v>3111</v>
      </c>
      <c r="B3016" s="34">
        <v>42284</v>
      </c>
      <c r="C3016">
        <v>1.12704</v>
      </c>
      <c r="D3016">
        <v>0</v>
      </c>
      <c r="F3016">
        <v>0.45754999999999801</v>
      </c>
      <c r="G3016">
        <v>19.132202191587101</v>
      </c>
      <c r="H3016">
        <v>1</v>
      </c>
      <c r="I3016">
        <v>0.52571520000000005</v>
      </c>
      <c r="J3016">
        <v>2015</v>
      </c>
      <c r="K3016">
        <v>10</v>
      </c>
      <c r="L3016">
        <v>7</v>
      </c>
      <c r="M3016" t="s">
        <v>89</v>
      </c>
      <c r="N3016">
        <v>0</v>
      </c>
      <c r="O3016">
        <v>0</v>
      </c>
    </row>
    <row r="3017" spans="1:15" x14ac:dyDescent="0.3">
      <c r="A3017">
        <v>3112</v>
      </c>
      <c r="B3017" s="34">
        <v>42285</v>
      </c>
      <c r="C3017">
        <v>1.12368</v>
      </c>
      <c r="D3017">
        <v>0</v>
      </c>
      <c r="F3017">
        <v>0.45754999999999801</v>
      </c>
      <c r="G3017">
        <v>19.132202191587101</v>
      </c>
      <c r="H3017">
        <v>1</v>
      </c>
      <c r="I3017">
        <v>0.52586759999999999</v>
      </c>
      <c r="J3017">
        <v>2015</v>
      </c>
      <c r="K3017">
        <v>10</v>
      </c>
      <c r="L3017">
        <v>8</v>
      </c>
      <c r="M3017" t="s">
        <v>90</v>
      </c>
      <c r="N3017">
        <v>0</v>
      </c>
      <c r="O3017">
        <v>0</v>
      </c>
    </row>
    <row r="3018" spans="1:15" x14ac:dyDescent="0.3">
      <c r="A3018">
        <v>3113</v>
      </c>
      <c r="B3018" s="34">
        <v>42286</v>
      </c>
      <c r="C3018">
        <v>1.1275599999999999</v>
      </c>
      <c r="D3018">
        <v>0</v>
      </c>
      <c r="F3018">
        <v>0.45754999999999801</v>
      </c>
      <c r="G3018">
        <v>19.132202191587101</v>
      </c>
      <c r="H3018">
        <v>0</v>
      </c>
      <c r="I3018">
        <v>0.52569869999999996</v>
      </c>
      <c r="J3018">
        <v>2015</v>
      </c>
      <c r="K3018">
        <v>10</v>
      </c>
      <c r="L3018">
        <v>9</v>
      </c>
      <c r="M3018" t="s">
        <v>91</v>
      </c>
      <c r="N3018">
        <v>0</v>
      </c>
      <c r="O3018">
        <v>0</v>
      </c>
    </row>
    <row r="3019" spans="1:15" x14ac:dyDescent="0.3">
      <c r="A3019">
        <v>3114</v>
      </c>
      <c r="B3019" s="34">
        <v>42289</v>
      </c>
      <c r="C3019">
        <v>1.1356900000000001</v>
      </c>
      <c r="D3019">
        <v>0</v>
      </c>
      <c r="F3019">
        <v>0.45754999999999801</v>
      </c>
      <c r="G3019">
        <v>19.132202191587101</v>
      </c>
      <c r="H3019">
        <v>0</v>
      </c>
      <c r="I3019">
        <v>0.52552989999999999</v>
      </c>
      <c r="J3019">
        <v>2015</v>
      </c>
      <c r="K3019">
        <v>10</v>
      </c>
      <c r="L3019">
        <v>12</v>
      </c>
      <c r="M3019" t="s">
        <v>92</v>
      </c>
      <c r="N3019">
        <v>0</v>
      </c>
      <c r="O3019">
        <v>0</v>
      </c>
    </row>
    <row r="3020" spans="1:15" x14ac:dyDescent="0.3">
      <c r="A3020">
        <v>3115</v>
      </c>
      <c r="B3020" s="34">
        <v>42290</v>
      </c>
      <c r="C3020">
        <v>1.13578</v>
      </c>
      <c r="D3020">
        <v>0</v>
      </c>
      <c r="F3020">
        <v>0.45754999999999801</v>
      </c>
      <c r="G3020">
        <v>19.132202191587101</v>
      </c>
      <c r="H3020">
        <v>0</v>
      </c>
      <c r="I3020">
        <v>0.52536119999999997</v>
      </c>
      <c r="J3020">
        <v>2015</v>
      </c>
      <c r="K3020">
        <v>10</v>
      </c>
      <c r="L3020">
        <v>13</v>
      </c>
      <c r="M3020" t="s">
        <v>93</v>
      </c>
      <c r="N3020">
        <v>0</v>
      </c>
      <c r="O3020">
        <v>0</v>
      </c>
    </row>
    <row r="3021" spans="1:15" x14ac:dyDescent="0.3">
      <c r="A3021">
        <v>3116</v>
      </c>
      <c r="B3021" s="34">
        <v>42291</v>
      </c>
      <c r="C3021">
        <v>1.1378200000000001</v>
      </c>
      <c r="D3021">
        <v>0</v>
      </c>
      <c r="F3021">
        <v>0.45754999999999801</v>
      </c>
      <c r="G3021">
        <v>19.132202191587101</v>
      </c>
      <c r="H3021">
        <v>0</v>
      </c>
      <c r="I3021">
        <v>0.52519260000000001</v>
      </c>
      <c r="J3021">
        <v>2015</v>
      </c>
      <c r="K3021">
        <v>10</v>
      </c>
      <c r="L3021">
        <v>14</v>
      </c>
      <c r="M3021" t="s">
        <v>89</v>
      </c>
      <c r="N3021">
        <v>0</v>
      </c>
      <c r="O3021">
        <v>0</v>
      </c>
    </row>
    <row r="3022" spans="1:15" x14ac:dyDescent="0.3">
      <c r="A3022">
        <v>3117</v>
      </c>
      <c r="B3022" s="34">
        <v>42292</v>
      </c>
      <c r="C3022">
        <v>1.1473</v>
      </c>
      <c r="D3022">
        <v>0</v>
      </c>
      <c r="F3022">
        <v>0.45754999999999801</v>
      </c>
      <c r="G3022">
        <v>19.132202191587101</v>
      </c>
      <c r="H3022">
        <v>0</v>
      </c>
      <c r="I3022">
        <v>0.52502409999999999</v>
      </c>
      <c r="J3022">
        <v>2015</v>
      </c>
      <c r="K3022">
        <v>10</v>
      </c>
      <c r="L3022">
        <v>15</v>
      </c>
      <c r="M3022" t="s">
        <v>90</v>
      </c>
      <c r="N3022">
        <v>0</v>
      </c>
      <c r="O3022">
        <v>0</v>
      </c>
    </row>
    <row r="3023" spans="1:15" x14ac:dyDescent="0.3">
      <c r="A3023">
        <v>3118</v>
      </c>
      <c r="B3023" s="34">
        <v>42293</v>
      </c>
      <c r="C3023">
        <v>1.1380300000000001</v>
      </c>
      <c r="D3023">
        <v>1</v>
      </c>
      <c r="E3023" t="s">
        <v>424</v>
      </c>
      <c r="F3023">
        <v>0.454259999999998</v>
      </c>
      <c r="G3023">
        <v>19.713679745493</v>
      </c>
      <c r="H3023">
        <v>1</v>
      </c>
      <c r="I3023">
        <v>0.52517639999999999</v>
      </c>
      <c r="J3023">
        <v>2015</v>
      </c>
      <c r="K3023">
        <v>10</v>
      </c>
      <c r="L3023">
        <v>16</v>
      </c>
      <c r="M3023" t="s">
        <v>91</v>
      </c>
      <c r="N3023">
        <v>0</v>
      </c>
      <c r="O3023">
        <v>0</v>
      </c>
    </row>
    <row r="3024" spans="1:15" x14ac:dyDescent="0.3">
      <c r="A3024">
        <v>3119</v>
      </c>
      <c r="B3024" s="34">
        <v>42296</v>
      </c>
      <c r="C3024">
        <v>1.1347400000000001</v>
      </c>
      <c r="D3024">
        <v>0</v>
      </c>
      <c r="F3024">
        <v>0.454259999999998</v>
      </c>
      <c r="G3024">
        <v>19.713679745493</v>
      </c>
      <c r="H3024">
        <v>1</v>
      </c>
      <c r="I3024">
        <v>0.52532860000000003</v>
      </c>
      <c r="J3024">
        <v>2015</v>
      </c>
      <c r="K3024">
        <v>10</v>
      </c>
      <c r="L3024">
        <v>19</v>
      </c>
      <c r="M3024" t="s">
        <v>92</v>
      </c>
      <c r="N3024">
        <v>0</v>
      </c>
      <c r="O3024">
        <v>0</v>
      </c>
    </row>
    <row r="3025" spans="1:15" x14ac:dyDescent="0.3">
      <c r="A3025">
        <v>3120</v>
      </c>
      <c r="B3025" s="34">
        <v>42297</v>
      </c>
      <c r="C3025">
        <v>1.13269</v>
      </c>
      <c r="D3025">
        <v>0</v>
      </c>
      <c r="F3025">
        <v>0.454259999999998</v>
      </c>
      <c r="G3025">
        <v>19.713679745493</v>
      </c>
      <c r="H3025">
        <v>0</v>
      </c>
      <c r="I3025">
        <v>0.52516030000000002</v>
      </c>
      <c r="J3025">
        <v>2015</v>
      </c>
      <c r="K3025">
        <v>10</v>
      </c>
      <c r="L3025">
        <v>20</v>
      </c>
      <c r="M3025" t="s">
        <v>93</v>
      </c>
      <c r="N3025">
        <v>0</v>
      </c>
      <c r="O3025">
        <v>0</v>
      </c>
    </row>
    <row r="3026" spans="1:15" x14ac:dyDescent="0.3">
      <c r="A3026">
        <v>3121</v>
      </c>
      <c r="B3026" s="34">
        <v>42298</v>
      </c>
      <c r="C3026">
        <v>1.13453</v>
      </c>
      <c r="D3026">
        <v>0</v>
      </c>
      <c r="F3026">
        <v>0.454259999999998</v>
      </c>
      <c r="G3026">
        <v>19.713679745493</v>
      </c>
      <c r="H3026">
        <v>1</v>
      </c>
      <c r="I3026">
        <v>0.52531240000000001</v>
      </c>
      <c r="J3026">
        <v>2015</v>
      </c>
      <c r="K3026">
        <v>10</v>
      </c>
      <c r="L3026">
        <v>21</v>
      </c>
      <c r="M3026" t="s">
        <v>89</v>
      </c>
      <c r="N3026">
        <v>0</v>
      </c>
      <c r="O3026">
        <v>0</v>
      </c>
    </row>
    <row r="3027" spans="1:15" x14ac:dyDescent="0.3">
      <c r="A3027">
        <v>3122</v>
      </c>
      <c r="B3027" s="34">
        <v>42299</v>
      </c>
      <c r="C3027">
        <v>1.1338200000000001</v>
      </c>
      <c r="D3027">
        <v>0</v>
      </c>
      <c r="F3027">
        <v>0.454259999999998</v>
      </c>
      <c r="G3027">
        <v>19.713679745493</v>
      </c>
      <c r="H3027">
        <v>1</v>
      </c>
      <c r="I3027">
        <v>0.5254645</v>
      </c>
      <c r="J3027">
        <v>2015</v>
      </c>
      <c r="K3027">
        <v>10</v>
      </c>
      <c r="L3027">
        <v>22</v>
      </c>
      <c r="M3027" t="s">
        <v>90</v>
      </c>
      <c r="N3027">
        <v>0</v>
      </c>
      <c r="O3027">
        <v>0</v>
      </c>
    </row>
    <row r="3028" spans="1:15" x14ac:dyDescent="0.3">
      <c r="A3028">
        <v>3123</v>
      </c>
      <c r="B3028" s="34">
        <v>42300</v>
      </c>
      <c r="C3028">
        <v>1.11087</v>
      </c>
      <c r="D3028">
        <v>0</v>
      </c>
      <c r="F3028">
        <v>0.454259999999998</v>
      </c>
      <c r="G3028">
        <v>19.713679745493</v>
      </c>
      <c r="H3028">
        <v>0</v>
      </c>
      <c r="I3028">
        <v>0.52529619999999999</v>
      </c>
      <c r="J3028">
        <v>2015</v>
      </c>
      <c r="K3028">
        <v>10</v>
      </c>
      <c r="L3028">
        <v>23</v>
      </c>
      <c r="M3028" t="s">
        <v>91</v>
      </c>
      <c r="N3028">
        <v>0</v>
      </c>
      <c r="O3028">
        <v>0</v>
      </c>
    </row>
    <row r="3029" spans="1:15" x14ac:dyDescent="0.3">
      <c r="A3029">
        <v>3124</v>
      </c>
      <c r="B3029" s="34">
        <v>42303</v>
      </c>
      <c r="C3029">
        <v>1.1016900000000001</v>
      </c>
      <c r="D3029">
        <v>0</v>
      </c>
      <c r="F3029">
        <v>0.454259999999998</v>
      </c>
      <c r="G3029">
        <v>19.713679745493</v>
      </c>
      <c r="H3029">
        <v>0</v>
      </c>
      <c r="I3029">
        <v>0.52512809999999999</v>
      </c>
      <c r="J3029">
        <v>2015</v>
      </c>
      <c r="K3029">
        <v>10</v>
      </c>
      <c r="L3029">
        <v>26</v>
      </c>
      <c r="M3029" t="s">
        <v>92</v>
      </c>
      <c r="N3029">
        <v>0</v>
      </c>
      <c r="O3029">
        <v>0</v>
      </c>
    </row>
    <row r="3030" spans="1:15" x14ac:dyDescent="0.3">
      <c r="A3030">
        <v>3125</v>
      </c>
      <c r="B3030" s="34">
        <v>42304</v>
      </c>
      <c r="C3030">
        <v>1.1052900000000001</v>
      </c>
      <c r="D3030">
        <v>0</v>
      </c>
      <c r="F3030">
        <v>0.454259999999998</v>
      </c>
      <c r="G3030">
        <v>19.713679745493</v>
      </c>
      <c r="H3030">
        <v>1</v>
      </c>
      <c r="I3030">
        <v>0.52527999999999997</v>
      </c>
      <c r="J3030">
        <v>2015</v>
      </c>
      <c r="K3030">
        <v>10</v>
      </c>
      <c r="L3030">
        <v>27</v>
      </c>
      <c r="M3030" t="s">
        <v>93</v>
      </c>
      <c r="N3030">
        <v>0</v>
      </c>
      <c r="O3030">
        <v>0</v>
      </c>
    </row>
    <row r="3031" spans="1:15" x14ac:dyDescent="0.3">
      <c r="A3031">
        <v>3126</v>
      </c>
      <c r="B3031" s="34">
        <v>42305</v>
      </c>
      <c r="C3031">
        <v>1.1046199999999999</v>
      </c>
      <c r="D3031">
        <v>0</v>
      </c>
      <c r="F3031">
        <v>0.454259999999998</v>
      </c>
      <c r="G3031">
        <v>19.713679745493</v>
      </c>
      <c r="H3031">
        <v>1</v>
      </c>
      <c r="I3031">
        <v>0.52543189999999995</v>
      </c>
      <c r="J3031">
        <v>2015</v>
      </c>
      <c r="K3031">
        <v>10</v>
      </c>
      <c r="L3031">
        <v>28</v>
      </c>
      <c r="M3031" t="s">
        <v>89</v>
      </c>
      <c r="N3031">
        <v>0</v>
      </c>
      <c r="O3031">
        <v>0</v>
      </c>
    </row>
    <row r="3032" spans="1:15" x14ac:dyDescent="0.3">
      <c r="A3032">
        <v>3127</v>
      </c>
      <c r="B3032" s="34">
        <v>42306</v>
      </c>
      <c r="C3032">
        <v>1.09267</v>
      </c>
      <c r="D3032">
        <v>0</v>
      </c>
      <c r="F3032">
        <v>0.454259999999998</v>
      </c>
      <c r="G3032">
        <v>19.713679745493</v>
      </c>
      <c r="H3032">
        <v>1</v>
      </c>
      <c r="I3032">
        <v>0.52558360000000004</v>
      </c>
      <c r="J3032">
        <v>2015</v>
      </c>
      <c r="K3032">
        <v>10</v>
      </c>
      <c r="L3032">
        <v>29</v>
      </c>
      <c r="M3032" t="s">
        <v>90</v>
      </c>
      <c r="N3032">
        <v>0</v>
      </c>
      <c r="O3032">
        <v>0</v>
      </c>
    </row>
    <row r="3033" spans="1:15" x14ac:dyDescent="0.3">
      <c r="A3033">
        <v>3128</v>
      </c>
      <c r="B3033" s="34">
        <v>42307</v>
      </c>
      <c r="C3033">
        <v>1.0985799999999999</v>
      </c>
      <c r="D3033">
        <v>0</v>
      </c>
      <c r="F3033">
        <v>0.454259999999998</v>
      </c>
      <c r="G3033">
        <v>19.713679745493</v>
      </c>
      <c r="H3033">
        <v>1</v>
      </c>
      <c r="I3033">
        <v>0.52573530000000002</v>
      </c>
      <c r="J3033">
        <v>2015</v>
      </c>
      <c r="K3033">
        <v>10</v>
      </c>
      <c r="L3033">
        <v>30</v>
      </c>
      <c r="M3033" t="s">
        <v>91</v>
      </c>
      <c r="N3033">
        <v>0</v>
      </c>
      <c r="O3033">
        <v>0</v>
      </c>
    </row>
    <row r="3034" spans="1:15" x14ac:dyDescent="0.3">
      <c r="A3034">
        <v>3129</v>
      </c>
      <c r="B3034" s="34">
        <v>42310</v>
      </c>
      <c r="C3034">
        <v>1.1005</v>
      </c>
      <c r="D3034">
        <v>0</v>
      </c>
      <c r="F3034">
        <v>0.454259999999998</v>
      </c>
      <c r="G3034">
        <v>19.713679745493</v>
      </c>
      <c r="H3034">
        <v>0</v>
      </c>
      <c r="I3034">
        <v>0.52556729999999996</v>
      </c>
      <c r="J3034">
        <v>2015</v>
      </c>
      <c r="K3034">
        <v>11</v>
      </c>
      <c r="L3034">
        <v>2</v>
      </c>
      <c r="M3034" t="s">
        <v>92</v>
      </c>
      <c r="N3034">
        <v>0</v>
      </c>
      <c r="O3034">
        <v>0</v>
      </c>
    </row>
    <row r="3035" spans="1:15" x14ac:dyDescent="0.3">
      <c r="A3035">
        <v>3130</v>
      </c>
      <c r="B3035" s="34">
        <v>42311</v>
      </c>
      <c r="C3035">
        <v>1.1014999999999999</v>
      </c>
      <c r="D3035">
        <v>-4</v>
      </c>
      <c r="F3035">
        <v>0.45948999999999801</v>
      </c>
      <c r="G3035">
        <v>18.7893248497702</v>
      </c>
      <c r="H3035">
        <v>0</v>
      </c>
      <c r="I3035">
        <v>0.52539939999999996</v>
      </c>
      <c r="J3035">
        <v>2015</v>
      </c>
      <c r="K3035">
        <v>11</v>
      </c>
      <c r="L3035">
        <v>3</v>
      </c>
      <c r="M3035" t="s">
        <v>93</v>
      </c>
      <c r="N3035">
        <v>0</v>
      </c>
      <c r="O3035">
        <v>0</v>
      </c>
    </row>
    <row r="3036" spans="1:15" x14ac:dyDescent="0.3">
      <c r="A3036">
        <v>3131</v>
      </c>
      <c r="B3036" s="34">
        <v>42312</v>
      </c>
      <c r="C3036">
        <v>1.0962700000000001</v>
      </c>
      <c r="D3036">
        <v>2</v>
      </c>
      <c r="E3036" t="s">
        <v>425</v>
      </c>
      <c r="F3036">
        <v>0.44974999999999798</v>
      </c>
      <c r="G3036">
        <v>20.510781194768398</v>
      </c>
      <c r="H3036">
        <v>1</v>
      </c>
      <c r="I3036">
        <v>0.52555099999999999</v>
      </c>
      <c r="J3036">
        <v>2015</v>
      </c>
      <c r="K3036">
        <v>11</v>
      </c>
      <c r="L3036">
        <v>4</v>
      </c>
      <c r="M3036" t="s">
        <v>89</v>
      </c>
      <c r="N3036">
        <v>0</v>
      </c>
      <c r="O3036">
        <v>0</v>
      </c>
    </row>
    <row r="3037" spans="1:15" x14ac:dyDescent="0.3">
      <c r="A3037">
        <v>3132</v>
      </c>
      <c r="B3037" s="34">
        <v>42313</v>
      </c>
      <c r="C3037">
        <v>1.08653</v>
      </c>
      <c r="D3037">
        <v>0</v>
      </c>
      <c r="F3037">
        <v>0.44974999999999798</v>
      </c>
      <c r="G3037">
        <v>20.510781194768398</v>
      </c>
      <c r="H3037">
        <v>0</v>
      </c>
      <c r="I3037">
        <v>0.52538309999999999</v>
      </c>
      <c r="J3037">
        <v>2015</v>
      </c>
      <c r="K3037">
        <v>11</v>
      </c>
      <c r="L3037">
        <v>5</v>
      </c>
      <c r="M3037" t="s">
        <v>90</v>
      </c>
      <c r="N3037">
        <v>0</v>
      </c>
      <c r="O3037">
        <v>0</v>
      </c>
    </row>
    <row r="3038" spans="1:15" x14ac:dyDescent="0.3">
      <c r="A3038">
        <v>3133</v>
      </c>
      <c r="B3038" s="34">
        <v>42314</v>
      </c>
      <c r="C3038">
        <v>1.0882799999999999</v>
      </c>
      <c r="D3038">
        <v>0</v>
      </c>
      <c r="F3038">
        <v>0.44974999999999798</v>
      </c>
      <c r="G3038">
        <v>20.510781194768398</v>
      </c>
      <c r="H3038">
        <v>1</v>
      </c>
      <c r="I3038">
        <v>0.52553459999999996</v>
      </c>
      <c r="J3038">
        <v>2015</v>
      </c>
      <c r="K3038">
        <v>11</v>
      </c>
      <c r="L3038">
        <v>6</v>
      </c>
      <c r="M3038" t="s">
        <v>91</v>
      </c>
      <c r="N3038">
        <v>0</v>
      </c>
      <c r="O3038">
        <v>0</v>
      </c>
    </row>
    <row r="3039" spans="1:15" x14ac:dyDescent="0.3">
      <c r="A3039">
        <v>3134</v>
      </c>
      <c r="B3039" s="34">
        <v>42317</v>
      </c>
      <c r="C3039">
        <v>1.0739000000000001</v>
      </c>
      <c r="D3039">
        <v>0</v>
      </c>
      <c r="F3039">
        <v>0.44974999999999798</v>
      </c>
      <c r="G3039">
        <v>20.510781194768398</v>
      </c>
      <c r="H3039">
        <v>1</v>
      </c>
      <c r="I3039">
        <v>0.52568599999999999</v>
      </c>
      <c r="J3039">
        <v>2015</v>
      </c>
      <c r="K3039">
        <v>11</v>
      </c>
      <c r="L3039">
        <v>9</v>
      </c>
      <c r="M3039" t="s">
        <v>92</v>
      </c>
      <c r="N3039">
        <v>0</v>
      </c>
      <c r="O3039">
        <v>0</v>
      </c>
    </row>
    <row r="3040" spans="1:15" x14ac:dyDescent="0.3">
      <c r="A3040">
        <v>3135</v>
      </c>
      <c r="B3040" s="34">
        <v>42318</v>
      </c>
      <c r="C3040">
        <v>1.0749899999999999</v>
      </c>
      <c r="D3040">
        <v>0</v>
      </c>
      <c r="F3040">
        <v>0.44974999999999798</v>
      </c>
      <c r="G3040">
        <v>20.510781194768398</v>
      </c>
      <c r="H3040">
        <v>1</v>
      </c>
      <c r="I3040">
        <v>0.52583729999999995</v>
      </c>
      <c r="J3040">
        <v>2015</v>
      </c>
      <c r="K3040">
        <v>11</v>
      </c>
      <c r="L3040">
        <v>10</v>
      </c>
      <c r="M3040" t="s">
        <v>93</v>
      </c>
      <c r="N3040">
        <v>0</v>
      </c>
      <c r="O3040">
        <v>0</v>
      </c>
    </row>
    <row r="3041" spans="1:15" x14ac:dyDescent="0.3">
      <c r="A3041">
        <v>3136</v>
      </c>
      <c r="B3041" s="34">
        <v>42319</v>
      </c>
      <c r="C3041">
        <v>1.0722700000000001</v>
      </c>
      <c r="D3041">
        <v>0</v>
      </c>
      <c r="F3041">
        <v>0.44974999999999798</v>
      </c>
      <c r="G3041">
        <v>20.510781194768398</v>
      </c>
      <c r="H3041">
        <v>0</v>
      </c>
      <c r="I3041">
        <v>0.52566959999999996</v>
      </c>
      <c r="J3041">
        <v>2015</v>
      </c>
      <c r="K3041">
        <v>11</v>
      </c>
      <c r="L3041">
        <v>11</v>
      </c>
      <c r="M3041" t="s">
        <v>89</v>
      </c>
      <c r="N3041">
        <v>0</v>
      </c>
      <c r="O3041">
        <v>0</v>
      </c>
    </row>
    <row r="3042" spans="1:15" x14ac:dyDescent="0.3">
      <c r="A3042">
        <v>3137</v>
      </c>
      <c r="B3042" s="34">
        <v>42320</v>
      </c>
      <c r="C3042">
        <v>1.0741700000000001</v>
      </c>
      <c r="D3042">
        <v>0</v>
      </c>
      <c r="F3042">
        <v>0.44974999999999798</v>
      </c>
      <c r="G3042">
        <v>20.510781194768398</v>
      </c>
      <c r="H3042">
        <v>0</v>
      </c>
      <c r="I3042">
        <v>0.52550209999999997</v>
      </c>
      <c r="J3042">
        <v>2015</v>
      </c>
      <c r="K3042">
        <v>11</v>
      </c>
      <c r="L3042">
        <v>12</v>
      </c>
      <c r="M3042" t="s">
        <v>90</v>
      </c>
      <c r="N3042">
        <v>0</v>
      </c>
      <c r="O3042">
        <v>0</v>
      </c>
    </row>
    <row r="3043" spans="1:15" x14ac:dyDescent="0.3">
      <c r="A3043">
        <v>3138</v>
      </c>
      <c r="B3043" s="34">
        <v>42321</v>
      </c>
      <c r="C3043">
        <v>1.0811999999999999</v>
      </c>
      <c r="D3043">
        <v>0</v>
      </c>
      <c r="F3043">
        <v>0.44974999999999798</v>
      </c>
      <c r="G3043">
        <v>20.510781194768398</v>
      </c>
      <c r="H3043">
        <v>0</v>
      </c>
      <c r="I3043">
        <v>0.52533459999999998</v>
      </c>
      <c r="J3043">
        <v>2015</v>
      </c>
      <c r="K3043">
        <v>11</v>
      </c>
      <c r="L3043">
        <v>13</v>
      </c>
      <c r="M3043" t="s">
        <v>91</v>
      </c>
      <c r="N3043">
        <v>0</v>
      </c>
      <c r="O3043">
        <v>0</v>
      </c>
    </row>
    <row r="3044" spans="1:15" x14ac:dyDescent="0.3">
      <c r="A3044">
        <v>3139</v>
      </c>
      <c r="B3044" s="34">
        <v>42324</v>
      </c>
      <c r="C3044">
        <v>1.0766800000000001</v>
      </c>
      <c r="D3044">
        <v>1</v>
      </c>
      <c r="E3044" t="s">
        <v>426</v>
      </c>
      <c r="F3044">
        <v>0.44153999999999799</v>
      </c>
      <c r="G3044">
        <v>21.961823966065701</v>
      </c>
      <c r="H3044">
        <v>1</v>
      </c>
      <c r="I3044">
        <v>0.5254858</v>
      </c>
      <c r="J3044">
        <v>2015</v>
      </c>
      <c r="K3044">
        <v>11</v>
      </c>
      <c r="L3044">
        <v>16</v>
      </c>
      <c r="M3044" t="s">
        <v>92</v>
      </c>
      <c r="N3044">
        <v>0</v>
      </c>
      <c r="O3044">
        <v>0</v>
      </c>
    </row>
    <row r="3045" spans="1:15" x14ac:dyDescent="0.3">
      <c r="A3045">
        <v>3140</v>
      </c>
      <c r="B3045" s="34">
        <v>42325</v>
      </c>
      <c r="C3045">
        <v>1.06847</v>
      </c>
      <c r="D3045">
        <v>0</v>
      </c>
      <c r="F3045">
        <v>0.44153999999999799</v>
      </c>
      <c r="G3045">
        <v>21.961823966065701</v>
      </c>
      <c r="H3045">
        <v>1</v>
      </c>
      <c r="I3045">
        <v>0.52563700000000002</v>
      </c>
      <c r="J3045">
        <v>2015</v>
      </c>
      <c r="K3045">
        <v>11</v>
      </c>
      <c r="L3045">
        <v>17</v>
      </c>
      <c r="M3045" t="s">
        <v>93</v>
      </c>
      <c r="N3045">
        <v>0</v>
      </c>
      <c r="O3045">
        <v>0</v>
      </c>
    </row>
    <row r="3046" spans="1:15" x14ac:dyDescent="0.3">
      <c r="A3046">
        <v>3141</v>
      </c>
      <c r="B3046" s="34">
        <v>42326</v>
      </c>
      <c r="C3046">
        <v>1.0643</v>
      </c>
      <c r="D3046">
        <v>0</v>
      </c>
      <c r="F3046">
        <v>0.44153999999999799</v>
      </c>
      <c r="G3046">
        <v>21.961823966065701</v>
      </c>
      <c r="H3046">
        <v>0</v>
      </c>
      <c r="I3046">
        <v>0.52546959999999998</v>
      </c>
      <c r="J3046">
        <v>2015</v>
      </c>
      <c r="K3046">
        <v>11</v>
      </c>
      <c r="L3046">
        <v>18</v>
      </c>
      <c r="M3046" t="s">
        <v>89</v>
      </c>
      <c r="N3046">
        <v>0</v>
      </c>
      <c r="O3046">
        <v>0</v>
      </c>
    </row>
    <row r="3047" spans="1:15" x14ac:dyDescent="0.3">
      <c r="A3047">
        <v>3142</v>
      </c>
      <c r="B3047" s="34">
        <v>42327</v>
      </c>
      <c r="C3047">
        <v>1.0658300000000001</v>
      </c>
      <c r="D3047">
        <v>0</v>
      </c>
      <c r="F3047">
        <v>0.44153999999999799</v>
      </c>
      <c r="G3047">
        <v>21.961823966065701</v>
      </c>
      <c r="H3047">
        <v>1</v>
      </c>
      <c r="I3047">
        <v>0.52562059999999999</v>
      </c>
      <c r="J3047">
        <v>2015</v>
      </c>
      <c r="K3047">
        <v>11</v>
      </c>
      <c r="L3047">
        <v>19</v>
      </c>
      <c r="M3047" t="s">
        <v>90</v>
      </c>
      <c r="N3047">
        <v>0</v>
      </c>
      <c r="O3047">
        <v>0</v>
      </c>
    </row>
    <row r="3048" spans="1:15" x14ac:dyDescent="0.3">
      <c r="A3048">
        <v>3143</v>
      </c>
      <c r="B3048" s="34">
        <v>42328</v>
      </c>
      <c r="C3048">
        <v>1.07338</v>
      </c>
      <c r="D3048">
        <v>0</v>
      </c>
      <c r="F3048">
        <v>0.44153999999999799</v>
      </c>
      <c r="G3048">
        <v>21.961823966065701</v>
      </c>
      <c r="H3048">
        <v>0</v>
      </c>
      <c r="I3048">
        <v>0.52545339999999996</v>
      </c>
      <c r="J3048">
        <v>2015</v>
      </c>
      <c r="K3048">
        <v>11</v>
      </c>
      <c r="L3048">
        <v>20</v>
      </c>
      <c r="M3048" t="s">
        <v>91</v>
      </c>
      <c r="N3048">
        <v>0</v>
      </c>
      <c r="O3048">
        <v>0</v>
      </c>
    </row>
    <row r="3049" spans="1:15" x14ac:dyDescent="0.3">
      <c r="A3049">
        <v>3144</v>
      </c>
      <c r="B3049" s="34">
        <v>42331</v>
      </c>
      <c r="C3049">
        <v>1.0645100000000001</v>
      </c>
      <c r="D3049">
        <v>0</v>
      </c>
      <c r="F3049">
        <v>0.44153999999999799</v>
      </c>
      <c r="G3049">
        <v>21.961823966065701</v>
      </c>
      <c r="H3049">
        <v>1</v>
      </c>
      <c r="I3049">
        <v>0.52560430000000002</v>
      </c>
      <c r="J3049">
        <v>2015</v>
      </c>
      <c r="K3049">
        <v>11</v>
      </c>
      <c r="L3049">
        <v>23</v>
      </c>
      <c r="M3049" t="s">
        <v>92</v>
      </c>
      <c r="N3049">
        <v>0</v>
      </c>
      <c r="O3049">
        <v>0</v>
      </c>
    </row>
    <row r="3050" spans="1:15" x14ac:dyDescent="0.3">
      <c r="A3050">
        <v>3145</v>
      </c>
      <c r="B3050" s="34">
        <v>42332</v>
      </c>
      <c r="C3050">
        <v>1.0635399999999999</v>
      </c>
      <c r="D3050">
        <v>0</v>
      </c>
      <c r="F3050">
        <v>0.44153999999999799</v>
      </c>
      <c r="G3050">
        <v>21.961823966065701</v>
      </c>
      <c r="H3050">
        <v>0</v>
      </c>
      <c r="I3050">
        <v>0.52543720000000005</v>
      </c>
      <c r="J3050">
        <v>2015</v>
      </c>
      <c r="K3050">
        <v>11</v>
      </c>
      <c r="L3050">
        <v>24</v>
      </c>
      <c r="M3050" t="s">
        <v>93</v>
      </c>
      <c r="N3050">
        <v>0</v>
      </c>
      <c r="O3050">
        <v>0</v>
      </c>
    </row>
    <row r="3051" spans="1:15" x14ac:dyDescent="0.3">
      <c r="A3051">
        <v>3146</v>
      </c>
      <c r="B3051" s="34">
        <v>42333</v>
      </c>
      <c r="C3051">
        <v>1.06426</v>
      </c>
      <c r="D3051">
        <v>0</v>
      </c>
      <c r="F3051">
        <v>0.44153999999999799</v>
      </c>
      <c r="G3051">
        <v>21.961823966065701</v>
      </c>
      <c r="H3051">
        <v>1</v>
      </c>
      <c r="I3051">
        <v>0.52558800000000006</v>
      </c>
      <c r="J3051">
        <v>2015</v>
      </c>
      <c r="K3051">
        <v>11</v>
      </c>
      <c r="L3051">
        <v>25</v>
      </c>
      <c r="M3051" t="s">
        <v>89</v>
      </c>
      <c r="N3051">
        <v>0</v>
      </c>
      <c r="O3051">
        <v>0</v>
      </c>
    </row>
    <row r="3052" spans="1:15" x14ac:dyDescent="0.3">
      <c r="A3052">
        <v>3147</v>
      </c>
      <c r="B3052" s="34">
        <v>42334</v>
      </c>
      <c r="C3052">
        <v>1.0623800000000001</v>
      </c>
      <c r="D3052">
        <v>0</v>
      </c>
      <c r="F3052">
        <v>0.44153999999999799</v>
      </c>
      <c r="G3052">
        <v>21.961823966065701</v>
      </c>
      <c r="H3052">
        <v>1</v>
      </c>
      <c r="I3052">
        <v>0.52573879999999995</v>
      </c>
      <c r="J3052">
        <v>2015</v>
      </c>
      <c r="K3052">
        <v>11</v>
      </c>
      <c r="L3052">
        <v>26</v>
      </c>
      <c r="M3052" t="s">
        <v>90</v>
      </c>
      <c r="N3052">
        <v>0</v>
      </c>
      <c r="O3052">
        <v>0</v>
      </c>
    </row>
    <row r="3053" spans="1:15" x14ac:dyDescent="0.3">
      <c r="A3053">
        <v>3148</v>
      </c>
      <c r="B3053" s="34">
        <v>42335</v>
      </c>
      <c r="C3053">
        <v>1.0610200000000001</v>
      </c>
      <c r="D3053">
        <v>0</v>
      </c>
      <c r="F3053">
        <v>0.44153999999999799</v>
      </c>
      <c r="G3053">
        <v>21.961823966065701</v>
      </c>
      <c r="H3053">
        <v>0</v>
      </c>
      <c r="I3053">
        <v>0.52557180000000003</v>
      </c>
      <c r="J3053">
        <v>2015</v>
      </c>
      <c r="K3053">
        <v>11</v>
      </c>
      <c r="L3053">
        <v>27</v>
      </c>
      <c r="M3053" t="s">
        <v>91</v>
      </c>
      <c r="N3053">
        <v>0</v>
      </c>
      <c r="O3053">
        <v>0</v>
      </c>
    </row>
    <row r="3054" spans="1:15" x14ac:dyDescent="0.3">
      <c r="A3054">
        <v>3149</v>
      </c>
      <c r="B3054" s="34">
        <v>42338</v>
      </c>
      <c r="C3054">
        <v>1.05938</v>
      </c>
      <c r="D3054">
        <v>0</v>
      </c>
      <c r="F3054">
        <v>0.44153999999999799</v>
      </c>
      <c r="G3054">
        <v>21.961823966065701</v>
      </c>
      <c r="H3054">
        <v>0</v>
      </c>
      <c r="I3054">
        <v>0.52540489999999995</v>
      </c>
      <c r="J3054">
        <v>2015</v>
      </c>
      <c r="K3054">
        <v>11</v>
      </c>
      <c r="L3054">
        <v>30</v>
      </c>
      <c r="M3054" t="s">
        <v>92</v>
      </c>
      <c r="N3054">
        <v>0</v>
      </c>
      <c r="O3054">
        <v>0</v>
      </c>
    </row>
    <row r="3055" spans="1:15" x14ac:dyDescent="0.3">
      <c r="A3055">
        <v>3150</v>
      </c>
      <c r="B3055" s="34">
        <v>42339</v>
      </c>
      <c r="C3055">
        <v>1.05643</v>
      </c>
      <c r="D3055">
        <v>0</v>
      </c>
      <c r="F3055">
        <v>0.44153999999999799</v>
      </c>
      <c r="G3055">
        <v>21.961823966065701</v>
      </c>
      <c r="H3055">
        <v>0</v>
      </c>
      <c r="I3055">
        <v>0.52523810000000004</v>
      </c>
      <c r="J3055">
        <v>2015</v>
      </c>
      <c r="K3055">
        <v>12</v>
      </c>
      <c r="L3055">
        <v>1</v>
      </c>
      <c r="M3055" t="s">
        <v>93</v>
      </c>
      <c r="N3055">
        <v>0</v>
      </c>
      <c r="O3055">
        <v>0</v>
      </c>
    </row>
    <row r="3056" spans="1:15" x14ac:dyDescent="0.3">
      <c r="A3056">
        <v>3151</v>
      </c>
      <c r="B3056" s="34">
        <v>42340</v>
      </c>
      <c r="C3056">
        <v>1.06324</v>
      </c>
      <c r="D3056">
        <v>0</v>
      </c>
      <c r="F3056">
        <v>0.44153999999999799</v>
      </c>
      <c r="G3056">
        <v>21.961823966065701</v>
      </c>
      <c r="H3056">
        <v>1</v>
      </c>
      <c r="I3056">
        <v>0.52538879999999999</v>
      </c>
      <c r="J3056">
        <v>2015</v>
      </c>
      <c r="K3056">
        <v>12</v>
      </c>
      <c r="L3056">
        <v>2</v>
      </c>
      <c r="M3056" t="s">
        <v>89</v>
      </c>
      <c r="N3056">
        <v>0</v>
      </c>
      <c r="O3056">
        <v>0</v>
      </c>
    </row>
    <row r="3057" spans="1:15" x14ac:dyDescent="0.3">
      <c r="A3057">
        <v>3152</v>
      </c>
      <c r="B3057" s="34">
        <v>42341</v>
      </c>
      <c r="C3057">
        <v>1.06135</v>
      </c>
      <c r="D3057">
        <v>0</v>
      </c>
      <c r="F3057">
        <v>0.44153999999999799</v>
      </c>
      <c r="G3057">
        <v>21.961823966065701</v>
      </c>
      <c r="H3057">
        <v>1</v>
      </c>
      <c r="I3057">
        <v>0.52553930000000004</v>
      </c>
      <c r="J3057">
        <v>2015</v>
      </c>
      <c r="K3057">
        <v>12</v>
      </c>
      <c r="L3057">
        <v>3</v>
      </c>
      <c r="M3057" t="s">
        <v>90</v>
      </c>
      <c r="N3057">
        <v>0</v>
      </c>
      <c r="O3057">
        <v>0</v>
      </c>
    </row>
    <row r="3058" spans="1:15" x14ac:dyDescent="0.3">
      <c r="A3058">
        <v>3153</v>
      </c>
      <c r="B3058" s="34">
        <v>42342</v>
      </c>
      <c r="C3058">
        <v>1.09385</v>
      </c>
      <c r="D3058">
        <v>0</v>
      </c>
      <c r="F3058">
        <v>0.44153999999999799</v>
      </c>
      <c r="G3058">
        <v>21.961823966065701</v>
      </c>
      <c r="H3058">
        <v>0</v>
      </c>
      <c r="I3058">
        <v>0.52537270000000003</v>
      </c>
      <c r="J3058">
        <v>2015</v>
      </c>
      <c r="K3058">
        <v>12</v>
      </c>
      <c r="L3058">
        <v>4</v>
      </c>
      <c r="M3058" t="s">
        <v>91</v>
      </c>
      <c r="N3058">
        <v>0</v>
      </c>
      <c r="O3058">
        <v>0</v>
      </c>
    </row>
    <row r="3059" spans="1:15" x14ac:dyDescent="0.3">
      <c r="A3059">
        <v>3154</v>
      </c>
      <c r="B3059" s="34">
        <v>42345</v>
      </c>
      <c r="C3059">
        <v>1.08779</v>
      </c>
      <c r="D3059">
        <v>0</v>
      </c>
      <c r="F3059">
        <v>0.44153999999999799</v>
      </c>
      <c r="G3059">
        <v>21.961823966065701</v>
      </c>
      <c r="H3059">
        <v>1</v>
      </c>
      <c r="I3059">
        <v>0.52552310000000002</v>
      </c>
      <c r="J3059">
        <v>2015</v>
      </c>
      <c r="K3059">
        <v>12</v>
      </c>
      <c r="L3059">
        <v>7</v>
      </c>
      <c r="M3059" t="s">
        <v>92</v>
      </c>
      <c r="N3059">
        <v>0</v>
      </c>
      <c r="O3059">
        <v>0</v>
      </c>
    </row>
    <row r="3060" spans="1:15" x14ac:dyDescent="0.3">
      <c r="A3060">
        <v>3155</v>
      </c>
      <c r="B3060" s="34">
        <v>42346</v>
      </c>
      <c r="C3060">
        <v>1.0836600000000001</v>
      </c>
      <c r="D3060">
        <v>0</v>
      </c>
      <c r="F3060">
        <v>0.44153999999999799</v>
      </c>
      <c r="G3060">
        <v>21.961823966065701</v>
      </c>
      <c r="H3060">
        <v>1</v>
      </c>
      <c r="I3060">
        <v>0.52567350000000002</v>
      </c>
      <c r="J3060">
        <v>2015</v>
      </c>
      <c r="K3060">
        <v>12</v>
      </c>
      <c r="L3060">
        <v>8</v>
      </c>
      <c r="M3060" t="s">
        <v>93</v>
      </c>
      <c r="N3060">
        <v>0</v>
      </c>
      <c r="O3060">
        <v>0</v>
      </c>
    </row>
    <row r="3061" spans="1:15" x14ac:dyDescent="0.3">
      <c r="A3061">
        <v>3156</v>
      </c>
      <c r="B3061" s="34">
        <v>42347</v>
      </c>
      <c r="C3061">
        <v>1.0891999999999999</v>
      </c>
      <c r="D3061">
        <v>0</v>
      </c>
      <c r="F3061">
        <v>0.44153999999999799</v>
      </c>
      <c r="G3061">
        <v>21.961823966065701</v>
      </c>
      <c r="H3061">
        <v>0</v>
      </c>
      <c r="I3061">
        <v>0.52550699999999995</v>
      </c>
      <c r="J3061">
        <v>2015</v>
      </c>
      <c r="K3061">
        <v>12</v>
      </c>
      <c r="L3061">
        <v>9</v>
      </c>
      <c r="M3061" t="s">
        <v>89</v>
      </c>
      <c r="N3061">
        <v>0</v>
      </c>
      <c r="O3061">
        <v>0</v>
      </c>
    </row>
    <row r="3062" spans="1:15" x14ac:dyDescent="0.3">
      <c r="A3062">
        <v>3157</v>
      </c>
      <c r="B3062" s="34">
        <v>42348</v>
      </c>
      <c r="C3062">
        <v>1.1024400000000001</v>
      </c>
      <c r="D3062">
        <v>-1</v>
      </c>
      <c r="F3062">
        <v>0.44996999999999798</v>
      </c>
      <c r="G3062">
        <v>20.471898197242801</v>
      </c>
      <c r="H3062">
        <v>0</v>
      </c>
      <c r="I3062">
        <v>0.52534049999999999</v>
      </c>
      <c r="J3062">
        <v>2015</v>
      </c>
      <c r="K3062">
        <v>12</v>
      </c>
      <c r="L3062">
        <v>10</v>
      </c>
      <c r="M3062" t="s">
        <v>90</v>
      </c>
      <c r="N3062">
        <v>0</v>
      </c>
      <c r="O3062">
        <v>0</v>
      </c>
    </row>
    <row r="3063" spans="1:15" x14ac:dyDescent="0.3">
      <c r="A3063">
        <v>3158</v>
      </c>
      <c r="B3063" s="34">
        <v>42349</v>
      </c>
      <c r="C3063">
        <v>1.0940099999999999</v>
      </c>
      <c r="D3063">
        <v>0</v>
      </c>
      <c r="F3063">
        <v>0.44996999999999798</v>
      </c>
      <c r="G3063">
        <v>20.471898197242801</v>
      </c>
      <c r="H3063">
        <v>1</v>
      </c>
      <c r="I3063">
        <v>0.52549080000000004</v>
      </c>
      <c r="J3063">
        <v>2015</v>
      </c>
      <c r="K3063">
        <v>12</v>
      </c>
      <c r="L3063">
        <v>11</v>
      </c>
      <c r="M3063" t="s">
        <v>91</v>
      </c>
      <c r="N3063">
        <v>0</v>
      </c>
      <c r="O3063">
        <v>0</v>
      </c>
    </row>
    <row r="3064" spans="1:15" x14ac:dyDescent="0.3">
      <c r="A3064">
        <v>3159</v>
      </c>
      <c r="B3064" s="34">
        <v>42352</v>
      </c>
      <c r="C3064">
        <v>1.09894</v>
      </c>
      <c r="D3064">
        <v>0</v>
      </c>
      <c r="F3064">
        <v>0.44996999999999798</v>
      </c>
      <c r="G3064">
        <v>20.471898197242801</v>
      </c>
      <c r="H3064">
        <v>0</v>
      </c>
      <c r="I3064">
        <v>0.52532449999999997</v>
      </c>
      <c r="J3064">
        <v>2015</v>
      </c>
      <c r="K3064">
        <v>12</v>
      </c>
      <c r="L3064">
        <v>14</v>
      </c>
      <c r="M3064" t="s">
        <v>92</v>
      </c>
      <c r="N3064">
        <v>0</v>
      </c>
      <c r="O3064">
        <v>0</v>
      </c>
    </row>
    <row r="3065" spans="1:15" x14ac:dyDescent="0.3">
      <c r="A3065">
        <v>3160</v>
      </c>
      <c r="B3065" s="34">
        <v>42353</v>
      </c>
      <c r="C3065">
        <v>1.0992200000000001</v>
      </c>
      <c r="D3065">
        <v>0</v>
      </c>
      <c r="F3065">
        <v>0.44996999999999798</v>
      </c>
      <c r="G3065">
        <v>20.471898197242801</v>
      </c>
      <c r="H3065">
        <v>0</v>
      </c>
      <c r="I3065">
        <v>0.52515820000000002</v>
      </c>
      <c r="J3065">
        <v>2015</v>
      </c>
      <c r="K3065">
        <v>12</v>
      </c>
      <c r="L3065">
        <v>15</v>
      </c>
      <c r="M3065" t="s">
        <v>93</v>
      </c>
      <c r="N3065">
        <v>0</v>
      </c>
      <c r="O3065">
        <v>0</v>
      </c>
    </row>
    <row r="3066" spans="1:15" x14ac:dyDescent="0.3">
      <c r="A3066">
        <v>3161</v>
      </c>
      <c r="B3066" s="34">
        <v>42354</v>
      </c>
      <c r="C3066">
        <v>1.0928500000000001</v>
      </c>
      <c r="D3066">
        <v>0</v>
      </c>
      <c r="F3066">
        <v>0.44996999999999798</v>
      </c>
      <c r="G3066">
        <v>20.471898197242801</v>
      </c>
      <c r="H3066">
        <v>1</v>
      </c>
      <c r="I3066">
        <v>0.52530840000000001</v>
      </c>
      <c r="J3066">
        <v>2015</v>
      </c>
      <c r="K3066">
        <v>12</v>
      </c>
      <c r="L3066">
        <v>16</v>
      </c>
      <c r="M3066" t="s">
        <v>89</v>
      </c>
      <c r="N3066">
        <v>0</v>
      </c>
      <c r="O3066">
        <v>0</v>
      </c>
    </row>
    <row r="3067" spans="1:15" x14ac:dyDescent="0.3">
      <c r="A3067">
        <v>3162</v>
      </c>
      <c r="B3067" s="34">
        <v>42355</v>
      </c>
      <c r="C3067">
        <v>1.09104</v>
      </c>
      <c r="D3067">
        <v>0</v>
      </c>
      <c r="F3067">
        <v>0.44996999999999798</v>
      </c>
      <c r="G3067">
        <v>20.471898197242801</v>
      </c>
      <c r="H3067">
        <v>0</v>
      </c>
      <c r="I3067">
        <v>0.52514229999999995</v>
      </c>
      <c r="J3067">
        <v>2015</v>
      </c>
      <c r="K3067">
        <v>12</v>
      </c>
      <c r="L3067">
        <v>17</v>
      </c>
      <c r="M3067" t="s">
        <v>90</v>
      </c>
      <c r="N3067">
        <v>0</v>
      </c>
      <c r="O3067">
        <v>0</v>
      </c>
    </row>
    <row r="3068" spans="1:15" x14ac:dyDescent="0.3">
      <c r="A3068">
        <v>3163</v>
      </c>
      <c r="B3068" s="34">
        <v>42356</v>
      </c>
      <c r="C3068">
        <v>1.0824499999999999</v>
      </c>
      <c r="D3068">
        <v>0</v>
      </c>
      <c r="F3068">
        <v>0.44996999999999798</v>
      </c>
      <c r="G3068">
        <v>20.471898197242801</v>
      </c>
      <c r="H3068">
        <v>0</v>
      </c>
      <c r="I3068">
        <v>0.52497629999999995</v>
      </c>
      <c r="J3068">
        <v>2015</v>
      </c>
      <c r="K3068">
        <v>12</v>
      </c>
      <c r="L3068">
        <v>18</v>
      </c>
      <c r="M3068" t="s">
        <v>91</v>
      </c>
      <c r="N3068">
        <v>0</v>
      </c>
      <c r="O3068">
        <v>0</v>
      </c>
    </row>
    <row r="3069" spans="1:15" x14ac:dyDescent="0.3">
      <c r="A3069">
        <v>3164</v>
      </c>
      <c r="B3069" s="34">
        <v>42359</v>
      </c>
      <c r="C3069">
        <v>1.08613</v>
      </c>
      <c r="D3069">
        <v>0</v>
      </c>
      <c r="F3069">
        <v>0.44996999999999798</v>
      </c>
      <c r="G3069">
        <v>20.471898197242801</v>
      </c>
      <c r="H3069">
        <v>1</v>
      </c>
      <c r="I3069">
        <v>0.52512639999999999</v>
      </c>
      <c r="J3069">
        <v>2015</v>
      </c>
      <c r="K3069">
        <v>12</v>
      </c>
      <c r="L3069">
        <v>21</v>
      </c>
      <c r="M3069" t="s">
        <v>92</v>
      </c>
      <c r="N3069">
        <v>0</v>
      </c>
      <c r="O3069">
        <v>0</v>
      </c>
    </row>
    <row r="3070" spans="1:15" x14ac:dyDescent="0.3">
      <c r="A3070">
        <v>3165</v>
      </c>
      <c r="B3070" s="34">
        <v>42360</v>
      </c>
      <c r="C3070">
        <v>1.0913900000000001</v>
      </c>
      <c r="D3070">
        <v>0</v>
      </c>
      <c r="F3070">
        <v>0.44996999999999798</v>
      </c>
      <c r="G3070">
        <v>20.471898197242801</v>
      </c>
      <c r="H3070">
        <v>0</v>
      </c>
      <c r="I3070">
        <v>0.52496050000000005</v>
      </c>
      <c r="J3070">
        <v>2015</v>
      </c>
      <c r="K3070">
        <v>12</v>
      </c>
      <c r="L3070">
        <v>22</v>
      </c>
      <c r="M3070" t="s">
        <v>93</v>
      </c>
      <c r="N3070">
        <v>0</v>
      </c>
      <c r="O3070">
        <v>0</v>
      </c>
    </row>
    <row r="3071" spans="1:15" x14ac:dyDescent="0.3">
      <c r="A3071">
        <v>3166</v>
      </c>
      <c r="B3071" s="34">
        <v>42361</v>
      </c>
      <c r="C3071">
        <v>1.09568</v>
      </c>
      <c r="D3071">
        <v>0</v>
      </c>
      <c r="F3071">
        <v>0.44996999999999798</v>
      </c>
      <c r="G3071">
        <v>20.471898197242801</v>
      </c>
      <c r="H3071">
        <v>0</v>
      </c>
      <c r="I3071">
        <v>0.52479469999999995</v>
      </c>
      <c r="J3071">
        <v>2015</v>
      </c>
      <c r="K3071">
        <v>12</v>
      </c>
      <c r="L3071">
        <v>23</v>
      </c>
      <c r="M3071" t="s">
        <v>89</v>
      </c>
      <c r="N3071">
        <v>0</v>
      </c>
      <c r="O3071">
        <v>0</v>
      </c>
    </row>
    <row r="3072" spans="1:15" x14ac:dyDescent="0.3">
      <c r="A3072">
        <v>3167</v>
      </c>
      <c r="B3072" s="34">
        <v>42362</v>
      </c>
      <c r="C3072">
        <v>1.0909899999999999</v>
      </c>
      <c r="D3072">
        <v>0</v>
      </c>
      <c r="F3072">
        <v>0.44996999999999798</v>
      </c>
      <c r="G3072">
        <v>20.471898197242801</v>
      </c>
      <c r="H3072">
        <v>1</v>
      </c>
      <c r="I3072">
        <v>0.52494470000000004</v>
      </c>
      <c r="J3072">
        <v>2015</v>
      </c>
      <c r="K3072">
        <v>12</v>
      </c>
      <c r="L3072">
        <v>24</v>
      </c>
      <c r="M3072" t="s">
        <v>90</v>
      </c>
      <c r="N3072">
        <v>0</v>
      </c>
      <c r="O3072">
        <v>0</v>
      </c>
    </row>
    <row r="3073" spans="1:15" x14ac:dyDescent="0.3">
      <c r="A3073">
        <v>3168</v>
      </c>
      <c r="B3073" s="34">
        <v>42366</v>
      </c>
      <c r="C3073">
        <v>1.0954200000000001</v>
      </c>
      <c r="D3073">
        <v>0</v>
      </c>
      <c r="F3073">
        <v>0.44996999999999798</v>
      </c>
      <c r="G3073">
        <v>20.471898197242801</v>
      </c>
      <c r="H3073">
        <v>0</v>
      </c>
      <c r="I3073">
        <v>0.524779</v>
      </c>
      <c r="J3073">
        <v>2015</v>
      </c>
      <c r="K3073">
        <v>12</v>
      </c>
      <c r="L3073">
        <v>28</v>
      </c>
      <c r="M3073" t="s">
        <v>92</v>
      </c>
      <c r="N3073">
        <v>0</v>
      </c>
      <c r="O3073">
        <v>0</v>
      </c>
    </row>
    <row r="3074" spans="1:15" x14ac:dyDescent="0.3">
      <c r="A3074">
        <v>3169</v>
      </c>
      <c r="B3074" s="34">
        <v>42367</v>
      </c>
      <c r="C3074">
        <v>1.0968100000000001</v>
      </c>
      <c r="D3074">
        <v>0</v>
      </c>
      <c r="F3074">
        <v>0.44996999999999798</v>
      </c>
      <c r="G3074">
        <v>20.471898197242801</v>
      </c>
      <c r="H3074">
        <v>0</v>
      </c>
      <c r="I3074">
        <v>0.52461340000000001</v>
      </c>
      <c r="J3074">
        <v>2015</v>
      </c>
      <c r="K3074">
        <v>12</v>
      </c>
      <c r="L3074">
        <v>29</v>
      </c>
      <c r="M3074" t="s">
        <v>93</v>
      </c>
      <c r="N3074">
        <v>0</v>
      </c>
      <c r="O3074">
        <v>0</v>
      </c>
    </row>
    <row r="3075" spans="1:15" x14ac:dyDescent="0.3">
      <c r="A3075">
        <v>3170</v>
      </c>
      <c r="B3075" s="34">
        <v>42368</v>
      </c>
      <c r="C3075">
        <v>1.0918000000000001</v>
      </c>
      <c r="D3075">
        <v>0</v>
      </c>
      <c r="F3075">
        <v>0.44996999999999798</v>
      </c>
      <c r="G3075">
        <v>20.471898197242801</v>
      </c>
      <c r="H3075">
        <v>1</v>
      </c>
      <c r="I3075">
        <v>0.52476339999999999</v>
      </c>
      <c r="J3075">
        <v>2015</v>
      </c>
      <c r="K3075">
        <v>12</v>
      </c>
      <c r="L3075">
        <v>30</v>
      </c>
      <c r="M3075" t="s">
        <v>89</v>
      </c>
      <c r="N3075">
        <v>0</v>
      </c>
      <c r="O3075">
        <v>0</v>
      </c>
    </row>
    <row r="3076" spans="1:15" x14ac:dyDescent="0.3">
      <c r="A3076">
        <v>3171</v>
      </c>
      <c r="B3076" s="34">
        <v>42369</v>
      </c>
      <c r="C3076">
        <v>1.0931200000000001</v>
      </c>
      <c r="D3076">
        <v>-2</v>
      </c>
      <c r="F3076">
        <v>0.45755999999999802</v>
      </c>
      <c r="G3076">
        <v>19.130434782608699</v>
      </c>
      <c r="H3076">
        <v>0</v>
      </c>
      <c r="I3076">
        <v>0.52459789999999995</v>
      </c>
      <c r="J3076">
        <v>2015</v>
      </c>
      <c r="K3076">
        <v>12</v>
      </c>
      <c r="L3076">
        <v>31</v>
      </c>
      <c r="M3076" t="s">
        <v>90</v>
      </c>
      <c r="N3076">
        <v>0</v>
      </c>
      <c r="O3076">
        <v>0</v>
      </c>
    </row>
    <row r="3077" spans="1:15" x14ac:dyDescent="0.3">
      <c r="A3077">
        <v>3172</v>
      </c>
      <c r="B3077" s="34">
        <v>42373</v>
      </c>
      <c r="C3077">
        <v>1.0855300000000001</v>
      </c>
      <c r="D3077">
        <v>0</v>
      </c>
      <c r="F3077">
        <v>0.45755999999999802</v>
      </c>
      <c r="G3077">
        <v>19.130434782608699</v>
      </c>
      <c r="H3077">
        <v>1</v>
      </c>
      <c r="I3077">
        <v>0.52474779999999999</v>
      </c>
      <c r="J3077">
        <v>2016</v>
      </c>
      <c r="K3077">
        <v>1</v>
      </c>
      <c r="L3077">
        <v>4</v>
      </c>
      <c r="M3077" t="s">
        <v>92</v>
      </c>
      <c r="N3077">
        <v>0</v>
      </c>
      <c r="O3077">
        <v>0</v>
      </c>
    </row>
    <row r="3078" spans="1:15" x14ac:dyDescent="0.3">
      <c r="A3078">
        <v>3173</v>
      </c>
      <c r="B3078" s="34">
        <v>42374</v>
      </c>
      <c r="C3078">
        <v>1.0831900000000001</v>
      </c>
      <c r="D3078">
        <v>0</v>
      </c>
      <c r="F3078">
        <v>0.45755999999999802</v>
      </c>
      <c r="G3078">
        <v>19.130434782608699</v>
      </c>
      <c r="H3078">
        <v>0</v>
      </c>
      <c r="I3078">
        <v>0.5245824</v>
      </c>
      <c r="J3078">
        <v>2016</v>
      </c>
      <c r="K3078">
        <v>1</v>
      </c>
      <c r="L3078">
        <v>5</v>
      </c>
      <c r="M3078" t="s">
        <v>93</v>
      </c>
      <c r="N3078">
        <v>0</v>
      </c>
      <c r="O3078">
        <v>0</v>
      </c>
    </row>
    <row r="3079" spans="1:15" x14ac:dyDescent="0.3">
      <c r="A3079">
        <v>3174</v>
      </c>
      <c r="B3079" s="34">
        <v>42375</v>
      </c>
      <c r="C3079">
        <v>1.07463</v>
      </c>
      <c r="D3079">
        <v>0</v>
      </c>
      <c r="F3079">
        <v>0.45755999999999802</v>
      </c>
      <c r="G3079">
        <v>19.130434782608699</v>
      </c>
      <c r="H3079">
        <v>0</v>
      </c>
      <c r="I3079">
        <v>0.52441720000000003</v>
      </c>
      <c r="J3079">
        <v>2016</v>
      </c>
      <c r="K3079">
        <v>1</v>
      </c>
      <c r="L3079">
        <v>6</v>
      </c>
      <c r="M3079" t="s">
        <v>89</v>
      </c>
      <c r="N3079">
        <v>0</v>
      </c>
      <c r="O3079">
        <v>0</v>
      </c>
    </row>
    <row r="3080" spans="1:15" x14ac:dyDescent="0.3">
      <c r="A3080">
        <v>3175</v>
      </c>
      <c r="B3080" s="34">
        <v>42376</v>
      </c>
      <c r="C3080">
        <v>1.07796</v>
      </c>
      <c r="D3080">
        <v>0</v>
      </c>
      <c r="F3080">
        <v>0.45755999999999802</v>
      </c>
      <c r="G3080">
        <v>19.130434782608699</v>
      </c>
      <c r="H3080">
        <v>1</v>
      </c>
      <c r="I3080">
        <v>0.52456689999999995</v>
      </c>
      <c r="J3080">
        <v>2016</v>
      </c>
      <c r="K3080">
        <v>1</v>
      </c>
      <c r="L3080">
        <v>7</v>
      </c>
      <c r="M3080" t="s">
        <v>90</v>
      </c>
      <c r="N3080">
        <v>0</v>
      </c>
      <c r="O3080">
        <v>0</v>
      </c>
    </row>
    <row r="3081" spans="1:15" x14ac:dyDescent="0.3">
      <c r="A3081">
        <v>3176</v>
      </c>
      <c r="B3081" s="34">
        <v>42377</v>
      </c>
      <c r="C3081">
        <v>1.09287</v>
      </c>
      <c r="D3081">
        <v>0</v>
      </c>
      <c r="F3081">
        <v>0.45755999999999802</v>
      </c>
      <c r="G3081">
        <v>19.130434782608699</v>
      </c>
      <c r="H3081">
        <v>0</v>
      </c>
      <c r="I3081">
        <v>0.52440180000000003</v>
      </c>
      <c r="J3081">
        <v>2016</v>
      </c>
      <c r="K3081">
        <v>1</v>
      </c>
      <c r="L3081">
        <v>8</v>
      </c>
      <c r="M3081" t="s">
        <v>91</v>
      </c>
      <c r="N3081">
        <v>0</v>
      </c>
      <c r="O3081">
        <v>0</v>
      </c>
    </row>
    <row r="3082" spans="1:15" x14ac:dyDescent="0.3">
      <c r="A3082">
        <v>3177</v>
      </c>
      <c r="B3082" s="34">
        <v>42380</v>
      </c>
      <c r="C3082">
        <v>1.0924499999999999</v>
      </c>
      <c r="D3082">
        <v>0</v>
      </c>
      <c r="F3082">
        <v>0.45755999999999802</v>
      </c>
      <c r="G3082">
        <v>19.130434782608699</v>
      </c>
      <c r="H3082">
        <v>1</v>
      </c>
      <c r="I3082">
        <v>0.52455149999999995</v>
      </c>
      <c r="J3082">
        <v>2016</v>
      </c>
      <c r="K3082">
        <v>1</v>
      </c>
      <c r="L3082">
        <v>11</v>
      </c>
      <c r="M3082" t="s">
        <v>92</v>
      </c>
      <c r="N3082">
        <v>0</v>
      </c>
      <c r="O3082">
        <v>0</v>
      </c>
    </row>
    <row r="3083" spans="1:15" x14ac:dyDescent="0.3">
      <c r="A3083">
        <v>3178</v>
      </c>
      <c r="B3083" s="34">
        <v>42381</v>
      </c>
      <c r="C3083">
        <v>1.0858099999999999</v>
      </c>
      <c r="D3083">
        <v>0</v>
      </c>
      <c r="F3083">
        <v>0.45755999999999802</v>
      </c>
      <c r="G3083">
        <v>19.130434782608699</v>
      </c>
      <c r="H3083">
        <v>1</v>
      </c>
      <c r="I3083">
        <v>0.52470110000000003</v>
      </c>
      <c r="J3083">
        <v>2016</v>
      </c>
      <c r="K3083">
        <v>1</v>
      </c>
      <c r="L3083">
        <v>12</v>
      </c>
      <c r="M3083" t="s">
        <v>93</v>
      </c>
      <c r="N3083">
        <v>0</v>
      </c>
      <c r="O3083">
        <v>0</v>
      </c>
    </row>
    <row r="3084" spans="1:15" x14ac:dyDescent="0.3">
      <c r="A3084">
        <v>3179</v>
      </c>
      <c r="B3084" s="34">
        <v>42382</v>
      </c>
      <c r="C3084">
        <v>1.0857000000000001</v>
      </c>
      <c r="D3084">
        <v>0</v>
      </c>
      <c r="F3084">
        <v>0.45755999999999802</v>
      </c>
      <c r="G3084">
        <v>19.130434782608699</v>
      </c>
      <c r="H3084">
        <v>1</v>
      </c>
      <c r="I3084">
        <v>0.52485059999999994</v>
      </c>
      <c r="J3084">
        <v>2016</v>
      </c>
      <c r="K3084">
        <v>1</v>
      </c>
      <c r="L3084">
        <v>13</v>
      </c>
      <c r="M3084" t="s">
        <v>89</v>
      </c>
      <c r="N3084">
        <v>0</v>
      </c>
      <c r="O3084">
        <v>0</v>
      </c>
    </row>
    <row r="3085" spans="1:15" x14ac:dyDescent="0.3">
      <c r="A3085">
        <v>3180</v>
      </c>
      <c r="B3085" s="34">
        <v>42383</v>
      </c>
      <c r="C3085">
        <v>1.0875699999999999</v>
      </c>
      <c r="D3085">
        <v>-1</v>
      </c>
      <c r="F3085">
        <v>0.45878999999999798</v>
      </c>
      <c r="G3085">
        <v>18.913043478260899</v>
      </c>
      <c r="H3085">
        <v>0</v>
      </c>
      <c r="I3085">
        <v>0.52468559999999997</v>
      </c>
      <c r="J3085">
        <v>2016</v>
      </c>
      <c r="K3085">
        <v>1</v>
      </c>
      <c r="L3085">
        <v>14</v>
      </c>
      <c r="M3085" t="s">
        <v>90</v>
      </c>
      <c r="N3085">
        <v>0</v>
      </c>
      <c r="O3085">
        <v>0</v>
      </c>
    </row>
    <row r="3086" spans="1:15" x14ac:dyDescent="0.3">
      <c r="A3086">
        <v>3181</v>
      </c>
      <c r="B3086" s="34">
        <v>42384</v>
      </c>
      <c r="C3086">
        <v>1.0863400000000001</v>
      </c>
      <c r="D3086">
        <v>0</v>
      </c>
      <c r="F3086">
        <v>0.45878999999999798</v>
      </c>
      <c r="G3086">
        <v>18.913043478260899</v>
      </c>
      <c r="H3086">
        <v>1</v>
      </c>
      <c r="I3086">
        <v>0.52483489999999999</v>
      </c>
      <c r="J3086">
        <v>2016</v>
      </c>
      <c r="K3086">
        <v>1</v>
      </c>
      <c r="L3086">
        <v>15</v>
      </c>
      <c r="M3086" t="s">
        <v>91</v>
      </c>
      <c r="N3086">
        <v>0</v>
      </c>
      <c r="O3086">
        <v>0</v>
      </c>
    </row>
    <row r="3087" spans="1:15" x14ac:dyDescent="0.3">
      <c r="A3087">
        <v>3182</v>
      </c>
      <c r="B3087" s="34">
        <v>42387</v>
      </c>
      <c r="C3087">
        <v>1.0913200000000001</v>
      </c>
      <c r="D3087">
        <v>0</v>
      </c>
      <c r="F3087">
        <v>0.45878999999999798</v>
      </c>
      <c r="G3087">
        <v>18.913043478260899</v>
      </c>
      <c r="H3087">
        <v>0</v>
      </c>
      <c r="I3087">
        <v>0.52466999999999997</v>
      </c>
      <c r="J3087">
        <v>2016</v>
      </c>
      <c r="K3087">
        <v>1</v>
      </c>
      <c r="L3087">
        <v>18</v>
      </c>
      <c r="M3087" t="s">
        <v>92</v>
      </c>
      <c r="N3087">
        <v>0</v>
      </c>
      <c r="O3087">
        <v>0</v>
      </c>
    </row>
    <row r="3088" spans="1:15" x14ac:dyDescent="0.3">
      <c r="A3088">
        <v>3183</v>
      </c>
      <c r="B3088" s="34">
        <v>42388</v>
      </c>
      <c r="C3088">
        <v>1.08941</v>
      </c>
      <c r="D3088">
        <v>0</v>
      </c>
      <c r="F3088">
        <v>0.45878999999999798</v>
      </c>
      <c r="G3088">
        <v>18.913043478260899</v>
      </c>
      <c r="H3088">
        <v>1</v>
      </c>
      <c r="I3088">
        <v>0.52481940000000005</v>
      </c>
      <c r="J3088">
        <v>2016</v>
      </c>
      <c r="K3088">
        <v>1</v>
      </c>
      <c r="L3088">
        <v>19</v>
      </c>
      <c r="M3088" t="s">
        <v>93</v>
      </c>
      <c r="N3088">
        <v>0</v>
      </c>
      <c r="O3088">
        <v>0</v>
      </c>
    </row>
    <row r="3089" spans="1:15" x14ac:dyDescent="0.3">
      <c r="A3089">
        <v>3184</v>
      </c>
      <c r="B3089" s="34">
        <v>42389</v>
      </c>
      <c r="C3089">
        <v>1.0906499999999999</v>
      </c>
      <c r="D3089">
        <v>0</v>
      </c>
      <c r="F3089">
        <v>0.45878999999999798</v>
      </c>
      <c r="G3089">
        <v>18.913043478260899</v>
      </c>
      <c r="H3089">
        <v>0</v>
      </c>
      <c r="I3089">
        <v>0.52465450000000002</v>
      </c>
      <c r="J3089">
        <v>2016</v>
      </c>
      <c r="K3089">
        <v>1</v>
      </c>
      <c r="L3089">
        <v>20</v>
      </c>
      <c r="M3089" t="s">
        <v>89</v>
      </c>
      <c r="N3089">
        <v>0</v>
      </c>
      <c r="O3089">
        <v>0</v>
      </c>
    </row>
    <row r="3090" spans="1:15" x14ac:dyDescent="0.3">
      <c r="A3090">
        <v>3185</v>
      </c>
      <c r="B3090" s="34">
        <v>42390</v>
      </c>
      <c r="C3090">
        <v>1.08883</v>
      </c>
      <c r="D3090">
        <v>0</v>
      </c>
      <c r="F3090">
        <v>0.45878999999999798</v>
      </c>
      <c r="G3090">
        <v>18.913043478260899</v>
      </c>
      <c r="H3090">
        <v>1</v>
      </c>
      <c r="I3090">
        <v>0.52480380000000004</v>
      </c>
      <c r="J3090">
        <v>2016</v>
      </c>
      <c r="K3090">
        <v>1</v>
      </c>
      <c r="L3090">
        <v>21</v>
      </c>
      <c r="M3090" t="s">
        <v>90</v>
      </c>
      <c r="N3090">
        <v>0</v>
      </c>
      <c r="O3090">
        <v>0</v>
      </c>
    </row>
    <row r="3091" spans="1:15" x14ac:dyDescent="0.3">
      <c r="A3091">
        <v>3186</v>
      </c>
      <c r="B3091" s="34">
        <v>42391</v>
      </c>
      <c r="C3091">
        <v>1.0872599999999999</v>
      </c>
      <c r="D3091">
        <v>0</v>
      </c>
      <c r="F3091">
        <v>0.45878999999999798</v>
      </c>
      <c r="G3091">
        <v>18.913043478260899</v>
      </c>
      <c r="H3091">
        <v>1</v>
      </c>
      <c r="I3091">
        <v>0.52495289999999994</v>
      </c>
      <c r="J3091">
        <v>2016</v>
      </c>
      <c r="K3091">
        <v>1</v>
      </c>
      <c r="L3091">
        <v>22</v>
      </c>
      <c r="M3091" t="s">
        <v>91</v>
      </c>
      <c r="N3091">
        <v>0</v>
      </c>
      <c r="O3091">
        <v>0</v>
      </c>
    </row>
    <row r="3092" spans="1:15" x14ac:dyDescent="0.3">
      <c r="A3092">
        <v>3187</v>
      </c>
      <c r="B3092" s="34">
        <v>42394</v>
      </c>
      <c r="C3092">
        <v>1.07965</v>
      </c>
      <c r="D3092">
        <v>0</v>
      </c>
      <c r="F3092">
        <v>0.45878999999999798</v>
      </c>
      <c r="G3092">
        <v>18.913043478260899</v>
      </c>
      <c r="H3092">
        <v>0</v>
      </c>
      <c r="I3092">
        <v>0.52478820000000004</v>
      </c>
      <c r="J3092">
        <v>2016</v>
      </c>
      <c r="K3092">
        <v>1</v>
      </c>
      <c r="L3092">
        <v>25</v>
      </c>
      <c r="M3092" t="s">
        <v>92</v>
      </c>
      <c r="N3092">
        <v>0</v>
      </c>
      <c r="O3092">
        <v>0</v>
      </c>
    </row>
    <row r="3093" spans="1:15" x14ac:dyDescent="0.3">
      <c r="A3093">
        <v>3188</v>
      </c>
      <c r="B3093" s="34">
        <v>42395</v>
      </c>
      <c r="C3093">
        <v>1.0847500000000001</v>
      </c>
      <c r="D3093">
        <v>0</v>
      </c>
      <c r="F3093">
        <v>0.45878999999999798</v>
      </c>
      <c r="G3093">
        <v>18.913043478260899</v>
      </c>
      <c r="H3093">
        <v>1</v>
      </c>
      <c r="I3093">
        <v>0.52493730000000005</v>
      </c>
      <c r="J3093">
        <v>2016</v>
      </c>
      <c r="K3093">
        <v>1</v>
      </c>
      <c r="L3093">
        <v>26</v>
      </c>
      <c r="M3093" t="s">
        <v>93</v>
      </c>
      <c r="N3093">
        <v>0</v>
      </c>
      <c r="O3093">
        <v>0</v>
      </c>
    </row>
    <row r="3094" spans="1:15" x14ac:dyDescent="0.3">
      <c r="A3094">
        <v>3189</v>
      </c>
      <c r="B3094" s="34">
        <v>42396</v>
      </c>
      <c r="C3094">
        <v>1.08683</v>
      </c>
      <c r="D3094">
        <v>0</v>
      </c>
      <c r="F3094">
        <v>0.45878999999999798</v>
      </c>
      <c r="G3094">
        <v>18.913043478260899</v>
      </c>
      <c r="H3094">
        <v>0</v>
      </c>
      <c r="I3094">
        <v>0.52477260000000003</v>
      </c>
      <c r="J3094">
        <v>2016</v>
      </c>
      <c r="K3094">
        <v>1</v>
      </c>
      <c r="L3094">
        <v>27</v>
      </c>
      <c r="M3094" t="s">
        <v>89</v>
      </c>
      <c r="N3094">
        <v>0</v>
      </c>
      <c r="O3094">
        <v>0</v>
      </c>
    </row>
    <row r="3095" spans="1:15" x14ac:dyDescent="0.3">
      <c r="A3095">
        <v>3190</v>
      </c>
      <c r="B3095" s="34">
        <v>42397</v>
      </c>
      <c r="C3095">
        <v>1.0891999999999999</v>
      </c>
      <c r="D3095">
        <v>0</v>
      </c>
      <c r="F3095">
        <v>0.45878999999999798</v>
      </c>
      <c r="G3095">
        <v>18.913043478260899</v>
      </c>
      <c r="H3095">
        <v>0</v>
      </c>
      <c r="I3095">
        <v>0.52460810000000002</v>
      </c>
      <c r="J3095">
        <v>2016</v>
      </c>
      <c r="K3095">
        <v>1</v>
      </c>
      <c r="L3095">
        <v>28</v>
      </c>
      <c r="M3095" t="s">
        <v>90</v>
      </c>
      <c r="N3095">
        <v>0</v>
      </c>
      <c r="O3095">
        <v>0</v>
      </c>
    </row>
    <row r="3096" spans="1:15" x14ac:dyDescent="0.3">
      <c r="A3096">
        <v>3191</v>
      </c>
      <c r="B3096" s="34">
        <v>42398</v>
      </c>
      <c r="C3096">
        <v>1.0939000000000001</v>
      </c>
      <c r="D3096">
        <v>0</v>
      </c>
      <c r="F3096">
        <v>0.45878999999999798</v>
      </c>
      <c r="G3096">
        <v>18.913043478260899</v>
      </c>
      <c r="H3096">
        <v>0</v>
      </c>
      <c r="I3096">
        <v>0.52444369999999996</v>
      </c>
      <c r="J3096">
        <v>2016</v>
      </c>
      <c r="K3096">
        <v>1</v>
      </c>
      <c r="L3096">
        <v>29</v>
      </c>
      <c r="M3096" t="s">
        <v>91</v>
      </c>
      <c r="N3096">
        <v>0</v>
      </c>
      <c r="O3096">
        <v>0</v>
      </c>
    </row>
    <row r="3097" spans="1:15" x14ac:dyDescent="0.3">
      <c r="A3097">
        <v>3192</v>
      </c>
      <c r="B3097" s="34">
        <v>42401</v>
      </c>
      <c r="C3097">
        <v>1.083</v>
      </c>
      <c r="D3097">
        <v>0</v>
      </c>
      <c r="F3097">
        <v>0.45878999999999798</v>
      </c>
      <c r="G3097">
        <v>18.913043478260899</v>
      </c>
      <c r="H3097">
        <v>1</v>
      </c>
      <c r="I3097">
        <v>0.52459279999999997</v>
      </c>
      <c r="J3097">
        <v>2016</v>
      </c>
      <c r="K3097">
        <v>2</v>
      </c>
      <c r="L3097">
        <v>1</v>
      </c>
      <c r="M3097" t="s">
        <v>92</v>
      </c>
      <c r="N3097">
        <v>0</v>
      </c>
      <c r="O3097">
        <v>0</v>
      </c>
    </row>
    <row r="3098" spans="1:15" x14ac:dyDescent="0.3">
      <c r="A3098">
        <v>3193</v>
      </c>
      <c r="B3098" s="34">
        <v>42402</v>
      </c>
      <c r="C3098">
        <v>1.08873</v>
      </c>
      <c r="D3098">
        <v>0</v>
      </c>
      <c r="F3098">
        <v>0.45878999999999798</v>
      </c>
      <c r="G3098">
        <v>18.913043478260899</v>
      </c>
      <c r="H3098">
        <v>1</v>
      </c>
      <c r="I3098">
        <v>0.52474160000000003</v>
      </c>
      <c r="J3098">
        <v>2016</v>
      </c>
      <c r="K3098">
        <v>2</v>
      </c>
      <c r="L3098">
        <v>2</v>
      </c>
      <c r="M3098" t="s">
        <v>93</v>
      </c>
      <c r="N3098">
        <v>0</v>
      </c>
      <c r="O3098">
        <v>0</v>
      </c>
    </row>
    <row r="3099" spans="1:15" x14ac:dyDescent="0.3">
      <c r="A3099">
        <v>3194</v>
      </c>
      <c r="B3099" s="34">
        <v>42403</v>
      </c>
      <c r="C3099">
        <v>1.0917699999999999</v>
      </c>
      <c r="D3099">
        <v>0</v>
      </c>
      <c r="F3099">
        <v>0.45878999999999798</v>
      </c>
      <c r="G3099">
        <v>18.913043478260899</v>
      </c>
      <c r="H3099">
        <v>0</v>
      </c>
      <c r="I3099">
        <v>0.52457730000000002</v>
      </c>
      <c r="J3099">
        <v>2016</v>
      </c>
      <c r="K3099">
        <v>2</v>
      </c>
      <c r="L3099">
        <v>3</v>
      </c>
      <c r="M3099" t="s">
        <v>89</v>
      </c>
      <c r="N3099">
        <v>0</v>
      </c>
      <c r="O3099">
        <v>0</v>
      </c>
    </row>
    <row r="3100" spans="1:15" x14ac:dyDescent="0.3">
      <c r="A3100">
        <v>3195</v>
      </c>
      <c r="B3100" s="34">
        <v>42404</v>
      </c>
      <c r="C3100">
        <v>1.1101700000000001</v>
      </c>
      <c r="D3100">
        <v>0</v>
      </c>
      <c r="F3100">
        <v>0.45878999999999798</v>
      </c>
      <c r="G3100">
        <v>18.913043478260899</v>
      </c>
      <c r="H3100">
        <v>0</v>
      </c>
      <c r="I3100">
        <v>0.52441320000000002</v>
      </c>
      <c r="J3100">
        <v>2016</v>
      </c>
      <c r="K3100">
        <v>2</v>
      </c>
      <c r="L3100">
        <v>4</v>
      </c>
      <c r="M3100" t="s">
        <v>90</v>
      </c>
      <c r="N3100">
        <v>0</v>
      </c>
      <c r="O3100">
        <v>0</v>
      </c>
    </row>
    <row r="3101" spans="1:15" x14ac:dyDescent="0.3">
      <c r="A3101">
        <v>3196</v>
      </c>
      <c r="B3101" s="34">
        <v>42405</v>
      </c>
      <c r="C3101">
        <v>1.1206700000000001</v>
      </c>
      <c r="D3101">
        <v>0</v>
      </c>
      <c r="F3101">
        <v>0.45878999999999798</v>
      </c>
      <c r="G3101">
        <v>18.913043478260899</v>
      </c>
      <c r="H3101">
        <v>0</v>
      </c>
      <c r="I3101">
        <v>0.52424910000000002</v>
      </c>
      <c r="J3101">
        <v>2016</v>
      </c>
      <c r="K3101">
        <v>2</v>
      </c>
      <c r="L3101">
        <v>5</v>
      </c>
      <c r="M3101" t="s">
        <v>91</v>
      </c>
      <c r="N3101">
        <v>0</v>
      </c>
      <c r="O3101">
        <v>0</v>
      </c>
    </row>
    <row r="3102" spans="1:15" x14ac:dyDescent="0.3">
      <c r="A3102">
        <v>3197</v>
      </c>
      <c r="B3102" s="34">
        <v>42408</v>
      </c>
      <c r="C3102">
        <v>1.11578</v>
      </c>
      <c r="D3102">
        <v>0</v>
      </c>
      <c r="F3102">
        <v>0.45878999999999798</v>
      </c>
      <c r="G3102">
        <v>18.913043478260899</v>
      </c>
      <c r="H3102">
        <v>1</v>
      </c>
      <c r="I3102">
        <v>0.52439789999999997</v>
      </c>
      <c r="J3102">
        <v>2016</v>
      </c>
      <c r="K3102">
        <v>2</v>
      </c>
      <c r="L3102">
        <v>8</v>
      </c>
      <c r="M3102" t="s">
        <v>92</v>
      </c>
      <c r="N3102">
        <v>0</v>
      </c>
      <c r="O3102">
        <v>0</v>
      </c>
    </row>
    <row r="3103" spans="1:15" x14ac:dyDescent="0.3">
      <c r="A3103">
        <v>3198</v>
      </c>
      <c r="B3103" s="34">
        <v>42409</v>
      </c>
      <c r="C3103">
        <v>1.1191199999999999</v>
      </c>
      <c r="D3103">
        <v>0</v>
      </c>
      <c r="F3103">
        <v>0.45878999999999798</v>
      </c>
      <c r="G3103">
        <v>18.913043478260899</v>
      </c>
      <c r="H3103">
        <v>0</v>
      </c>
      <c r="I3103">
        <v>0.52423390000000003</v>
      </c>
      <c r="J3103">
        <v>2016</v>
      </c>
      <c r="K3103">
        <v>2</v>
      </c>
      <c r="L3103">
        <v>9</v>
      </c>
      <c r="M3103" t="s">
        <v>93</v>
      </c>
      <c r="N3103">
        <v>0</v>
      </c>
      <c r="O3103">
        <v>0</v>
      </c>
    </row>
    <row r="3104" spans="1:15" x14ac:dyDescent="0.3">
      <c r="A3104">
        <v>3199</v>
      </c>
      <c r="B3104" s="34">
        <v>42410</v>
      </c>
      <c r="C3104">
        <v>1.1294</v>
      </c>
      <c r="D3104">
        <v>0</v>
      </c>
      <c r="F3104">
        <v>0.45878999999999798</v>
      </c>
      <c r="G3104">
        <v>18.913043478260899</v>
      </c>
      <c r="H3104">
        <v>0</v>
      </c>
      <c r="I3104">
        <v>0.52407000000000004</v>
      </c>
      <c r="J3104">
        <v>2016</v>
      </c>
      <c r="K3104">
        <v>2</v>
      </c>
      <c r="L3104">
        <v>10</v>
      </c>
      <c r="M3104" t="s">
        <v>89</v>
      </c>
      <c r="N3104">
        <v>0</v>
      </c>
      <c r="O3104">
        <v>0</v>
      </c>
    </row>
    <row r="3105" spans="1:15" x14ac:dyDescent="0.3">
      <c r="A3105">
        <v>3200</v>
      </c>
      <c r="B3105" s="34">
        <v>42411</v>
      </c>
      <c r="C3105">
        <v>1.1288899999999999</v>
      </c>
      <c r="D3105">
        <v>-1</v>
      </c>
      <c r="F3105">
        <v>0.45549999999999802</v>
      </c>
      <c r="G3105">
        <v>19.494521032166801</v>
      </c>
      <c r="H3105">
        <v>1</v>
      </c>
      <c r="I3105">
        <v>0.52421870000000004</v>
      </c>
      <c r="J3105">
        <v>2016</v>
      </c>
      <c r="K3105">
        <v>2</v>
      </c>
      <c r="L3105">
        <v>11</v>
      </c>
      <c r="M3105" t="s">
        <v>90</v>
      </c>
      <c r="N3105">
        <v>0</v>
      </c>
      <c r="O3105">
        <v>0</v>
      </c>
    </row>
    <row r="3106" spans="1:15" x14ac:dyDescent="0.3">
      <c r="A3106">
        <v>3201</v>
      </c>
      <c r="B3106" s="34">
        <v>42412</v>
      </c>
      <c r="C3106">
        <v>1.13218</v>
      </c>
      <c r="D3106">
        <v>0</v>
      </c>
      <c r="F3106">
        <v>0.45549999999999802</v>
      </c>
      <c r="G3106">
        <v>19.494521032166801</v>
      </c>
      <c r="H3106">
        <v>0</v>
      </c>
      <c r="I3106">
        <v>0.52405500000000005</v>
      </c>
      <c r="J3106">
        <v>2016</v>
      </c>
      <c r="K3106">
        <v>2</v>
      </c>
      <c r="L3106">
        <v>12</v>
      </c>
      <c r="M3106" t="s">
        <v>91</v>
      </c>
      <c r="N3106">
        <v>0</v>
      </c>
      <c r="O3106">
        <v>0</v>
      </c>
    </row>
    <row r="3107" spans="1:15" x14ac:dyDescent="0.3">
      <c r="A3107">
        <v>3202</v>
      </c>
      <c r="B3107" s="34">
        <v>42415</v>
      </c>
      <c r="C3107">
        <v>1.12503</v>
      </c>
      <c r="D3107">
        <v>0</v>
      </c>
      <c r="F3107">
        <v>0.45549999999999802</v>
      </c>
      <c r="G3107">
        <v>19.494521032166801</v>
      </c>
      <c r="H3107">
        <v>1</v>
      </c>
      <c r="I3107">
        <v>0.52420359999999999</v>
      </c>
      <c r="J3107">
        <v>2016</v>
      </c>
      <c r="K3107">
        <v>2</v>
      </c>
      <c r="L3107">
        <v>15</v>
      </c>
      <c r="M3107" t="s">
        <v>92</v>
      </c>
      <c r="N3107">
        <v>0</v>
      </c>
      <c r="O3107">
        <v>0</v>
      </c>
    </row>
    <row r="3108" spans="1:15" x14ac:dyDescent="0.3">
      <c r="A3108">
        <v>3203</v>
      </c>
      <c r="B3108" s="34">
        <v>42416</v>
      </c>
      <c r="C3108">
        <v>1.11531</v>
      </c>
      <c r="D3108">
        <v>0</v>
      </c>
      <c r="F3108">
        <v>0.45549999999999802</v>
      </c>
      <c r="G3108">
        <v>19.494521032166801</v>
      </c>
      <c r="H3108">
        <v>1</v>
      </c>
      <c r="I3108">
        <v>0.52435220000000005</v>
      </c>
      <c r="J3108">
        <v>2016</v>
      </c>
      <c r="K3108">
        <v>2</v>
      </c>
      <c r="L3108">
        <v>16</v>
      </c>
      <c r="M3108" t="s">
        <v>93</v>
      </c>
      <c r="N3108">
        <v>0</v>
      </c>
      <c r="O3108">
        <v>0</v>
      </c>
    </row>
    <row r="3109" spans="1:15" x14ac:dyDescent="0.3">
      <c r="A3109">
        <v>3204</v>
      </c>
      <c r="B3109" s="34">
        <v>42417</v>
      </c>
      <c r="C3109">
        <v>1.1142300000000001</v>
      </c>
      <c r="D3109">
        <v>0</v>
      </c>
      <c r="F3109">
        <v>0.45549999999999802</v>
      </c>
      <c r="G3109">
        <v>19.494521032166801</v>
      </c>
      <c r="H3109">
        <v>0</v>
      </c>
      <c r="I3109">
        <v>0.52418849999999995</v>
      </c>
      <c r="J3109">
        <v>2016</v>
      </c>
      <c r="K3109">
        <v>2</v>
      </c>
      <c r="L3109">
        <v>17</v>
      </c>
      <c r="M3109" t="s">
        <v>89</v>
      </c>
      <c r="N3109">
        <v>0</v>
      </c>
      <c r="O3109">
        <v>0</v>
      </c>
    </row>
    <row r="3110" spans="1:15" x14ac:dyDescent="0.3">
      <c r="A3110">
        <v>3205</v>
      </c>
      <c r="B3110" s="34">
        <v>42418</v>
      </c>
      <c r="C3110">
        <v>1.11267</v>
      </c>
      <c r="D3110">
        <v>0</v>
      </c>
      <c r="F3110">
        <v>0.45549999999999802</v>
      </c>
      <c r="G3110">
        <v>19.494521032166801</v>
      </c>
      <c r="H3110">
        <v>0</v>
      </c>
      <c r="I3110">
        <v>0.52402499999999996</v>
      </c>
      <c r="J3110">
        <v>2016</v>
      </c>
      <c r="K3110">
        <v>2</v>
      </c>
      <c r="L3110">
        <v>18</v>
      </c>
      <c r="M3110" t="s">
        <v>90</v>
      </c>
      <c r="N3110">
        <v>0</v>
      </c>
      <c r="O3110">
        <v>0</v>
      </c>
    </row>
    <row r="3111" spans="1:15" x14ac:dyDescent="0.3">
      <c r="A3111">
        <v>3206</v>
      </c>
      <c r="B3111" s="34">
        <v>42419</v>
      </c>
      <c r="C3111">
        <v>1.1105799999999999</v>
      </c>
      <c r="D3111">
        <v>0</v>
      </c>
      <c r="F3111">
        <v>0.45549999999999802</v>
      </c>
      <c r="G3111">
        <v>19.494521032166801</v>
      </c>
      <c r="H3111">
        <v>0</v>
      </c>
      <c r="I3111">
        <v>0.52386149999999998</v>
      </c>
      <c r="J3111">
        <v>2016</v>
      </c>
      <c r="K3111">
        <v>2</v>
      </c>
      <c r="L3111">
        <v>19</v>
      </c>
      <c r="M3111" t="s">
        <v>91</v>
      </c>
      <c r="N3111">
        <v>0</v>
      </c>
      <c r="O3111">
        <v>0</v>
      </c>
    </row>
    <row r="3112" spans="1:15" x14ac:dyDescent="0.3">
      <c r="A3112">
        <v>3207</v>
      </c>
      <c r="B3112" s="34">
        <v>42422</v>
      </c>
      <c r="C3112">
        <v>1.1127899999999999</v>
      </c>
      <c r="D3112">
        <v>0</v>
      </c>
      <c r="F3112">
        <v>0.45549999999999802</v>
      </c>
      <c r="G3112">
        <v>19.494521032166801</v>
      </c>
      <c r="H3112">
        <v>1</v>
      </c>
      <c r="I3112">
        <v>0.52400999999999998</v>
      </c>
      <c r="J3112">
        <v>2016</v>
      </c>
      <c r="K3112">
        <v>2</v>
      </c>
      <c r="L3112">
        <v>22</v>
      </c>
      <c r="M3112" t="s">
        <v>92</v>
      </c>
      <c r="N3112">
        <v>0</v>
      </c>
      <c r="O3112">
        <v>0</v>
      </c>
    </row>
    <row r="3113" spans="1:15" x14ac:dyDescent="0.3">
      <c r="A3113">
        <v>3208</v>
      </c>
      <c r="B3113" s="34">
        <v>42423</v>
      </c>
      <c r="C3113">
        <v>1.1028100000000001</v>
      </c>
      <c r="D3113">
        <v>0</v>
      </c>
      <c r="F3113">
        <v>0.45549999999999802</v>
      </c>
      <c r="G3113">
        <v>19.494521032166801</v>
      </c>
      <c r="H3113">
        <v>1</v>
      </c>
      <c r="I3113">
        <v>0.52415840000000002</v>
      </c>
      <c r="J3113">
        <v>2016</v>
      </c>
      <c r="K3113">
        <v>2</v>
      </c>
      <c r="L3113">
        <v>23</v>
      </c>
      <c r="M3113" t="s">
        <v>93</v>
      </c>
      <c r="N3113">
        <v>0</v>
      </c>
      <c r="O3113">
        <v>0</v>
      </c>
    </row>
    <row r="3114" spans="1:15" x14ac:dyDescent="0.3">
      <c r="A3114">
        <v>3209</v>
      </c>
      <c r="B3114" s="34">
        <v>42424</v>
      </c>
      <c r="C3114">
        <v>1.1017999999999999</v>
      </c>
      <c r="D3114">
        <v>0</v>
      </c>
      <c r="F3114">
        <v>0.45549999999999802</v>
      </c>
      <c r="G3114">
        <v>19.494521032166801</v>
      </c>
      <c r="H3114">
        <v>0</v>
      </c>
      <c r="I3114">
        <v>0.52399499999999999</v>
      </c>
      <c r="J3114">
        <v>2016</v>
      </c>
      <c r="K3114">
        <v>2</v>
      </c>
      <c r="L3114">
        <v>24</v>
      </c>
      <c r="M3114" t="s">
        <v>89</v>
      </c>
      <c r="N3114">
        <v>0</v>
      </c>
      <c r="O3114">
        <v>0</v>
      </c>
    </row>
    <row r="3115" spans="1:15" x14ac:dyDescent="0.3">
      <c r="A3115">
        <v>3210</v>
      </c>
      <c r="B3115" s="34">
        <v>42425</v>
      </c>
      <c r="C3115">
        <v>1.1011599999999999</v>
      </c>
      <c r="D3115">
        <v>0</v>
      </c>
      <c r="F3115">
        <v>0.45549999999999802</v>
      </c>
      <c r="G3115">
        <v>19.494521032166801</v>
      </c>
      <c r="H3115">
        <v>0</v>
      </c>
      <c r="I3115">
        <v>0.52383179999999996</v>
      </c>
      <c r="J3115">
        <v>2016</v>
      </c>
      <c r="K3115">
        <v>2</v>
      </c>
      <c r="L3115">
        <v>25</v>
      </c>
      <c r="M3115" t="s">
        <v>90</v>
      </c>
      <c r="N3115">
        <v>0</v>
      </c>
      <c r="O3115">
        <v>0</v>
      </c>
    </row>
    <row r="3116" spans="1:15" x14ac:dyDescent="0.3">
      <c r="A3116">
        <v>3211</v>
      </c>
      <c r="B3116" s="34">
        <v>42426</v>
      </c>
      <c r="C3116">
        <v>1.10168</v>
      </c>
      <c r="D3116">
        <v>0</v>
      </c>
      <c r="F3116">
        <v>0.45549999999999802</v>
      </c>
      <c r="G3116">
        <v>19.494521032166801</v>
      </c>
      <c r="H3116">
        <v>1</v>
      </c>
      <c r="I3116">
        <v>0.52398009999999995</v>
      </c>
      <c r="J3116">
        <v>2016</v>
      </c>
      <c r="K3116">
        <v>2</v>
      </c>
      <c r="L3116">
        <v>26</v>
      </c>
      <c r="M3116" t="s">
        <v>91</v>
      </c>
      <c r="N3116">
        <v>0</v>
      </c>
      <c r="O3116">
        <v>0</v>
      </c>
    </row>
    <row r="3117" spans="1:15" x14ac:dyDescent="0.3">
      <c r="A3117">
        <v>3212</v>
      </c>
      <c r="B3117" s="34">
        <v>42429</v>
      </c>
      <c r="C3117">
        <v>1.0928899999999999</v>
      </c>
      <c r="D3117">
        <v>0</v>
      </c>
      <c r="F3117">
        <v>0.45549999999999802</v>
      </c>
      <c r="G3117">
        <v>19.494521032166801</v>
      </c>
      <c r="H3117">
        <v>1</v>
      </c>
      <c r="I3117">
        <v>0.52412829999999999</v>
      </c>
      <c r="J3117">
        <v>2016</v>
      </c>
      <c r="K3117">
        <v>2</v>
      </c>
      <c r="L3117">
        <v>29</v>
      </c>
      <c r="M3117" t="s">
        <v>92</v>
      </c>
      <c r="N3117">
        <v>0</v>
      </c>
      <c r="O3117">
        <v>0</v>
      </c>
    </row>
    <row r="3118" spans="1:15" x14ac:dyDescent="0.3">
      <c r="A3118">
        <v>3213</v>
      </c>
      <c r="B3118" s="34">
        <v>42430</v>
      </c>
      <c r="C3118">
        <v>1.08718</v>
      </c>
      <c r="D3118">
        <v>0</v>
      </c>
      <c r="F3118">
        <v>0.45549999999999802</v>
      </c>
      <c r="G3118">
        <v>19.494521032166801</v>
      </c>
      <c r="H3118">
        <v>0</v>
      </c>
      <c r="I3118">
        <v>0.52396509999999996</v>
      </c>
      <c r="J3118">
        <v>2016</v>
      </c>
      <c r="K3118">
        <v>3</v>
      </c>
      <c r="L3118">
        <v>1</v>
      </c>
      <c r="M3118" t="s">
        <v>93</v>
      </c>
      <c r="N3118">
        <v>0</v>
      </c>
      <c r="O3118">
        <v>0</v>
      </c>
    </row>
    <row r="3119" spans="1:15" x14ac:dyDescent="0.3">
      <c r="A3119">
        <v>3214</v>
      </c>
      <c r="B3119" s="34">
        <v>42431</v>
      </c>
      <c r="C3119">
        <v>1.08656</v>
      </c>
      <c r="D3119">
        <v>0</v>
      </c>
      <c r="F3119">
        <v>0.45549999999999802</v>
      </c>
      <c r="G3119">
        <v>19.494521032166801</v>
      </c>
      <c r="H3119">
        <v>0</v>
      </c>
      <c r="I3119">
        <v>0.52380210000000005</v>
      </c>
      <c r="J3119">
        <v>2016</v>
      </c>
      <c r="K3119">
        <v>3</v>
      </c>
      <c r="L3119">
        <v>2</v>
      </c>
      <c r="M3119" t="s">
        <v>89</v>
      </c>
      <c r="N3119">
        <v>0</v>
      </c>
      <c r="O3119">
        <v>0</v>
      </c>
    </row>
    <row r="3120" spans="1:15" x14ac:dyDescent="0.3">
      <c r="A3120">
        <v>3215</v>
      </c>
      <c r="B3120" s="34">
        <v>42432</v>
      </c>
      <c r="C3120">
        <v>1.0867199999999999</v>
      </c>
      <c r="D3120">
        <v>0</v>
      </c>
      <c r="F3120">
        <v>0.45549999999999802</v>
      </c>
      <c r="G3120">
        <v>19.494521032166801</v>
      </c>
      <c r="H3120">
        <v>1</v>
      </c>
      <c r="I3120">
        <v>0.52395020000000003</v>
      </c>
      <c r="J3120">
        <v>2016</v>
      </c>
      <c r="K3120">
        <v>3</v>
      </c>
      <c r="L3120">
        <v>3</v>
      </c>
      <c r="M3120" t="s">
        <v>90</v>
      </c>
      <c r="N3120">
        <v>0</v>
      </c>
      <c r="O3120">
        <v>0</v>
      </c>
    </row>
    <row r="3121" spans="1:15" x14ac:dyDescent="0.3">
      <c r="A3121">
        <v>3216</v>
      </c>
      <c r="B3121" s="34">
        <v>42433</v>
      </c>
      <c r="C3121">
        <v>1.0955600000000001</v>
      </c>
      <c r="D3121">
        <v>0</v>
      </c>
      <c r="F3121">
        <v>0.45549999999999802</v>
      </c>
      <c r="G3121">
        <v>19.494521032166801</v>
      </c>
      <c r="H3121">
        <v>0</v>
      </c>
      <c r="I3121">
        <v>0.52378729999999996</v>
      </c>
      <c r="J3121">
        <v>2016</v>
      </c>
      <c r="K3121">
        <v>3</v>
      </c>
      <c r="L3121">
        <v>4</v>
      </c>
      <c r="M3121" t="s">
        <v>91</v>
      </c>
      <c r="N3121">
        <v>0</v>
      </c>
      <c r="O3121">
        <v>0</v>
      </c>
    </row>
    <row r="3122" spans="1:15" x14ac:dyDescent="0.3">
      <c r="A3122">
        <v>3217</v>
      </c>
      <c r="B3122" s="34">
        <v>42436</v>
      </c>
      <c r="C3122">
        <v>1.1006400000000001</v>
      </c>
      <c r="D3122">
        <v>0</v>
      </c>
      <c r="F3122">
        <v>0.45549999999999802</v>
      </c>
      <c r="G3122">
        <v>19.494521032166801</v>
      </c>
      <c r="H3122">
        <v>0</v>
      </c>
      <c r="I3122">
        <v>0.52362450000000005</v>
      </c>
      <c r="J3122">
        <v>2016</v>
      </c>
      <c r="K3122">
        <v>3</v>
      </c>
      <c r="L3122">
        <v>7</v>
      </c>
      <c r="M3122" t="s">
        <v>92</v>
      </c>
      <c r="N3122">
        <v>0</v>
      </c>
      <c r="O3122">
        <v>0</v>
      </c>
    </row>
    <row r="3123" spans="1:15" x14ac:dyDescent="0.3">
      <c r="A3123">
        <v>3218</v>
      </c>
      <c r="B3123" s="34">
        <v>42437</v>
      </c>
      <c r="C3123">
        <v>1.10121</v>
      </c>
      <c r="D3123">
        <v>0</v>
      </c>
      <c r="F3123">
        <v>0.45549999999999802</v>
      </c>
      <c r="G3123">
        <v>19.494521032166801</v>
      </c>
      <c r="H3123">
        <v>0</v>
      </c>
      <c r="I3123">
        <v>0.52346179999999998</v>
      </c>
      <c r="J3123">
        <v>2016</v>
      </c>
      <c r="K3123">
        <v>3</v>
      </c>
      <c r="L3123">
        <v>8</v>
      </c>
      <c r="M3123" t="s">
        <v>93</v>
      </c>
      <c r="N3123">
        <v>0</v>
      </c>
      <c r="O3123">
        <v>0</v>
      </c>
    </row>
    <row r="3124" spans="1:15" x14ac:dyDescent="0.3">
      <c r="A3124">
        <v>3219</v>
      </c>
      <c r="B3124" s="34">
        <v>42438</v>
      </c>
      <c r="C3124">
        <v>1.1009599999999999</v>
      </c>
      <c r="D3124">
        <v>0</v>
      </c>
      <c r="F3124">
        <v>0.45549999999999802</v>
      </c>
      <c r="G3124">
        <v>19.494521032166801</v>
      </c>
      <c r="H3124">
        <v>1</v>
      </c>
      <c r="I3124">
        <v>0.52360980000000001</v>
      </c>
      <c r="J3124">
        <v>2016</v>
      </c>
      <c r="K3124">
        <v>3</v>
      </c>
      <c r="L3124">
        <v>9</v>
      </c>
      <c r="M3124" t="s">
        <v>89</v>
      </c>
      <c r="N3124">
        <v>0</v>
      </c>
      <c r="O3124">
        <v>0</v>
      </c>
    </row>
    <row r="3125" spans="1:15" x14ac:dyDescent="0.3">
      <c r="A3125">
        <v>3220</v>
      </c>
      <c r="B3125" s="34">
        <v>42439</v>
      </c>
      <c r="C3125">
        <v>1.09981</v>
      </c>
      <c r="D3125">
        <v>0</v>
      </c>
      <c r="F3125">
        <v>0.45549999999999802</v>
      </c>
      <c r="G3125">
        <v>19.494521032166801</v>
      </c>
      <c r="H3125">
        <v>1</v>
      </c>
      <c r="I3125">
        <v>0.52375780000000005</v>
      </c>
      <c r="J3125">
        <v>2016</v>
      </c>
      <c r="K3125">
        <v>3</v>
      </c>
      <c r="L3125">
        <v>10</v>
      </c>
      <c r="M3125" t="s">
        <v>90</v>
      </c>
      <c r="N3125">
        <v>0</v>
      </c>
      <c r="O3125">
        <v>0</v>
      </c>
    </row>
    <row r="3126" spans="1:15" x14ac:dyDescent="0.3">
      <c r="A3126">
        <v>3221</v>
      </c>
      <c r="B3126" s="34">
        <v>42440</v>
      </c>
      <c r="C3126">
        <v>1.1175900000000001</v>
      </c>
      <c r="D3126">
        <v>0</v>
      </c>
      <c r="F3126">
        <v>0.45549999999999802</v>
      </c>
      <c r="G3126">
        <v>19.494521032166801</v>
      </c>
      <c r="H3126">
        <v>0</v>
      </c>
      <c r="I3126">
        <v>0.52359520000000004</v>
      </c>
      <c r="J3126">
        <v>2016</v>
      </c>
      <c r="K3126">
        <v>3</v>
      </c>
      <c r="L3126">
        <v>11</v>
      </c>
      <c r="M3126" t="s">
        <v>91</v>
      </c>
      <c r="N3126">
        <v>0</v>
      </c>
      <c r="O3126">
        <v>0</v>
      </c>
    </row>
    <row r="3127" spans="1:15" x14ac:dyDescent="0.3">
      <c r="A3127">
        <v>3222</v>
      </c>
      <c r="B3127" s="34">
        <v>42443</v>
      </c>
      <c r="C3127">
        <v>1.1146199999999999</v>
      </c>
      <c r="D3127">
        <v>0</v>
      </c>
      <c r="F3127">
        <v>0.45549999999999802</v>
      </c>
      <c r="G3127">
        <v>19.494521032166801</v>
      </c>
      <c r="H3127">
        <v>1</v>
      </c>
      <c r="I3127">
        <v>0.52374299999999996</v>
      </c>
      <c r="J3127">
        <v>2016</v>
      </c>
      <c r="K3127">
        <v>3</v>
      </c>
      <c r="L3127">
        <v>14</v>
      </c>
      <c r="M3127" t="s">
        <v>92</v>
      </c>
      <c r="N3127">
        <v>0</v>
      </c>
      <c r="O3127">
        <v>0</v>
      </c>
    </row>
    <row r="3128" spans="1:15" x14ac:dyDescent="0.3">
      <c r="A3128">
        <v>3223</v>
      </c>
      <c r="B3128" s="34">
        <v>42444</v>
      </c>
      <c r="C3128">
        <v>1.11012</v>
      </c>
      <c r="D3128">
        <v>0</v>
      </c>
      <c r="F3128">
        <v>0.45549999999999802</v>
      </c>
      <c r="G3128">
        <v>19.494521032166801</v>
      </c>
      <c r="H3128">
        <v>1</v>
      </c>
      <c r="I3128">
        <v>0.52389079999999999</v>
      </c>
      <c r="J3128">
        <v>2016</v>
      </c>
      <c r="K3128">
        <v>3</v>
      </c>
      <c r="L3128">
        <v>15</v>
      </c>
      <c r="M3128" t="s">
        <v>93</v>
      </c>
      <c r="N3128">
        <v>0</v>
      </c>
      <c r="O3128">
        <v>0</v>
      </c>
    </row>
    <row r="3129" spans="1:15" x14ac:dyDescent="0.3">
      <c r="A3129">
        <v>3224</v>
      </c>
      <c r="B3129" s="34">
        <v>42445</v>
      </c>
      <c r="C3129">
        <v>1.1104799999999999</v>
      </c>
      <c r="D3129">
        <v>0</v>
      </c>
      <c r="F3129">
        <v>0.45549999999999802</v>
      </c>
      <c r="G3129">
        <v>19.494521032166801</v>
      </c>
      <c r="H3129">
        <v>1</v>
      </c>
      <c r="I3129">
        <v>0.52403840000000002</v>
      </c>
      <c r="J3129">
        <v>2016</v>
      </c>
      <c r="K3129">
        <v>3</v>
      </c>
      <c r="L3129">
        <v>16</v>
      </c>
      <c r="M3129" t="s">
        <v>89</v>
      </c>
      <c r="N3129">
        <v>0</v>
      </c>
      <c r="O3129">
        <v>0</v>
      </c>
    </row>
    <row r="3130" spans="1:15" x14ac:dyDescent="0.3">
      <c r="A3130">
        <v>3225</v>
      </c>
      <c r="B3130" s="34">
        <v>42446</v>
      </c>
      <c r="C3130">
        <v>1.1212</v>
      </c>
      <c r="D3130">
        <v>0</v>
      </c>
      <c r="F3130">
        <v>0.45549999999999802</v>
      </c>
      <c r="G3130">
        <v>19.494521032166801</v>
      </c>
      <c r="H3130">
        <v>0</v>
      </c>
      <c r="I3130">
        <v>0.52387600000000001</v>
      </c>
      <c r="J3130">
        <v>2016</v>
      </c>
      <c r="K3130">
        <v>3</v>
      </c>
      <c r="L3130">
        <v>17</v>
      </c>
      <c r="M3130" t="s">
        <v>90</v>
      </c>
      <c r="N3130">
        <v>0</v>
      </c>
      <c r="O3130">
        <v>0</v>
      </c>
    </row>
    <row r="3131" spans="1:15" x14ac:dyDescent="0.3">
      <c r="A3131">
        <v>3226</v>
      </c>
      <c r="B3131" s="34">
        <v>42447</v>
      </c>
      <c r="C3131">
        <v>1.13151</v>
      </c>
      <c r="D3131">
        <v>0</v>
      </c>
      <c r="F3131">
        <v>0.45549999999999802</v>
      </c>
      <c r="G3131">
        <v>19.494521032166801</v>
      </c>
      <c r="H3131">
        <v>0</v>
      </c>
      <c r="I3131">
        <v>0.5237136</v>
      </c>
      <c r="J3131">
        <v>2016</v>
      </c>
      <c r="K3131">
        <v>3</v>
      </c>
      <c r="L3131">
        <v>18</v>
      </c>
      <c r="M3131" t="s">
        <v>91</v>
      </c>
      <c r="N3131">
        <v>0</v>
      </c>
      <c r="O3131">
        <v>0</v>
      </c>
    </row>
    <row r="3132" spans="1:15" x14ac:dyDescent="0.3">
      <c r="A3132">
        <v>3227</v>
      </c>
      <c r="B3132" s="34">
        <v>42450</v>
      </c>
      <c r="C3132">
        <v>1.1268800000000001</v>
      </c>
      <c r="D3132">
        <v>0</v>
      </c>
      <c r="F3132">
        <v>0.45549999999999802</v>
      </c>
      <c r="G3132">
        <v>19.494521032166801</v>
      </c>
      <c r="H3132">
        <v>1</v>
      </c>
      <c r="I3132">
        <v>0.52386120000000003</v>
      </c>
      <c r="J3132">
        <v>2016</v>
      </c>
      <c r="K3132">
        <v>3</v>
      </c>
      <c r="L3132">
        <v>21</v>
      </c>
      <c r="M3132" t="s">
        <v>92</v>
      </c>
      <c r="N3132">
        <v>0</v>
      </c>
      <c r="O3132">
        <v>0</v>
      </c>
    </row>
    <row r="3133" spans="1:15" x14ac:dyDescent="0.3">
      <c r="A3133">
        <v>3228</v>
      </c>
      <c r="B3133" s="34">
        <v>42451</v>
      </c>
      <c r="C3133">
        <v>1.1238600000000001</v>
      </c>
      <c r="D3133">
        <v>0</v>
      </c>
      <c r="F3133">
        <v>0.45549999999999802</v>
      </c>
      <c r="G3133">
        <v>19.494521032166801</v>
      </c>
      <c r="H3133">
        <v>1</v>
      </c>
      <c r="I3133">
        <v>0.52400869999999999</v>
      </c>
      <c r="J3133">
        <v>2016</v>
      </c>
      <c r="K3133">
        <v>3</v>
      </c>
      <c r="L3133">
        <v>22</v>
      </c>
      <c r="M3133" t="s">
        <v>93</v>
      </c>
      <c r="N3133">
        <v>0</v>
      </c>
      <c r="O3133">
        <v>0</v>
      </c>
    </row>
    <row r="3134" spans="1:15" x14ac:dyDescent="0.3">
      <c r="A3134">
        <v>3229</v>
      </c>
      <c r="B3134" s="34">
        <v>42452</v>
      </c>
      <c r="C3134">
        <v>1.1214999999999999</v>
      </c>
      <c r="D3134">
        <v>0</v>
      </c>
      <c r="F3134">
        <v>0.45549999999999802</v>
      </c>
      <c r="G3134">
        <v>19.494521032166801</v>
      </c>
      <c r="H3134">
        <v>1</v>
      </c>
      <c r="I3134">
        <v>0.52415610000000001</v>
      </c>
      <c r="J3134">
        <v>2016</v>
      </c>
      <c r="K3134">
        <v>3</v>
      </c>
      <c r="L3134">
        <v>23</v>
      </c>
      <c r="M3134" t="s">
        <v>89</v>
      </c>
      <c r="N3134">
        <v>0</v>
      </c>
      <c r="O3134">
        <v>0</v>
      </c>
    </row>
    <row r="3135" spans="1:15" x14ac:dyDescent="0.3">
      <c r="A3135">
        <v>3230</v>
      </c>
      <c r="B3135" s="34">
        <v>42453</v>
      </c>
      <c r="C3135">
        <v>1.1179600000000001</v>
      </c>
      <c r="D3135">
        <v>0</v>
      </c>
      <c r="F3135">
        <v>0.45549999999999802</v>
      </c>
      <c r="G3135">
        <v>19.494521032166801</v>
      </c>
      <c r="H3135">
        <v>1</v>
      </c>
      <c r="I3135">
        <v>0.52430339999999998</v>
      </c>
      <c r="J3135">
        <v>2016</v>
      </c>
      <c r="K3135">
        <v>3</v>
      </c>
      <c r="L3135">
        <v>24</v>
      </c>
      <c r="M3135" t="s">
        <v>90</v>
      </c>
      <c r="N3135">
        <v>0</v>
      </c>
      <c r="O3135">
        <v>0</v>
      </c>
    </row>
    <row r="3136" spans="1:15" x14ac:dyDescent="0.3">
      <c r="A3136">
        <v>3231</v>
      </c>
      <c r="B3136" s="34">
        <v>42454</v>
      </c>
      <c r="C3136">
        <v>1.1178600000000001</v>
      </c>
      <c r="D3136">
        <v>0</v>
      </c>
      <c r="F3136">
        <v>0.45549999999999802</v>
      </c>
      <c r="G3136">
        <v>19.494521032166801</v>
      </c>
      <c r="H3136">
        <v>1</v>
      </c>
      <c r="I3136">
        <v>0.52445070000000005</v>
      </c>
      <c r="J3136">
        <v>2016</v>
      </c>
      <c r="K3136">
        <v>3</v>
      </c>
      <c r="L3136">
        <v>25</v>
      </c>
      <c r="M3136" t="s">
        <v>91</v>
      </c>
      <c r="N3136">
        <v>0</v>
      </c>
      <c r="O3136">
        <v>0</v>
      </c>
    </row>
    <row r="3137" spans="1:15" x14ac:dyDescent="0.3">
      <c r="A3137">
        <v>3232</v>
      </c>
      <c r="B3137" s="34">
        <v>42457</v>
      </c>
      <c r="C3137">
        <v>1.1161300000000001</v>
      </c>
      <c r="D3137">
        <v>0</v>
      </c>
      <c r="F3137">
        <v>0.45549999999999802</v>
      </c>
      <c r="G3137">
        <v>19.494521032166801</v>
      </c>
      <c r="H3137">
        <v>1</v>
      </c>
      <c r="I3137">
        <v>0.5245978</v>
      </c>
      <c r="J3137">
        <v>2016</v>
      </c>
      <c r="K3137">
        <v>3</v>
      </c>
      <c r="L3137">
        <v>28</v>
      </c>
      <c r="M3137" t="s">
        <v>92</v>
      </c>
      <c r="N3137">
        <v>0</v>
      </c>
      <c r="O3137">
        <v>0</v>
      </c>
    </row>
    <row r="3138" spans="1:15" x14ac:dyDescent="0.3">
      <c r="A3138">
        <v>3233</v>
      </c>
      <c r="B3138" s="34">
        <v>42458</v>
      </c>
      <c r="C3138">
        <v>1.1195200000000001</v>
      </c>
      <c r="D3138">
        <v>0</v>
      </c>
      <c r="F3138">
        <v>0.45549999999999802</v>
      </c>
      <c r="G3138">
        <v>19.494521032166801</v>
      </c>
      <c r="H3138">
        <v>0</v>
      </c>
      <c r="I3138">
        <v>0.52443550000000005</v>
      </c>
      <c r="J3138">
        <v>2016</v>
      </c>
      <c r="K3138">
        <v>3</v>
      </c>
      <c r="L3138">
        <v>29</v>
      </c>
      <c r="M3138" t="s">
        <v>93</v>
      </c>
      <c r="N3138">
        <v>0</v>
      </c>
      <c r="O3138">
        <v>0</v>
      </c>
    </row>
    <row r="3139" spans="1:15" x14ac:dyDescent="0.3">
      <c r="A3139">
        <v>3234</v>
      </c>
      <c r="B3139" s="34">
        <v>42459</v>
      </c>
      <c r="C3139">
        <v>1.12893</v>
      </c>
      <c r="D3139">
        <v>0</v>
      </c>
      <c r="F3139">
        <v>0.45549999999999802</v>
      </c>
      <c r="G3139">
        <v>19.494521032166801</v>
      </c>
      <c r="H3139">
        <v>0</v>
      </c>
      <c r="I3139">
        <v>0.52427330000000005</v>
      </c>
      <c r="J3139">
        <v>2016</v>
      </c>
      <c r="K3139">
        <v>3</v>
      </c>
      <c r="L3139">
        <v>30</v>
      </c>
      <c r="M3139" t="s">
        <v>89</v>
      </c>
      <c r="N3139">
        <v>0</v>
      </c>
      <c r="O3139">
        <v>0</v>
      </c>
    </row>
    <row r="3140" spans="1:15" x14ac:dyDescent="0.3">
      <c r="A3140">
        <v>3235</v>
      </c>
      <c r="B3140" s="34">
        <v>42460</v>
      </c>
      <c r="C3140">
        <v>1.1338699999999999</v>
      </c>
      <c r="D3140">
        <v>0</v>
      </c>
      <c r="F3140">
        <v>0.45549999999999802</v>
      </c>
      <c r="G3140">
        <v>19.494521032166801</v>
      </c>
      <c r="H3140">
        <v>0</v>
      </c>
      <c r="I3140">
        <v>0.52411129999999995</v>
      </c>
      <c r="J3140">
        <v>2016</v>
      </c>
      <c r="K3140">
        <v>3</v>
      </c>
      <c r="L3140">
        <v>31</v>
      </c>
      <c r="M3140" t="s">
        <v>90</v>
      </c>
      <c r="N3140">
        <v>0</v>
      </c>
      <c r="O3140">
        <v>0</v>
      </c>
    </row>
    <row r="3141" spans="1:15" x14ac:dyDescent="0.3">
      <c r="A3141">
        <v>3236</v>
      </c>
      <c r="B3141" s="34">
        <v>42461</v>
      </c>
      <c r="C3141">
        <v>1.13788</v>
      </c>
      <c r="D3141">
        <v>0</v>
      </c>
      <c r="F3141">
        <v>0.45549999999999802</v>
      </c>
      <c r="G3141">
        <v>19.494521032166801</v>
      </c>
      <c r="H3141">
        <v>0</v>
      </c>
      <c r="I3141">
        <v>0.52394929999999995</v>
      </c>
      <c r="J3141">
        <v>2016</v>
      </c>
      <c r="K3141">
        <v>4</v>
      </c>
      <c r="L3141">
        <v>1</v>
      </c>
      <c r="M3141" t="s">
        <v>91</v>
      </c>
      <c r="N3141">
        <v>0</v>
      </c>
      <c r="O3141">
        <v>0</v>
      </c>
    </row>
    <row r="3142" spans="1:15" x14ac:dyDescent="0.3">
      <c r="A3142">
        <v>3237</v>
      </c>
      <c r="B3142" s="34">
        <v>42464</v>
      </c>
      <c r="C3142">
        <v>1.13897</v>
      </c>
      <c r="D3142">
        <v>0</v>
      </c>
      <c r="F3142">
        <v>0.45549999999999802</v>
      </c>
      <c r="G3142">
        <v>19.494521032166801</v>
      </c>
      <c r="H3142">
        <v>0</v>
      </c>
      <c r="I3142">
        <v>0.52378740000000001</v>
      </c>
      <c r="J3142">
        <v>2016</v>
      </c>
      <c r="K3142">
        <v>4</v>
      </c>
      <c r="L3142">
        <v>4</v>
      </c>
      <c r="M3142" t="s">
        <v>92</v>
      </c>
      <c r="N3142">
        <v>0</v>
      </c>
      <c r="O3142">
        <v>0</v>
      </c>
    </row>
    <row r="3143" spans="1:15" x14ac:dyDescent="0.3">
      <c r="A3143">
        <v>3238</v>
      </c>
      <c r="B3143" s="34">
        <v>42465</v>
      </c>
      <c r="C3143">
        <v>1.1388799999999999</v>
      </c>
      <c r="D3143">
        <v>0</v>
      </c>
      <c r="F3143">
        <v>0.45549999999999802</v>
      </c>
      <c r="G3143">
        <v>19.494521032166801</v>
      </c>
      <c r="H3143">
        <v>1</v>
      </c>
      <c r="I3143">
        <v>0.52393449999999997</v>
      </c>
      <c r="J3143">
        <v>2016</v>
      </c>
      <c r="K3143">
        <v>4</v>
      </c>
      <c r="L3143">
        <v>5</v>
      </c>
      <c r="M3143" t="s">
        <v>93</v>
      </c>
      <c r="N3143">
        <v>0</v>
      </c>
      <c r="O3143">
        <v>0</v>
      </c>
    </row>
    <row r="3144" spans="1:15" x14ac:dyDescent="0.3">
      <c r="A3144">
        <v>3239</v>
      </c>
      <c r="B3144" s="34">
        <v>42466</v>
      </c>
      <c r="C3144">
        <v>1.13826</v>
      </c>
      <c r="D3144">
        <v>0</v>
      </c>
      <c r="F3144">
        <v>0.45549999999999802</v>
      </c>
      <c r="G3144">
        <v>19.494521032166801</v>
      </c>
      <c r="H3144">
        <v>1</v>
      </c>
      <c r="I3144">
        <v>0.52408149999999998</v>
      </c>
      <c r="J3144">
        <v>2016</v>
      </c>
      <c r="K3144">
        <v>4</v>
      </c>
      <c r="L3144">
        <v>6</v>
      </c>
      <c r="M3144" t="s">
        <v>89</v>
      </c>
      <c r="N3144">
        <v>0</v>
      </c>
      <c r="O3144">
        <v>0</v>
      </c>
    </row>
    <row r="3145" spans="1:15" x14ac:dyDescent="0.3">
      <c r="A3145">
        <v>3240</v>
      </c>
      <c r="B3145" s="34">
        <v>42467</v>
      </c>
      <c r="C3145">
        <v>1.1397900000000001</v>
      </c>
      <c r="D3145">
        <v>0</v>
      </c>
      <c r="F3145">
        <v>0.45549999999999802</v>
      </c>
      <c r="G3145">
        <v>19.494521032166801</v>
      </c>
      <c r="H3145">
        <v>0</v>
      </c>
      <c r="I3145">
        <v>0.52391980000000005</v>
      </c>
      <c r="J3145">
        <v>2016</v>
      </c>
      <c r="K3145">
        <v>4</v>
      </c>
      <c r="L3145">
        <v>7</v>
      </c>
      <c r="M3145" t="s">
        <v>90</v>
      </c>
      <c r="N3145">
        <v>0</v>
      </c>
      <c r="O3145">
        <v>0</v>
      </c>
    </row>
    <row r="3146" spans="1:15" x14ac:dyDescent="0.3">
      <c r="A3146">
        <v>3241</v>
      </c>
      <c r="B3146" s="34">
        <v>42468</v>
      </c>
      <c r="C3146">
        <v>1.13767</v>
      </c>
      <c r="D3146">
        <v>0</v>
      </c>
      <c r="F3146">
        <v>0.45549999999999802</v>
      </c>
      <c r="G3146">
        <v>19.494521032166801</v>
      </c>
      <c r="H3146">
        <v>1</v>
      </c>
      <c r="I3146">
        <v>0.52406660000000005</v>
      </c>
      <c r="J3146">
        <v>2016</v>
      </c>
      <c r="K3146">
        <v>4</v>
      </c>
      <c r="L3146">
        <v>8</v>
      </c>
      <c r="M3146" t="s">
        <v>91</v>
      </c>
      <c r="N3146">
        <v>0</v>
      </c>
      <c r="O3146">
        <v>0</v>
      </c>
    </row>
    <row r="3147" spans="1:15" x14ac:dyDescent="0.3">
      <c r="A3147">
        <v>3242</v>
      </c>
      <c r="B3147" s="34">
        <v>42471</v>
      </c>
      <c r="C3147">
        <v>1.1394899999999999</v>
      </c>
      <c r="D3147">
        <v>0</v>
      </c>
      <c r="F3147">
        <v>0.45549999999999802</v>
      </c>
      <c r="G3147">
        <v>19.494521032166801</v>
      </c>
      <c r="H3147">
        <v>1</v>
      </c>
      <c r="I3147">
        <v>0.52421340000000005</v>
      </c>
      <c r="J3147">
        <v>2016</v>
      </c>
      <c r="K3147">
        <v>4</v>
      </c>
      <c r="L3147">
        <v>11</v>
      </c>
      <c r="M3147" t="s">
        <v>92</v>
      </c>
      <c r="N3147">
        <v>0</v>
      </c>
      <c r="O3147">
        <v>0</v>
      </c>
    </row>
    <row r="3148" spans="1:15" x14ac:dyDescent="0.3">
      <c r="A3148">
        <v>3243</v>
      </c>
      <c r="B3148" s="34">
        <v>42472</v>
      </c>
      <c r="C3148">
        <v>1.14097</v>
      </c>
      <c r="D3148">
        <v>0</v>
      </c>
      <c r="F3148">
        <v>0.45549999999999802</v>
      </c>
      <c r="G3148">
        <v>19.494521032166801</v>
      </c>
      <c r="H3148">
        <v>0</v>
      </c>
      <c r="I3148">
        <v>0.52405179999999996</v>
      </c>
      <c r="J3148">
        <v>2016</v>
      </c>
      <c r="K3148">
        <v>4</v>
      </c>
      <c r="L3148">
        <v>12</v>
      </c>
      <c r="M3148" t="s">
        <v>93</v>
      </c>
      <c r="N3148">
        <v>0</v>
      </c>
      <c r="O3148">
        <v>0</v>
      </c>
    </row>
    <row r="3149" spans="1:15" x14ac:dyDescent="0.3">
      <c r="A3149">
        <v>3244</v>
      </c>
      <c r="B3149" s="34">
        <v>42473</v>
      </c>
      <c r="C3149">
        <v>1.13835</v>
      </c>
      <c r="D3149">
        <v>0</v>
      </c>
      <c r="F3149">
        <v>0.45549999999999802</v>
      </c>
      <c r="G3149">
        <v>19.494521032166801</v>
      </c>
      <c r="H3149">
        <v>1</v>
      </c>
      <c r="I3149">
        <v>0.52419850000000001</v>
      </c>
      <c r="J3149">
        <v>2016</v>
      </c>
      <c r="K3149">
        <v>4</v>
      </c>
      <c r="L3149">
        <v>13</v>
      </c>
      <c r="M3149" t="s">
        <v>89</v>
      </c>
      <c r="N3149">
        <v>0</v>
      </c>
      <c r="O3149">
        <v>0</v>
      </c>
    </row>
    <row r="3150" spans="1:15" x14ac:dyDescent="0.3">
      <c r="A3150">
        <v>3245</v>
      </c>
      <c r="B3150" s="34">
        <v>42474</v>
      </c>
      <c r="C3150">
        <v>1.12723</v>
      </c>
      <c r="D3150">
        <v>0</v>
      </c>
      <c r="F3150">
        <v>0.45549999999999802</v>
      </c>
      <c r="G3150">
        <v>19.494521032166801</v>
      </c>
      <c r="H3150">
        <v>0</v>
      </c>
      <c r="I3150">
        <v>0.52403699999999998</v>
      </c>
      <c r="J3150">
        <v>2016</v>
      </c>
      <c r="K3150">
        <v>4</v>
      </c>
      <c r="L3150">
        <v>14</v>
      </c>
      <c r="M3150" t="s">
        <v>90</v>
      </c>
      <c r="N3150">
        <v>0</v>
      </c>
      <c r="O3150">
        <v>0</v>
      </c>
    </row>
    <row r="3151" spans="1:15" x14ac:dyDescent="0.3">
      <c r="A3151">
        <v>3246</v>
      </c>
      <c r="B3151" s="34">
        <v>42475</v>
      </c>
      <c r="C3151">
        <v>1.12663</v>
      </c>
      <c r="D3151">
        <v>0</v>
      </c>
      <c r="F3151">
        <v>0.45549999999999802</v>
      </c>
      <c r="G3151">
        <v>19.494521032166801</v>
      </c>
      <c r="H3151">
        <v>0</v>
      </c>
      <c r="I3151">
        <v>0.52387550000000005</v>
      </c>
      <c r="J3151">
        <v>2016</v>
      </c>
      <c r="K3151">
        <v>4</v>
      </c>
      <c r="L3151">
        <v>15</v>
      </c>
      <c r="M3151" t="s">
        <v>91</v>
      </c>
      <c r="N3151">
        <v>0</v>
      </c>
      <c r="O3151">
        <v>0</v>
      </c>
    </row>
    <row r="3152" spans="1:15" x14ac:dyDescent="0.3">
      <c r="A3152">
        <v>3247</v>
      </c>
      <c r="B3152" s="34">
        <v>42478</v>
      </c>
      <c r="C3152">
        <v>1.1282700000000001</v>
      </c>
      <c r="D3152">
        <v>0</v>
      </c>
      <c r="F3152">
        <v>0.45549999999999802</v>
      </c>
      <c r="G3152">
        <v>19.494521032166801</v>
      </c>
      <c r="H3152">
        <v>1</v>
      </c>
      <c r="I3152">
        <v>0.52402219999999999</v>
      </c>
      <c r="J3152">
        <v>2016</v>
      </c>
      <c r="K3152">
        <v>4</v>
      </c>
      <c r="L3152">
        <v>18</v>
      </c>
      <c r="M3152" t="s">
        <v>92</v>
      </c>
      <c r="N3152">
        <v>0</v>
      </c>
      <c r="O3152">
        <v>0</v>
      </c>
    </row>
    <row r="3153" spans="1:15" x14ac:dyDescent="0.3">
      <c r="A3153">
        <v>3248</v>
      </c>
      <c r="B3153" s="34">
        <v>42479</v>
      </c>
      <c r="C3153">
        <v>1.1311899999999999</v>
      </c>
      <c r="D3153">
        <v>0</v>
      </c>
      <c r="F3153">
        <v>0.45549999999999802</v>
      </c>
      <c r="G3153">
        <v>19.494521032166801</v>
      </c>
      <c r="H3153">
        <v>0</v>
      </c>
      <c r="I3153">
        <v>0.52386080000000002</v>
      </c>
      <c r="J3153">
        <v>2016</v>
      </c>
      <c r="K3153">
        <v>4</v>
      </c>
      <c r="L3153">
        <v>19</v>
      </c>
      <c r="M3153" t="s">
        <v>93</v>
      </c>
      <c r="N3153">
        <v>0</v>
      </c>
      <c r="O3153">
        <v>0</v>
      </c>
    </row>
    <row r="3154" spans="1:15" x14ac:dyDescent="0.3">
      <c r="A3154">
        <v>3249</v>
      </c>
      <c r="B3154" s="34">
        <v>42480</v>
      </c>
      <c r="C3154">
        <v>1.13575</v>
      </c>
      <c r="D3154">
        <v>0</v>
      </c>
      <c r="F3154">
        <v>0.45549999999999802</v>
      </c>
      <c r="G3154">
        <v>19.494521032166801</v>
      </c>
      <c r="H3154">
        <v>0</v>
      </c>
      <c r="I3154">
        <v>0.52369960000000004</v>
      </c>
      <c r="J3154">
        <v>2016</v>
      </c>
      <c r="K3154">
        <v>4</v>
      </c>
      <c r="L3154">
        <v>20</v>
      </c>
      <c r="M3154" t="s">
        <v>89</v>
      </c>
      <c r="N3154">
        <v>0</v>
      </c>
      <c r="O3154">
        <v>0</v>
      </c>
    </row>
    <row r="3155" spans="1:15" x14ac:dyDescent="0.3">
      <c r="A3155">
        <v>3250</v>
      </c>
      <c r="B3155" s="34">
        <v>42481</v>
      </c>
      <c r="C3155">
        <v>1.1295200000000001</v>
      </c>
      <c r="D3155">
        <v>0</v>
      </c>
      <c r="F3155">
        <v>0.45549999999999802</v>
      </c>
      <c r="G3155">
        <v>19.494521032166801</v>
      </c>
      <c r="H3155">
        <v>1</v>
      </c>
      <c r="I3155">
        <v>0.52384609999999998</v>
      </c>
      <c r="J3155">
        <v>2016</v>
      </c>
      <c r="K3155">
        <v>4</v>
      </c>
      <c r="L3155">
        <v>21</v>
      </c>
      <c r="M3155" t="s">
        <v>90</v>
      </c>
      <c r="N3155">
        <v>0</v>
      </c>
      <c r="O3155">
        <v>0</v>
      </c>
    </row>
    <row r="3156" spans="1:15" x14ac:dyDescent="0.3">
      <c r="A3156">
        <v>3251</v>
      </c>
      <c r="B3156" s="34">
        <v>42482</v>
      </c>
      <c r="C3156">
        <v>1.1286</v>
      </c>
      <c r="D3156">
        <v>0</v>
      </c>
      <c r="F3156">
        <v>0.45549999999999802</v>
      </c>
      <c r="G3156">
        <v>19.494521032166801</v>
      </c>
      <c r="H3156">
        <v>0</v>
      </c>
      <c r="I3156">
        <v>0.52368499999999996</v>
      </c>
      <c r="J3156">
        <v>2016</v>
      </c>
      <c r="K3156">
        <v>4</v>
      </c>
      <c r="L3156">
        <v>22</v>
      </c>
      <c r="M3156" t="s">
        <v>91</v>
      </c>
      <c r="N3156">
        <v>0</v>
      </c>
      <c r="O3156">
        <v>0</v>
      </c>
    </row>
    <row r="3157" spans="1:15" x14ac:dyDescent="0.3">
      <c r="A3157">
        <v>3252</v>
      </c>
      <c r="B3157" s="34">
        <v>42485</v>
      </c>
      <c r="C3157">
        <v>1.12154</v>
      </c>
      <c r="D3157">
        <v>1</v>
      </c>
      <c r="E3157" t="s">
        <v>427</v>
      </c>
      <c r="F3157">
        <v>0.46055999999999803</v>
      </c>
      <c r="G3157">
        <v>18.600212089077399</v>
      </c>
      <c r="H3157">
        <v>0</v>
      </c>
      <c r="I3157">
        <v>0.52352399999999999</v>
      </c>
      <c r="J3157">
        <v>2016</v>
      </c>
      <c r="K3157">
        <v>4</v>
      </c>
      <c r="L3157">
        <v>25</v>
      </c>
      <c r="M3157" t="s">
        <v>92</v>
      </c>
      <c r="N3157">
        <v>0</v>
      </c>
      <c r="O3157">
        <v>0</v>
      </c>
    </row>
    <row r="3158" spans="1:15" x14ac:dyDescent="0.3">
      <c r="A3158">
        <v>3253</v>
      </c>
      <c r="B3158" s="34">
        <v>42486</v>
      </c>
      <c r="C3158">
        <v>1.1266</v>
      </c>
      <c r="D3158">
        <v>0</v>
      </c>
      <c r="F3158">
        <v>0.46055999999999803</v>
      </c>
      <c r="G3158">
        <v>18.600212089077399</v>
      </c>
      <c r="H3158">
        <v>1</v>
      </c>
      <c r="I3158">
        <v>0.52367039999999998</v>
      </c>
      <c r="J3158">
        <v>2016</v>
      </c>
      <c r="K3158">
        <v>4</v>
      </c>
      <c r="L3158">
        <v>26</v>
      </c>
      <c r="M3158" t="s">
        <v>93</v>
      </c>
      <c r="N3158">
        <v>0</v>
      </c>
      <c r="O3158">
        <v>0</v>
      </c>
    </row>
    <row r="3159" spans="1:15" x14ac:dyDescent="0.3">
      <c r="A3159">
        <v>3254</v>
      </c>
      <c r="B3159" s="34">
        <v>42487</v>
      </c>
      <c r="C3159">
        <v>1.1294999999999999</v>
      </c>
      <c r="D3159">
        <v>-10</v>
      </c>
      <c r="F3159">
        <v>0.458149999999998</v>
      </c>
      <c r="G3159">
        <v>19.026157652880901</v>
      </c>
      <c r="H3159">
        <v>0</v>
      </c>
      <c r="I3159">
        <v>0.52350949999999996</v>
      </c>
      <c r="J3159">
        <v>2016</v>
      </c>
      <c r="K3159">
        <v>4</v>
      </c>
      <c r="L3159">
        <v>27</v>
      </c>
      <c r="M3159" t="s">
        <v>89</v>
      </c>
      <c r="N3159">
        <v>0</v>
      </c>
      <c r="O3159">
        <v>0</v>
      </c>
    </row>
    <row r="3160" spans="1:15" x14ac:dyDescent="0.3">
      <c r="A3160">
        <v>3255</v>
      </c>
      <c r="B3160" s="34">
        <v>42488</v>
      </c>
      <c r="C3160">
        <v>1.13191</v>
      </c>
      <c r="D3160">
        <v>0</v>
      </c>
      <c r="F3160">
        <v>0.458149999999998</v>
      </c>
      <c r="G3160">
        <v>19.026157652880901</v>
      </c>
      <c r="H3160">
        <v>0</v>
      </c>
      <c r="I3160">
        <v>0.5233487</v>
      </c>
      <c r="J3160">
        <v>2016</v>
      </c>
      <c r="K3160">
        <v>4</v>
      </c>
      <c r="L3160">
        <v>28</v>
      </c>
      <c r="M3160" t="s">
        <v>90</v>
      </c>
      <c r="N3160">
        <v>0</v>
      </c>
      <c r="O3160">
        <v>0</v>
      </c>
    </row>
    <row r="3161" spans="1:15" x14ac:dyDescent="0.3">
      <c r="A3161">
        <v>3256</v>
      </c>
      <c r="B3161" s="34">
        <v>42489</v>
      </c>
      <c r="C3161">
        <v>1.1350899999999999</v>
      </c>
      <c r="D3161">
        <v>0</v>
      </c>
      <c r="F3161">
        <v>0.458149999999998</v>
      </c>
      <c r="G3161">
        <v>19.026157652880901</v>
      </c>
      <c r="H3161">
        <v>0</v>
      </c>
      <c r="I3161">
        <v>0.52318790000000004</v>
      </c>
      <c r="J3161">
        <v>2016</v>
      </c>
      <c r="K3161">
        <v>4</v>
      </c>
      <c r="L3161">
        <v>29</v>
      </c>
      <c r="M3161" t="s">
        <v>91</v>
      </c>
      <c r="N3161">
        <v>0</v>
      </c>
      <c r="O3161">
        <v>0</v>
      </c>
    </row>
    <row r="3162" spans="1:15" x14ac:dyDescent="0.3">
      <c r="A3162">
        <v>3257</v>
      </c>
      <c r="B3162" s="34">
        <v>42492</v>
      </c>
      <c r="C3162">
        <v>1.1450400000000001</v>
      </c>
      <c r="D3162">
        <v>0</v>
      </c>
      <c r="F3162">
        <v>0.458149999999998</v>
      </c>
      <c r="G3162">
        <v>19.026157652880901</v>
      </c>
      <c r="H3162">
        <v>0</v>
      </c>
      <c r="I3162">
        <v>0.52302729999999997</v>
      </c>
      <c r="J3162">
        <v>2016</v>
      </c>
      <c r="K3162">
        <v>5</v>
      </c>
      <c r="L3162">
        <v>2</v>
      </c>
      <c r="M3162" t="s">
        <v>92</v>
      </c>
      <c r="N3162">
        <v>0</v>
      </c>
      <c r="O3162">
        <v>0</v>
      </c>
    </row>
    <row r="3163" spans="1:15" x14ac:dyDescent="0.3">
      <c r="A3163">
        <v>3258</v>
      </c>
      <c r="B3163" s="34">
        <v>42493</v>
      </c>
      <c r="C3163">
        <v>1.1533100000000001</v>
      </c>
      <c r="D3163">
        <v>0</v>
      </c>
      <c r="F3163">
        <v>0.458149999999998</v>
      </c>
      <c r="G3163">
        <v>19.026157652880901</v>
      </c>
      <c r="H3163">
        <v>0</v>
      </c>
      <c r="I3163">
        <v>0.52286679999999996</v>
      </c>
      <c r="J3163">
        <v>2016</v>
      </c>
      <c r="K3163">
        <v>5</v>
      </c>
      <c r="L3163">
        <v>3</v>
      </c>
      <c r="M3163" t="s">
        <v>93</v>
      </c>
      <c r="N3163">
        <v>0</v>
      </c>
      <c r="O3163">
        <v>0</v>
      </c>
    </row>
    <row r="3164" spans="1:15" x14ac:dyDescent="0.3">
      <c r="A3164">
        <v>3259</v>
      </c>
      <c r="B3164" s="34">
        <v>42494</v>
      </c>
      <c r="C3164">
        <v>1.1494899999999999</v>
      </c>
      <c r="D3164">
        <v>0</v>
      </c>
      <c r="F3164">
        <v>0.458149999999998</v>
      </c>
      <c r="G3164">
        <v>19.026157652880901</v>
      </c>
      <c r="H3164">
        <v>1</v>
      </c>
      <c r="I3164">
        <v>0.52301319999999996</v>
      </c>
      <c r="J3164">
        <v>2016</v>
      </c>
      <c r="K3164">
        <v>5</v>
      </c>
      <c r="L3164">
        <v>4</v>
      </c>
      <c r="M3164" t="s">
        <v>89</v>
      </c>
      <c r="N3164">
        <v>0</v>
      </c>
      <c r="O3164">
        <v>0</v>
      </c>
    </row>
    <row r="3165" spans="1:15" x14ac:dyDescent="0.3">
      <c r="A3165">
        <v>3260</v>
      </c>
      <c r="B3165" s="34">
        <v>42495</v>
      </c>
      <c r="C3165">
        <v>1.14855</v>
      </c>
      <c r="D3165">
        <v>0</v>
      </c>
      <c r="F3165">
        <v>0.458149999999998</v>
      </c>
      <c r="G3165">
        <v>19.026157652880901</v>
      </c>
      <c r="H3165">
        <v>1</v>
      </c>
      <c r="I3165">
        <v>0.5231595</v>
      </c>
      <c r="J3165">
        <v>2016</v>
      </c>
      <c r="K3165">
        <v>5</v>
      </c>
      <c r="L3165">
        <v>5</v>
      </c>
      <c r="M3165" t="s">
        <v>90</v>
      </c>
      <c r="N3165">
        <v>0</v>
      </c>
      <c r="O3165">
        <v>0</v>
      </c>
    </row>
    <row r="3166" spans="1:15" x14ac:dyDescent="0.3">
      <c r="A3166">
        <v>3261</v>
      </c>
      <c r="B3166" s="34">
        <v>42496</v>
      </c>
      <c r="C3166">
        <v>1.1404799999999999</v>
      </c>
      <c r="D3166">
        <v>0</v>
      </c>
      <c r="F3166">
        <v>0.458149999999998</v>
      </c>
      <c r="G3166">
        <v>19.026157652880901</v>
      </c>
      <c r="H3166">
        <v>1</v>
      </c>
      <c r="I3166">
        <v>0.52330569999999998</v>
      </c>
      <c r="J3166">
        <v>2016</v>
      </c>
      <c r="K3166">
        <v>5</v>
      </c>
      <c r="L3166">
        <v>6</v>
      </c>
      <c r="M3166" t="s">
        <v>91</v>
      </c>
      <c r="N3166">
        <v>0</v>
      </c>
      <c r="O3166">
        <v>0</v>
      </c>
    </row>
    <row r="3167" spans="1:15" x14ac:dyDescent="0.3">
      <c r="A3167">
        <v>3262</v>
      </c>
      <c r="B3167" s="34">
        <v>42499</v>
      </c>
      <c r="C3167">
        <v>1.14009</v>
      </c>
      <c r="D3167">
        <v>0</v>
      </c>
      <c r="F3167">
        <v>0.458149999999998</v>
      </c>
      <c r="G3167">
        <v>19.026157652880901</v>
      </c>
      <c r="H3167">
        <v>0</v>
      </c>
      <c r="I3167">
        <v>0.52314530000000004</v>
      </c>
      <c r="J3167">
        <v>2016</v>
      </c>
      <c r="K3167">
        <v>5</v>
      </c>
      <c r="L3167">
        <v>9</v>
      </c>
      <c r="M3167" t="s">
        <v>92</v>
      </c>
      <c r="N3167">
        <v>0</v>
      </c>
      <c r="O3167">
        <v>0</v>
      </c>
    </row>
    <row r="3168" spans="1:15" x14ac:dyDescent="0.3">
      <c r="A3168">
        <v>3263</v>
      </c>
      <c r="B3168" s="34">
        <v>42500</v>
      </c>
      <c r="C3168">
        <v>1.1380600000000001</v>
      </c>
      <c r="D3168">
        <v>0</v>
      </c>
      <c r="F3168">
        <v>0.458149999999998</v>
      </c>
      <c r="G3168">
        <v>19.026157652880901</v>
      </c>
      <c r="H3168">
        <v>0</v>
      </c>
      <c r="I3168">
        <v>0.52298500000000003</v>
      </c>
      <c r="J3168">
        <v>2016</v>
      </c>
      <c r="K3168">
        <v>5</v>
      </c>
      <c r="L3168">
        <v>10</v>
      </c>
      <c r="M3168" t="s">
        <v>93</v>
      </c>
      <c r="N3168">
        <v>0</v>
      </c>
      <c r="O3168">
        <v>0</v>
      </c>
    </row>
    <row r="3169" spans="1:15" x14ac:dyDescent="0.3">
      <c r="A3169">
        <v>3264</v>
      </c>
      <c r="B3169" s="34">
        <v>42501</v>
      </c>
      <c r="C3169">
        <v>1.13717</v>
      </c>
      <c r="D3169">
        <v>0</v>
      </c>
      <c r="F3169">
        <v>0.458149999999998</v>
      </c>
      <c r="G3169">
        <v>19.026157652880901</v>
      </c>
      <c r="H3169">
        <v>0</v>
      </c>
      <c r="I3169">
        <v>0.52282479999999998</v>
      </c>
      <c r="J3169">
        <v>2016</v>
      </c>
      <c r="K3169">
        <v>5</v>
      </c>
      <c r="L3169">
        <v>11</v>
      </c>
      <c r="M3169" t="s">
        <v>89</v>
      </c>
      <c r="N3169">
        <v>0</v>
      </c>
      <c r="O3169">
        <v>0</v>
      </c>
    </row>
    <row r="3170" spans="1:15" x14ac:dyDescent="0.3">
      <c r="A3170">
        <v>3265</v>
      </c>
      <c r="B3170" s="34">
        <v>42502</v>
      </c>
      <c r="C3170">
        <v>1.1425099999999999</v>
      </c>
      <c r="D3170">
        <v>0</v>
      </c>
      <c r="F3170">
        <v>0.458149999999998</v>
      </c>
      <c r="G3170">
        <v>19.026157652880901</v>
      </c>
      <c r="H3170">
        <v>1</v>
      </c>
      <c r="I3170">
        <v>0.52297090000000002</v>
      </c>
      <c r="J3170">
        <v>2016</v>
      </c>
      <c r="K3170">
        <v>5</v>
      </c>
      <c r="L3170">
        <v>12</v>
      </c>
      <c r="M3170" t="s">
        <v>90</v>
      </c>
      <c r="N3170">
        <v>0</v>
      </c>
      <c r="O3170">
        <v>0</v>
      </c>
    </row>
    <row r="3171" spans="1:15" x14ac:dyDescent="0.3">
      <c r="A3171">
        <v>3266</v>
      </c>
      <c r="B3171" s="34">
        <v>42503</v>
      </c>
      <c r="C3171">
        <v>1.1376599999999999</v>
      </c>
      <c r="D3171">
        <v>0</v>
      </c>
      <c r="F3171">
        <v>0.458149999999998</v>
      </c>
      <c r="G3171">
        <v>19.026157652880901</v>
      </c>
      <c r="H3171">
        <v>1</v>
      </c>
      <c r="I3171">
        <v>0.5231169</v>
      </c>
      <c r="J3171">
        <v>2016</v>
      </c>
      <c r="K3171">
        <v>5</v>
      </c>
      <c r="L3171">
        <v>13</v>
      </c>
      <c r="M3171" t="s">
        <v>91</v>
      </c>
      <c r="N3171">
        <v>0</v>
      </c>
      <c r="O3171">
        <v>0</v>
      </c>
    </row>
    <row r="3172" spans="1:15" x14ac:dyDescent="0.3">
      <c r="A3172">
        <v>3267</v>
      </c>
      <c r="B3172" s="34">
        <v>42506</v>
      </c>
      <c r="C3172">
        <v>1.1308800000000001</v>
      </c>
      <c r="D3172">
        <v>0</v>
      </c>
      <c r="F3172">
        <v>0.458149999999998</v>
      </c>
      <c r="G3172">
        <v>19.026157652880901</v>
      </c>
      <c r="H3172">
        <v>0</v>
      </c>
      <c r="I3172">
        <v>0.5229568</v>
      </c>
      <c r="J3172">
        <v>2016</v>
      </c>
      <c r="K3172">
        <v>5</v>
      </c>
      <c r="L3172">
        <v>16</v>
      </c>
      <c r="M3172" t="s">
        <v>92</v>
      </c>
      <c r="N3172">
        <v>0</v>
      </c>
      <c r="O3172">
        <v>0</v>
      </c>
    </row>
    <row r="3173" spans="1:15" x14ac:dyDescent="0.3">
      <c r="A3173">
        <v>3268</v>
      </c>
      <c r="B3173" s="34">
        <v>42507</v>
      </c>
      <c r="C3173">
        <v>1.1319300000000001</v>
      </c>
      <c r="D3173">
        <v>0</v>
      </c>
      <c r="F3173">
        <v>0.458149999999998</v>
      </c>
      <c r="G3173">
        <v>19.026157652880901</v>
      </c>
      <c r="H3173">
        <v>1</v>
      </c>
      <c r="I3173">
        <v>0.52310279999999998</v>
      </c>
      <c r="J3173">
        <v>2016</v>
      </c>
      <c r="K3173">
        <v>5</v>
      </c>
      <c r="L3173">
        <v>17</v>
      </c>
      <c r="M3173" t="s">
        <v>93</v>
      </c>
      <c r="N3173">
        <v>0</v>
      </c>
      <c r="O3173">
        <v>0</v>
      </c>
    </row>
    <row r="3174" spans="1:15" x14ac:dyDescent="0.3">
      <c r="A3174">
        <v>3269</v>
      </c>
      <c r="B3174" s="34">
        <v>42508</v>
      </c>
      <c r="C3174">
        <v>1.1311800000000001</v>
      </c>
      <c r="D3174">
        <v>0</v>
      </c>
      <c r="F3174">
        <v>0.458149999999998</v>
      </c>
      <c r="G3174">
        <v>19.026157652880901</v>
      </c>
      <c r="H3174">
        <v>0</v>
      </c>
      <c r="I3174">
        <v>0.52294280000000004</v>
      </c>
      <c r="J3174">
        <v>2016</v>
      </c>
      <c r="K3174">
        <v>5</v>
      </c>
      <c r="L3174">
        <v>18</v>
      </c>
      <c r="M3174" t="s">
        <v>89</v>
      </c>
      <c r="N3174">
        <v>0</v>
      </c>
      <c r="O3174">
        <v>0</v>
      </c>
    </row>
    <row r="3175" spans="1:15" x14ac:dyDescent="0.3">
      <c r="A3175">
        <v>3270</v>
      </c>
      <c r="B3175" s="34">
        <v>42509</v>
      </c>
      <c r="C3175">
        <v>1.12158</v>
      </c>
      <c r="D3175">
        <v>0</v>
      </c>
      <c r="F3175">
        <v>0.458149999999998</v>
      </c>
      <c r="G3175">
        <v>19.026157652880901</v>
      </c>
      <c r="H3175">
        <v>1</v>
      </c>
      <c r="I3175">
        <v>0.52308869999999996</v>
      </c>
      <c r="J3175">
        <v>2016</v>
      </c>
      <c r="K3175">
        <v>5</v>
      </c>
      <c r="L3175">
        <v>19</v>
      </c>
      <c r="M3175" t="s">
        <v>90</v>
      </c>
      <c r="N3175">
        <v>0</v>
      </c>
      <c r="O3175">
        <v>0</v>
      </c>
    </row>
    <row r="3176" spans="1:15" x14ac:dyDescent="0.3">
      <c r="A3176">
        <v>3271</v>
      </c>
      <c r="B3176" s="34">
        <v>42510</v>
      </c>
      <c r="C3176">
        <v>1.12019</v>
      </c>
      <c r="D3176">
        <v>0</v>
      </c>
      <c r="F3176">
        <v>0.458149999999998</v>
      </c>
      <c r="G3176">
        <v>19.026157652880901</v>
      </c>
      <c r="H3176">
        <v>0</v>
      </c>
      <c r="I3176">
        <v>0.52292879999999997</v>
      </c>
      <c r="J3176">
        <v>2016</v>
      </c>
      <c r="K3176">
        <v>5</v>
      </c>
      <c r="L3176">
        <v>20</v>
      </c>
      <c r="M3176" t="s">
        <v>91</v>
      </c>
      <c r="N3176">
        <v>0</v>
      </c>
      <c r="O3176">
        <v>0</v>
      </c>
    </row>
    <row r="3177" spans="1:15" x14ac:dyDescent="0.3">
      <c r="A3177">
        <v>3272</v>
      </c>
      <c r="B3177" s="34">
        <v>42513</v>
      </c>
      <c r="C3177">
        <v>1.1221699999999999</v>
      </c>
      <c r="D3177">
        <v>0</v>
      </c>
      <c r="F3177">
        <v>0.458149999999998</v>
      </c>
      <c r="G3177">
        <v>19.026157652880901</v>
      </c>
      <c r="H3177">
        <v>1</v>
      </c>
      <c r="I3177">
        <v>0.52307459999999995</v>
      </c>
      <c r="J3177">
        <v>2016</v>
      </c>
      <c r="K3177">
        <v>5</v>
      </c>
      <c r="L3177">
        <v>23</v>
      </c>
      <c r="M3177" t="s">
        <v>92</v>
      </c>
      <c r="N3177">
        <v>0</v>
      </c>
      <c r="O3177">
        <v>0</v>
      </c>
    </row>
    <row r="3178" spans="1:15" x14ac:dyDescent="0.3">
      <c r="A3178">
        <v>3273</v>
      </c>
      <c r="B3178" s="34">
        <v>42514</v>
      </c>
      <c r="C3178">
        <v>1.1218999999999999</v>
      </c>
      <c r="D3178">
        <v>0</v>
      </c>
      <c r="F3178">
        <v>0.458149999999998</v>
      </c>
      <c r="G3178">
        <v>19.026157652880901</v>
      </c>
      <c r="H3178">
        <v>1</v>
      </c>
      <c r="I3178">
        <v>0.52322029999999997</v>
      </c>
      <c r="J3178">
        <v>2016</v>
      </c>
      <c r="K3178">
        <v>5</v>
      </c>
      <c r="L3178">
        <v>24</v>
      </c>
      <c r="M3178" t="s">
        <v>93</v>
      </c>
      <c r="N3178">
        <v>0</v>
      </c>
      <c r="O3178">
        <v>0</v>
      </c>
    </row>
    <row r="3179" spans="1:15" x14ac:dyDescent="0.3">
      <c r="A3179">
        <v>3274</v>
      </c>
      <c r="B3179" s="34">
        <v>42515</v>
      </c>
      <c r="C3179">
        <v>1.1139300000000001</v>
      </c>
      <c r="D3179">
        <v>2</v>
      </c>
      <c r="E3179" t="s">
        <v>428</v>
      </c>
      <c r="F3179">
        <v>0.45960999999999802</v>
      </c>
      <c r="G3179">
        <v>18.768115942028999</v>
      </c>
      <c r="H3179">
        <v>0.5</v>
      </c>
      <c r="I3179">
        <v>0.52321320000000004</v>
      </c>
      <c r="J3179">
        <v>2016</v>
      </c>
      <c r="K3179">
        <v>5</v>
      </c>
      <c r="L3179">
        <v>25</v>
      </c>
      <c r="M3179" t="s">
        <v>89</v>
      </c>
      <c r="N3179">
        <v>0</v>
      </c>
      <c r="O3179">
        <v>0</v>
      </c>
    </row>
    <row r="3180" spans="1:15" x14ac:dyDescent="0.3">
      <c r="A3180">
        <v>3275</v>
      </c>
      <c r="B3180" s="34">
        <v>42516</v>
      </c>
      <c r="C3180">
        <v>1.1153900000000001</v>
      </c>
      <c r="D3180">
        <v>0</v>
      </c>
      <c r="F3180">
        <v>0.45960999999999802</v>
      </c>
      <c r="G3180">
        <v>18.768115942028999</v>
      </c>
      <c r="H3180">
        <v>1</v>
      </c>
      <c r="I3180">
        <v>0.52335880000000001</v>
      </c>
      <c r="J3180">
        <v>2016</v>
      </c>
      <c r="K3180">
        <v>5</v>
      </c>
      <c r="L3180">
        <v>26</v>
      </c>
      <c r="M3180" t="s">
        <v>90</v>
      </c>
      <c r="N3180">
        <v>0</v>
      </c>
      <c r="O3180">
        <v>0</v>
      </c>
    </row>
    <row r="3181" spans="1:15" x14ac:dyDescent="0.3">
      <c r="A3181">
        <v>3276</v>
      </c>
      <c r="B3181" s="34">
        <v>42517</v>
      </c>
      <c r="C3181">
        <v>1.11927</v>
      </c>
      <c r="D3181">
        <v>0</v>
      </c>
      <c r="F3181">
        <v>0.45960999999999802</v>
      </c>
      <c r="G3181">
        <v>18.768115942028999</v>
      </c>
      <c r="H3181">
        <v>1</v>
      </c>
      <c r="I3181">
        <v>0.52350430000000003</v>
      </c>
      <c r="J3181">
        <v>2016</v>
      </c>
      <c r="K3181">
        <v>5</v>
      </c>
      <c r="L3181">
        <v>27</v>
      </c>
      <c r="M3181" t="s">
        <v>91</v>
      </c>
      <c r="N3181">
        <v>0</v>
      </c>
      <c r="O3181">
        <v>0</v>
      </c>
    </row>
    <row r="3182" spans="1:15" x14ac:dyDescent="0.3">
      <c r="A3182">
        <v>3277</v>
      </c>
      <c r="B3182" s="34">
        <v>42520</v>
      </c>
      <c r="C3182">
        <v>1.1113</v>
      </c>
      <c r="D3182">
        <v>0</v>
      </c>
      <c r="F3182">
        <v>0.45960999999999802</v>
      </c>
      <c r="G3182">
        <v>18.768115942028999</v>
      </c>
      <c r="H3182">
        <v>1</v>
      </c>
      <c r="I3182">
        <v>0.5236497</v>
      </c>
      <c r="J3182">
        <v>2016</v>
      </c>
      <c r="K3182">
        <v>5</v>
      </c>
      <c r="L3182">
        <v>30</v>
      </c>
      <c r="M3182" t="s">
        <v>92</v>
      </c>
      <c r="N3182">
        <v>0</v>
      </c>
      <c r="O3182">
        <v>0</v>
      </c>
    </row>
    <row r="3183" spans="1:15" x14ac:dyDescent="0.3">
      <c r="A3183">
        <v>3278</v>
      </c>
      <c r="B3183" s="34">
        <v>42521</v>
      </c>
      <c r="C3183">
        <v>1.1137999999999999</v>
      </c>
      <c r="D3183">
        <v>0</v>
      </c>
      <c r="F3183">
        <v>0.45960999999999802</v>
      </c>
      <c r="G3183">
        <v>18.768115942028999</v>
      </c>
      <c r="H3183">
        <v>1</v>
      </c>
      <c r="I3183">
        <v>0.52379500000000001</v>
      </c>
      <c r="J3183">
        <v>2016</v>
      </c>
      <c r="K3183">
        <v>5</v>
      </c>
      <c r="L3183">
        <v>31</v>
      </c>
      <c r="M3183" t="s">
        <v>93</v>
      </c>
      <c r="N3183">
        <v>0</v>
      </c>
      <c r="O3183">
        <v>0</v>
      </c>
    </row>
    <row r="3184" spans="1:15" x14ac:dyDescent="0.3">
      <c r="A3184">
        <v>3279</v>
      </c>
      <c r="B3184" s="34">
        <v>42522</v>
      </c>
      <c r="C3184">
        <v>1.11303</v>
      </c>
      <c r="D3184">
        <v>2</v>
      </c>
      <c r="E3184" t="s">
        <v>429</v>
      </c>
      <c r="F3184">
        <v>0.46526999999999802</v>
      </c>
      <c r="G3184">
        <v>17.7677624602333</v>
      </c>
      <c r="H3184">
        <v>0</v>
      </c>
      <c r="I3184">
        <v>0.52363530000000003</v>
      </c>
      <c r="J3184">
        <v>2016</v>
      </c>
      <c r="K3184">
        <v>6</v>
      </c>
      <c r="L3184">
        <v>1</v>
      </c>
      <c r="M3184" t="s">
        <v>89</v>
      </c>
      <c r="N3184">
        <v>0</v>
      </c>
      <c r="O3184">
        <v>0</v>
      </c>
    </row>
    <row r="3185" spans="1:15" x14ac:dyDescent="0.3">
      <c r="A3185">
        <v>3280</v>
      </c>
      <c r="B3185" s="34">
        <v>42523</v>
      </c>
      <c r="C3185">
        <v>1.11869</v>
      </c>
      <c r="D3185">
        <v>0</v>
      </c>
      <c r="F3185">
        <v>0.46526999999999802</v>
      </c>
      <c r="G3185">
        <v>17.7677624602333</v>
      </c>
      <c r="H3185">
        <v>0</v>
      </c>
      <c r="I3185">
        <v>0.52347560000000004</v>
      </c>
      <c r="J3185">
        <v>2016</v>
      </c>
      <c r="K3185">
        <v>6</v>
      </c>
      <c r="L3185">
        <v>2</v>
      </c>
      <c r="M3185" t="s">
        <v>90</v>
      </c>
      <c r="N3185">
        <v>0</v>
      </c>
      <c r="O3185">
        <v>0</v>
      </c>
    </row>
    <row r="3186" spans="1:15" x14ac:dyDescent="0.3">
      <c r="A3186">
        <v>3281</v>
      </c>
      <c r="B3186" s="34">
        <v>42524</v>
      </c>
      <c r="C3186">
        <v>1.1151</v>
      </c>
      <c r="D3186">
        <v>0</v>
      </c>
      <c r="F3186">
        <v>0.46526999999999802</v>
      </c>
      <c r="G3186">
        <v>17.7677624602333</v>
      </c>
      <c r="H3186">
        <v>1</v>
      </c>
      <c r="I3186">
        <v>0.5236208</v>
      </c>
      <c r="J3186">
        <v>2016</v>
      </c>
      <c r="K3186">
        <v>6</v>
      </c>
      <c r="L3186">
        <v>3</v>
      </c>
      <c r="M3186" t="s">
        <v>91</v>
      </c>
      <c r="N3186">
        <v>0</v>
      </c>
      <c r="O3186">
        <v>0</v>
      </c>
    </row>
    <row r="3187" spans="1:15" x14ac:dyDescent="0.3">
      <c r="A3187">
        <v>3282</v>
      </c>
      <c r="B3187" s="34">
        <v>42527</v>
      </c>
      <c r="C3187">
        <v>1.13662</v>
      </c>
      <c r="D3187">
        <v>-4</v>
      </c>
      <c r="F3187">
        <v>0.46660999999999803</v>
      </c>
      <c r="G3187">
        <v>17.530929657122599</v>
      </c>
      <c r="H3187">
        <v>0</v>
      </c>
      <c r="I3187">
        <v>0.52346130000000002</v>
      </c>
      <c r="J3187">
        <v>2016</v>
      </c>
      <c r="K3187">
        <v>6</v>
      </c>
      <c r="L3187">
        <v>6</v>
      </c>
      <c r="M3187" t="s">
        <v>92</v>
      </c>
      <c r="N3187">
        <v>0</v>
      </c>
      <c r="O3187">
        <v>0</v>
      </c>
    </row>
    <row r="3188" spans="1:15" x14ac:dyDescent="0.3">
      <c r="A3188">
        <v>3283</v>
      </c>
      <c r="B3188" s="34">
        <v>42528</v>
      </c>
      <c r="C3188">
        <v>1.1352800000000001</v>
      </c>
      <c r="D3188">
        <v>0</v>
      </c>
      <c r="F3188">
        <v>0.46660999999999803</v>
      </c>
      <c r="G3188">
        <v>17.530929657122599</v>
      </c>
      <c r="H3188">
        <v>1</v>
      </c>
      <c r="I3188">
        <v>0.52360649999999997</v>
      </c>
      <c r="J3188">
        <v>2016</v>
      </c>
      <c r="K3188">
        <v>6</v>
      </c>
      <c r="L3188">
        <v>7</v>
      </c>
      <c r="M3188" t="s">
        <v>93</v>
      </c>
      <c r="N3188">
        <v>0</v>
      </c>
      <c r="O3188">
        <v>0</v>
      </c>
    </row>
    <row r="3189" spans="1:15" x14ac:dyDescent="0.3">
      <c r="A3189">
        <v>3284</v>
      </c>
      <c r="B3189" s="34">
        <v>42529</v>
      </c>
      <c r="C3189">
        <v>1.1355500000000001</v>
      </c>
      <c r="D3189">
        <v>0</v>
      </c>
      <c r="F3189">
        <v>0.46660999999999803</v>
      </c>
      <c r="G3189">
        <v>17.530929657122599</v>
      </c>
      <c r="H3189">
        <v>0</v>
      </c>
      <c r="I3189">
        <v>0.523447</v>
      </c>
      <c r="J3189">
        <v>2016</v>
      </c>
      <c r="K3189">
        <v>6</v>
      </c>
      <c r="L3189">
        <v>8</v>
      </c>
      <c r="M3189" t="s">
        <v>89</v>
      </c>
      <c r="N3189">
        <v>0</v>
      </c>
      <c r="O3189">
        <v>0</v>
      </c>
    </row>
    <row r="3190" spans="1:15" x14ac:dyDescent="0.3">
      <c r="A3190">
        <v>3285</v>
      </c>
      <c r="B3190" s="34">
        <v>42530</v>
      </c>
      <c r="C3190">
        <v>1.1393800000000001</v>
      </c>
      <c r="D3190">
        <v>0</v>
      </c>
      <c r="F3190">
        <v>0.46660999999999803</v>
      </c>
      <c r="G3190">
        <v>17.530929657122599</v>
      </c>
      <c r="H3190">
        <v>0</v>
      </c>
      <c r="I3190">
        <v>0.52328770000000002</v>
      </c>
      <c r="J3190">
        <v>2016</v>
      </c>
      <c r="K3190">
        <v>6</v>
      </c>
      <c r="L3190">
        <v>9</v>
      </c>
      <c r="M3190" t="s">
        <v>90</v>
      </c>
      <c r="N3190">
        <v>0</v>
      </c>
      <c r="O3190">
        <v>0</v>
      </c>
    </row>
    <row r="3191" spans="1:15" x14ac:dyDescent="0.3">
      <c r="A3191">
        <v>3286</v>
      </c>
      <c r="B3191" s="34">
        <v>42531</v>
      </c>
      <c r="C3191">
        <v>1.1312899999999999</v>
      </c>
      <c r="D3191">
        <v>0</v>
      </c>
      <c r="F3191">
        <v>0.46660999999999803</v>
      </c>
      <c r="G3191">
        <v>17.530929657122599</v>
      </c>
      <c r="H3191">
        <v>0</v>
      </c>
      <c r="I3191">
        <v>0.52312840000000005</v>
      </c>
      <c r="J3191">
        <v>2016</v>
      </c>
      <c r="K3191">
        <v>6</v>
      </c>
      <c r="L3191">
        <v>10</v>
      </c>
      <c r="M3191" t="s">
        <v>91</v>
      </c>
      <c r="N3191">
        <v>0</v>
      </c>
      <c r="O3191">
        <v>0</v>
      </c>
    </row>
    <row r="3192" spans="1:15" x14ac:dyDescent="0.3">
      <c r="A3192">
        <v>3287</v>
      </c>
      <c r="B3192" s="34">
        <v>42534</v>
      </c>
      <c r="C3192">
        <v>1.1253299999999999</v>
      </c>
      <c r="D3192">
        <v>0</v>
      </c>
      <c r="F3192">
        <v>0.46660999999999803</v>
      </c>
      <c r="G3192">
        <v>17.530929657122599</v>
      </c>
      <c r="H3192">
        <v>1</v>
      </c>
      <c r="I3192">
        <v>0.52327349999999995</v>
      </c>
      <c r="J3192">
        <v>2016</v>
      </c>
      <c r="K3192">
        <v>6</v>
      </c>
      <c r="L3192">
        <v>13</v>
      </c>
      <c r="M3192" t="s">
        <v>92</v>
      </c>
      <c r="N3192">
        <v>0</v>
      </c>
      <c r="O3192">
        <v>0</v>
      </c>
    </row>
    <row r="3193" spans="1:15" x14ac:dyDescent="0.3">
      <c r="A3193">
        <v>3288</v>
      </c>
      <c r="B3193" s="34">
        <v>42535</v>
      </c>
      <c r="C3193">
        <v>1.12893</v>
      </c>
      <c r="D3193">
        <v>0</v>
      </c>
      <c r="F3193">
        <v>0.46660999999999803</v>
      </c>
      <c r="G3193">
        <v>17.530929657122599</v>
      </c>
      <c r="H3193">
        <v>0</v>
      </c>
      <c r="I3193">
        <v>0.52311439999999998</v>
      </c>
      <c r="J3193">
        <v>2016</v>
      </c>
      <c r="K3193">
        <v>6</v>
      </c>
      <c r="L3193">
        <v>14</v>
      </c>
      <c r="M3193" t="s">
        <v>93</v>
      </c>
      <c r="N3193">
        <v>0</v>
      </c>
      <c r="O3193">
        <v>0</v>
      </c>
    </row>
    <row r="3194" spans="1:15" x14ac:dyDescent="0.3">
      <c r="A3194">
        <v>3289</v>
      </c>
      <c r="B3194" s="34">
        <v>42536</v>
      </c>
      <c r="C3194">
        <v>1.12056</v>
      </c>
      <c r="D3194">
        <v>0</v>
      </c>
      <c r="F3194">
        <v>0.46660999999999803</v>
      </c>
      <c r="G3194">
        <v>17.530929657122599</v>
      </c>
      <c r="H3194">
        <v>1</v>
      </c>
      <c r="I3194">
        <v>0.52325929999999998</v>
      </c>
      <c r="J3194">
        <v>2016</v>
      </c>
      <c r="K3194">
        <v>6</v>
      </c>
      <c r="L3194">
        <v>15</v>
      </c>
      <c r="M3194" t="s">
        <v>89</v>
      </c>
      <c r="N3194">
        <v>0</v>
      </c>
      <c r="O3194">
        <v>0</v>
      </c>
    </row>
    <row r="3195" spans="1:15" x14ac:dyDescent="0.3">
      <c r="A3195">
        <v>3290</v>
      </c>
      <c r="B3195" s="34">
        <v>42537</v>
      </c>
      <c r="C3195">
        <v>1.12602</v>
      </c>
      <c r="D3195">
        <v>0</v>
      </c>
      <c r="F3195">
        <v>0.46660999999999803</v>
      </c>
      <c r="G3195">
        <v>17.530929657122599</v>
      </c>
      <c r="H3195">
        <v>0</v>
      </c>
      <c r="I3195">
        <v>0.52310029999999996</v>
      </c>
      <c r="J3195">
        <v>2016</v>
      </c>
      <c r="K3195">
        <v>6</v>
      </c>
      <c r="L3195">
        <v>16</v>
      </c>
      <c r="M3195" t="s">
        <v>90</v>
      </c>
      <c r="N3195">
        <v>0</v>
      </c>
      <c r="O3195">
        <v>0</v>
      </c>
    </row>
    <row r="3196" spans="1:15" x14ac:dyDescent="0.3">
      <c r="A3196">
        <v>3291</v>
      </c>
      <c r="B3196" s="34">
        <v>42538</v>
      </c>
      <c r="C3196">
        <v>1.1223000000000001</v>
      </c>
      <c r="D3196">
        <v>0</v>
      </c>
      <c r="F3196">
        <v>0.46660999999999803</v>
      </c>
      <c r="G3196">
        <v>17.530929657122599</v>
      </c>
      <c r="H3196">
        <v>1</v>
      </c>
      <c r="I3196">
        <v>0.52324519999999997</v>
      </c>
      <c r="J3196">
        <v>2016</v>
      </c>
      <c r="K3196">
        <v>6</v>
      </c>
      <c r="L3196">
        <v>17</v>
      </c>
      <c r="M3196" t="s">
        <v>91</v>
      </c>
      <c r="N3196">
        <v>0</v>
      </c>
      <c r="O3196">
        <v>0</v>
      </c>
    </row>
    <row r="3197" spans="1:15" x14ac:dyDescent="0.3">
      <c r="A3197">
        <v>3292</v>
      </c>
      <c r="B3197" s="34">
        <v>42541</v>
      </c>
      <c r="C3197">
        <v>1.1275200000000001</v>
      </c>
      <c r="D3197">
        <v>0</v>
      </c>
      <c r="F3197">
        <v>0.46660999999999803</v>
      </c>
      <c r="G3197">
        <v>17.530929657122599</v>
      </c>
      <c r="H3197">
        <v>1</v>
      </c>
      <c r="I3197">
        <v>0.52339009999999997</v>
      </c>
      <c r="J3197">
        <v>2016</v>
      </c>
      <c r="K3197">
        <v>6</v>
      </c>
      <c r="L3197">
        <v>20</v>
      </c>
      <c r="M3197" t="s">
        <v>92</v>
      </c>
      <c r="N3197">
        <v>0</v>
      </c>
      <c r="O3197">
        <v>0</v>
      </c>
    </row>
    <row r="3198" spans="1:15" x14ac:dyDescent="0.3">
      <c r="A3198">
        <v>3293</v>
      </c>
      <c r="B3198" s="34">
        <v>42542</v>
      </c>
      <c r="C3198">
        <v>1.13121</v>
      </c>
      <c r="D3198">
        <v>0</v>
      </c>
      <c r="F3198">
        <v>0.46660999999999803</v>
      </c>
      <c r="G3198">
        <v>17.530929657122599</v>
      </c>
      <c r="H3198">
        <v>0</v>
      </c>
      <c r="I3198">
        <v>0.52323109999999995</v>
      </c>
      <c r="J3198">
        <v>2016</v>
      </c>
      <c r="K3198">
        <v>6</v>
      </c>
      <c r="L3198">
        <v>21</v>
      </c>
      <c r="M3198" t="s">
        <v>93</v>
      </c>
      <c r="N3198">
        <v>0</v>
      </c>
      <c r="O3198">
        <v>0</v>
      </c>
    </row>
    <row r="3199" spans="1:15" x14ac:dyDescent="0.3">
      <c r="A3199">
        <v>3294</v>
      </c>
      <c r="B3199" s="34">
        <v>42543</v>
      </c>
      <c r="C3199">
        <v>1.12439</v>
      </c>
      <c r="D3199">
        <v>0</v>
      </c>
      <c r="F3199">
        <v>0.46660999999999803</v>
      </c>
      <c r="G3199">
        <v>17.530929657122599</v>
      </c>
      <c r="H3199">
        <v>1</v>
      </c>
      <c r="I3199">
        <v>0.52337579999999995</v>
      </c>
      <c r="J3199">
        <v>2016</v>
      </c>
      <c r="K3199">
        <v>6</v>
      </c>
      <c r="L3199">
        <v>22</v>
      </c>
      <c r="M3199" t="s">
        <v>89</v>
      </c>
      <c r="N3199">
        <v>0</v>
      </c>
      <c r="O3199">
        <v>0</v>
      </c>
    </row>
    <row r="3200" spans="1:15" x14ac:dyDescent="0.3">
      <c r="A3200">
        <v>3295</v>
      </c>
      <c r="B3200" s="34">
        <v>42544</v>
      </c>
      <c r="C3200">
        <v>1.12947</v>
      </c>
      <c r="D3200">
        <v>0</v>
      </c>
      <c r="F3200">
        <v>0.46660999999999803</v>
      </c>
      <c r="G3200">
        <v>17.530929657122599</v>
      </c>
      <c r="H3200">
        <v>1</v>
      </c>
      <c r="I3200">
        <v>0.52352050000000006</v>
      </c>
      <c r="J3200">
        <v>2016</v>
      </c>
      <c r="K3200">
        <v>6</v>
      </c>
      <c r="L3200">
        <v>23</v>
      </c>
      <c r="M3200" t="s">
        <v>90</v>
      </c>
      <c r="N3200">
        <v>0</v>
      </c>
      <c r="O3200">
        <v>0</v>
      </c>
    </row>
    <row r="3201" spans="1:15" x14ac:dyDescent="0.3">
      <c r="A3201">
        <v>3296</v>
      </c>
      <c r="B3201" s="34">
        <v>42545</v>
      </c>
      <c r="C3201">
        <v>1.13791</v>
      </c>
      <c r="D3201">
        <v>0</v>
      </c>
      <c r="F3201">
        <v>0.46660999999999803</v>
      </c>
      <c r="G3201">
        <v>17.530929657122599</v>
      </c>
      <c r="H3201">
        <v>0</v>
      </c>
      <c r="I3201">
        <v>0.52336159999999998</v>
      </c>
      <c r="J3201">
        <v>2016</v>
      </c>
      <c r="K3201">
        <v>6</v>
      </c>
      <c r="L3201">
        <v>24</v>
      </c>
      <c r="M3201" t="s">
        <v>91</v>
      </c>
      <c r="N3201">
        <v>0</v>
      </c>
      <c r="O3201">
        <v>0</v>
      </c>
    </row>
    <row r="3202" spans="1:15" x14ac:dyDescent="0.3">
      <c r="A3202">
        <v>3297</v>
      </c>
      <c r="B3202" s="34">
        <v>42548</v>
      </c>
      <c r="C3202">
        <v>1.1091200000000001</v>
      </c>
      <c r="D3202">
        <v>0</v>
      </c>
      <c r="F3202">
        <v>0.46660999999999803</v>
      </c>
      <c r="G3202">
        <v>17.530929657122599</v>
      </c>
      <c r="H3202">
        <v>1</v>
      </c>
      <c r="I3202">
        <v>0.52350620000000003</v>
      </c>
      <c r="J3202">
        <v>2016</v>
      </c>
      <c r="K3202">
        <v>6</v>
      </c>
      <c r="L3202">
        <v>27</v>
      </c>
      <c r="M3202" t="s">
        <v>92</v>
      </c>
      <c r="N3202">
        <v>0</v>
      </c>
      <c r="O3202">
        <v>0</v>
      </c>
    </row>
    <row r="3203" spans="1:15" x14ac:dyDescent="0.3">
      <c r="A3203">
        <v>3298</v>
      </c>
      <c r="B3203" s="34">
        <v>42549</v>
      </c>
      <c r="C3203">
        <v>1.1023700000000001</v>
      </c>
      <c r="D3203">
        <v>0</v>
      </c>
      <c r="F3203">
        <v>0.46660999999999803</v>
      </c>
      <c r="G3203">
        <v>17.530929657122599</v>
      </c>
      <c r="H3203">
        <v>0</v>
      </c>
      <c r="I3203">
        <v>0.52334749999999997</v>
      </c>
      <c r="J3203">
        <v>2016</v>
      </c>
      <c r="K3203">
        <v>6</v>
      </c>
      <c r="L3203">
        <v>28</v>
      </c>
      <c r="M3203" t="s">
        <v>93</v>
      </c>
      <c r="N3203">
        <v>0</v>
      </c>
      <c r="O3203">
        <v>0</v>
      </c>
    </row>
    <row r="3204" spans="1:15" x14ac:dyDescent="0.3">
      <c r="A3204">
        <v>3299</v>
      </c>
      <c r="B3204" s="34">
        <v>42550</v>
      </c>
      <c r="C3204">
        <v>1.1064700000000001</v>
      </c>
      <c r="D3204">
        <v>0</v>
      </c>
      <c r="F3204">
        <v>0.46660999999999803</v>
      </c>
      <c r="G3204">
        <v>17.530929657122599</v>
      </c>
      <c r="H3204">
        <v>1</v>
      </c>
      <c r="I3204">
        <v>0.52349199999999996</v>
      </c>
      <c r="J3204">
        <v>2016</v>
      </c>
      <c r="K3204">
        <v>6</v>
      </c>
      <c r="L3204">
        <v>29</v>
      </c>
      <c r="M3204" t="s">
        <v>89</v>
      </c>
      <c r="N3204">
        <v>0</v>
      </c>
      <c r="O3204">
        <v>0</v>
      </c>
    </row>
    <row r="3205" spans="1:15" x14ac:dyDescent="0.3">
      <c r="A3205">
        <v>3300</v>
      </c>
      <c r="B3205" s="34">
        <v>42551</v>
      </c>
      <c r="C3205">
        <v>1.1123499999999999</v>
      </c>
      <c r="D3205">
        <v>0</v>
      </c>
      <c r="F3205">
        <v>0.46660999999999803</v>
      </c>
      <c r="G3205">
        <v>17.530929657122599</v>
      </c>
      <c r="H3205">
        <v>0</v>
      </c>
      <c r="I3205">
        <v>0.5233333</v>
      </c>
      <c r="J3205">
        <v>2016</v>
      </c>
      <c r="K3205">
        <v>6</v>
      </c>
      <c r="L3205">
        <v>30</v>
      </c>
      <c r="M3205" t="s">
        <v>90</v>
      </c>
      <c r="N3205">
        <v>0</v>
      </c>
      <c r="O3205">
        <v>0</v>
      </c>
    </row>
    <row r="3206" spans="1:15" x14ac:dyDescent="0.3">
      <c r="A3206">
        <v>3301</v>
      </c>
      <c r="B3206" s="34">
        <v>42552</v>
      </c>
      <c r="C3206">
        <v>1.1104799999999999</v>
      </c>
      <c r="D3206">
        <v>0</v>
      </c>
      <c r="F3206">
        <v>0.46660999999999803</v>
      </c>
      <c r="G3206">
        <v>17.530929657122599</v>
      </c>
      <c r="H3206">
        <v>1</v>
      </c>
      <c r="I3206">
        <v>0.52347770000000005</v>
      </c>
      <c r="J3206">
        <v>2016</v>
      </c>
      <c r="K3206">
        <v>7</v>
      </c>
      <c r="L3206">
        <v>1</v>
      </c>
      <c r="M3206" t="s">
        <v>91</v>
      </c>
      <c r="N3206">
        <v>0</v>
      </c>
      <c r="O3206">
        <v>0</v>
      </c>
    </row>
    <row r="3207" spans="1:15" x14ac:dyDescent="0.3">
      <c r="A3207">
        <v>3302</v>
      </c>
      <c r="B3207" s="34">
        <v>42555</v>
      </c>
      <c r="C3207">
        <v>1.11361</v>
      </c>
      <c r="D3207">
        <v>0</v>
      </c>
      <c r="F3207">
        <v>0.46660999999999803</v>
      </c>
      <c r="G3207">
        <v>17.530929657122599</v>
      </c>
      <c r="H3207">
        <v>0</v>
      </c>
      <c r="I3207">
        <v>0.52331919999999998</v>
      </c>
      <c r="J3207">
        <v>2016</v>
      </c>
      <c r="K3207">
        <v>7</v>
      </c>
      <c r="L3207">
        <v>4</v>
      </c>
      <c r="M3207" t="s">
        <v>92</v>
      </c>
      <c r="N3207">
        <v>0</v>
      </c>
      <c r="O3207">
        <v>0</v>
      </c>
    </row>
    <row r="3208" spans="1:15" x14ac:dyDescent="0.3">
      <c r="A3208">
        <v>3303</v>
      </c>
      <c r="B3208" s="34">
        <v>42556</v>
      </c>
      <c r="C3208">
        <v>1.1153200000000001</v>
      </c>
      <c r="D3208">
        <v>0</v>
      </c>
      <c r="F3208">
        <v>0.46660999999999803</v>
      </c>
      <c r="G3208">
        <v>17.530929657122599</v>
      </c>
      <c r="H3208">
        <v>0</v>
      </c>
      <c r="I3208">
        <v>0.52316079999999998</v>
      </c>
      <c r="J3208">
        <v>2016</v>
      </c>
      <c r="K3208">
        <v>7</v>
      </c>
      <c r="L3208">
        <v>5</v>
      </c>
      <c r="M3208" t="s">
        <v>93</v>
      </c>
      <c r="N3208">
        <v>0</v>
      </c>
      <c r="O3208">
        <v>0</v>
      </c>
    </row>
    <row r="3209" spans="1:15" x14ac:dyDescent="0.3">
      <c r="A3209">
        <v>3304</v>
      </c>
      <c r="B3209" s="34">
        <v>42557</v>
      </c>
      <c r="C3209">
        <v>1.1074999999999999</v>
      </c>
      <c r="D3209">
        <v>0</v>
      </c>
      <c r="F3209">
        <v>0.46660999999999803</v>
      </c>
      <c r="G3209">
        <v>17.530929657122599</v>
      </c>
      <c r="H3209">
        <v>1</v>
      </c>
      <c r="I3209">
        <v>0.52330509999999997</v>
      </c>
      <c r="J3209">
        <v>2016</v>
      </c>
      <c r="K3209">
        <v>7</v>
      </c>
      <c r="L3209">
        <v>6</v>
      </c>
      <c r="M3209" t="s">
        <v>89</v>
      </c>
      <c r="N3209">
        <v>0</v>
      </c>
      <c r="O3209">
        <v>0</v>
      </c>
    </row>
    <row r="3210" spans="1:15" x14ac:dyDescent="0.3">
      <c r="A3210">
        <v>3305</v>
      </c>
      <c r="B3210" s="34">
        <v>42558</v>
      </c>
      <c r="C3210">
        <v>1.10989</v>
      </c>
      <c r="D3210">
        <v>0</v>
      </c>
      <c r="F3210">
        <v>0.46660999999999803</v>
      </c>
      <c r="G3210">
        <v>17.530929657122599</v>
      </c>
      <c r="H3210">
        <v>1</v>
      </c>
      <c r="I3210">
        <v>0.52344930000000001</v>
      </c>
      <c r="J3210">
        <v>2016</v>
      </c>
      <c r="K3210">
        <v>7</v>
      </c>
      <c r="L3210">
        <v>7</v>
      </c>
      <c r="M3210" t="s">
        <v>90</v>
      </c>
      <c r="N3210">
        <v>0</v>
      </c>
      <c r="O3210">
        <v>0</v>
      </c>
    </row>
    <row r="3211" spans="1:15" x14ac:dyDescent="0.3">
      <c r="A3211">
        <v>3306</v>
      </c>
      <c r="B3211" s="34">
        <v>42559</v>
      </c>
      <c r="C3211">
        <v>1.1060099999999999</v>
      </c>
      <c r="D3211">
        <v>0</v>
      </c>
      <c r="F3211">
        <v>0.46660999999999803</v>
      </c>
      <c r="G3211">
        <v>17.530929657122599</v>
      </c>
      <c r="H3211">
        <v>0</v>
      </c>
      <c r="I3211">
        <v>0.52329099999999995</v>
      </c>
      <c r="J3211">
        <v>2016</v>
      </c>
      <c r="K3211">
        <v>7</v>
      </c>
      <c r="L3211">
        <v>8</v>
      </c>
      <c r="M3211" t="s">
        <v>91</v>
      </c>
      <c r="N3211">
        <v>0</v>
      </c>
      <c r="O3211">
        <v>0</v>
      </c>
    </row>
    <row r="3212" spans="1:15" x14ac:dyDescent="0.3">
      <c r="A3212">
        <v>3307</v>
      </c>
      <c r="B3212" s="34">
        <v>42562</v>
      </c>
      <c r="C3212">
        <v>1.10497</v>
      </c>
      <c r="D3212">
        <v>0</v>
      </c>
      <c r="F3212">
        <v>0.46660999999999803</v>
      </c>
      <c r="G3212">
        <v>17.530929657122599</v>
      </c>
      <c r="H3212">
        <v>0</v>
      </c>
      <c r="I3212">
        <v>0.52313270000000001</v>
      </c>
      <c r="J3212">
        <v>2016</v>
      </c>
      <c r="K3212">
        <v>7</v>
      </c>
      <c r="L3212">
        <v>11</v>
      </c>
      <c r="M3212" t="s">
        <v>92</v>
      </c>
      <c r="N3212">
        <v>0</v>
      </c>
      <c r="O3212">
        <v>0</v>
      </c>
    </row>
    <row r="3213" spans="1:15" x14ac:dyDescent="0.3">
      <c r="A3213">
        <v>3308</v>
      </c>
      <c r="B3213" s="34">
        <v>42563</v>
      </c>
      <c r="C3213">
        <v>1.10568</v>
      </c>
      <c r="D3213">
        <v>0</v>
      </c>
      <c r="F3213">
        <v>0.46660999999999803</v>
      </c>
      <c r="G3213">
        <v>17.530929657122599</v>
      </c>
      <c r="H3213">
        <v>1</v>
      </c>
      <c r="I3213">
        <v>0.52327690000000004</v>
      </c>
      <c r="J3213">
        <v>2016</v>
      </c>
      <c r="K3213">
        <v>7</v>
      </c>
      <c r="L3213">
        <v>12</v>
      </c>
      <c r="M3213" t="s">
        <v>93</v>
      </c>
      <c r="N3213">
        <v>0</v>
      </c>
      <c r="O3213">
        <v>0</v>
      </c>
    </row>
    <row r="3214" spans="1:15" x14ac:dyDescent="0.3">
      <c r="A3214">
        <v>3309</v>
      </c>
      <c r="B3214" s="34">
        <v>42564</v>
      </c>
      <c r="C3214">
        <v>1.1060399999999999</v>
      </c>
      <c r="D3214">
        <v>0</v>
      </c>
      <c r="F3214">
        <v>0.46660999999999803</v>
      </c>
      <c r="G3214">
        <v>17.530929657122599</v>
      </c>
      <c r="H3214">
        <v>1</v>
      </c>
      <c r="I3214">
        <v>0.52342100000000003</v>
      </c>
      <c r="J3214">
        <v>2016</v>
      </c>
      <c r="K3214">
        <v>7</v>
      </c>
      <c r="L3214">
        <v>13</v>
      </c>
      <c r="M3214" t="s">
        <v>89</v>
      </c>
      <c r="N3214">
        <v>0</v>
      </c>
      <c r="O3214">
        <v>0</v>
      </c>
    </row>
    <row r="3215" spans="1:15" x14ac:dyDescent="0.3">
      <c r="A3215">
        <v>3310</v>
      </c>
      <c r="B3215" s="34">
        <v>42565</v>
      </c>
      <c r="C3215">
        <v>1.10883</v>
      </c>
      <c r="D3215">
        <v>0</v>
      </c>
      <c r="F3215">
        <v>0.46660999999999803</v>
      </c>
      <c r="G3215">
        <v>17.530929657122599</v>
      </c>
      <c r="H3215">
        <v>0</v>
      </c>
      <c r="I3215">
        <v>0.52326289999999998</v>
      </c>
      <c r="J3215">
        <v>2016</v>
      </c>
      <c r="K3215">
        <v>7</v>
      </c>
      <c r="L3215">
        <v>14</v>
      </c>
      <c r="M3215" t="s">
        <v>90</v>
      </c>
      <c r="N3215">
        <v>0</v>
      </c>
      <c r="O3215">
        <v>0</v>
      </c>
    </row>
    <row r="3216" spans="1:15" x14ac:dyDescent="0.3">
      <c r="A3216">
        <v>3311</v>
      </c>
      <c r="B3216" s="34">
        <v>42566</v>
      </c>
      <c r="C3216">
        <v>1.11191</v>
      </c>
      <c r="D3216">
        <v>0</v>
      </c>
      <c r="F3216">
        <v>0.46660999999999803</v>
      </c>
      <c r="G3216">
        <v>17.530929657122599</v>
      </c>
      <c r="H3216">
        <v>0</v>
      </c>
      <c r="I3216">
        <v>0.52310480000000004</v>
      </c>
      <c r="J3216">
        <v>2016</v>
      </c>
      <c r="K3216">
        <v>7</v>
      </c>
      <c r="L3216">
        <v>15</v>
      </c>
      <c r="M3216" t="s">
        <v>91</v>
      </c>
      <c r="N3216">
        <v>0</v>
      </c>
      <c r="O3216">
        <v>0</v>
      </c>
    </row>
    <row r="3217" spans="1:15" x14ac:dyDescent="0.3">
      <c r="A3217">
        <v>3312</v>
      </c>
      <c r="B3217" s="34">
        <v>42569</v>
      </c>
      <c r="C3217">
        <v>1.1024400000000001</v>
      </c>
      <c r="D3217">
        <v>0</v>
      </c>
      <c r="F3217">
        <v>0.46660999999999803</v>
      </c>
      <c r="G3217">
        <v>17.530929657122599</v>
      </c>
      <c r="H3217">
        <v>1</v>
      </c>
      <c r="I3217">
        <v>0.52324879999999996</v>
      </c>
      <c r="J3217">
        <v>2016</v>
      </c>
      <c r="K3217">
        <v>7</v>
      </c>
      <c r="L3217">
        <v>18</v>
      </c>
      <c r="M3217" t="s">
        <v>92</v>
      </c>
      <c r="N3217">
        <v>0</v>
      </c>
      <c r="O3217">
        <v>0</v>
      </c>
    </row>
    <row r="3218" spans="1:15" x14ac:dyDescent="0.3">
      <c r="A3218">
        <v>3313</v>
      </c>
      <c r="B3218" s="34">
        <v>42570</v>
      </c>
      <c r="C3218">
        <v>1.10748</v>
      </c>
      <c r="D3218">
        <v>0</v>
      </c>
      <c r="F3218">
        <v>0.46660999999999803</v>
      </c>
      <c r="G3218">
        <v>17.530929657122599</v>
      </c>
      <c r="H3218">
        <v>1</v>
      </c>
      <c r="I3218">
        <v>0.52339270000000004</v>
      </c>
      <c r="J3218">
        <v>2016</v>
      </c>
      <c r="K3218">
        <v>7</v>
      </c>
      <c r="L3218">
        <v>19</v>
      </c>
      <c r="M3218" t="s">
        <v>93</v>
      </c>
      <c r="N3218">
        <v>0</v>
      </c>
      <c r="O3218">
        <v>0</v>
      </c>
    </row>
    <row r="3219" spans="1:15" x14ac:dyDescent="0.3">
      <c r="A3219">
        <v>3314</v>
      </c>
      <c r="B3219" s="34">
        <v>42571</v>
      </c>
      <c r="C3219">
        <v>1.10189</v>
      </c>
      <c r="D3219">
        <v>0</v>
      </c>
      <c r="F3219">
        <v>0.46660999999999803</v>
      </c>
      <c r="G3219">
        <v>17.530929657122599</v>
      </c>
      <c r="H3219">
        <v>1</v>
      </c>
      <c r="I3219">
        <v>0.52353649999999996</v>
      </c>
      <c r="J3219">
        <v>2016</v>
      </c>
      <c r="K3219">
        <v>7</v>
      </c>
      <c r="L3219">
        <v>20</v>
      </c>
      <c r="M3219" t="s">
        <v>89</v>
      </c>
      <c r="N3219">
        <v>0</v>
      </c>
      <c r="O3219">
        <v>0</v>
      </c>
    </row>
    <row r="3220" spans="1:15" x14ac:dyDescent="0.3">
      <c r="A3220">
        <v>3315</v>
      </c>
      <c r="B3220" s="34">
        <v>42572</v>
      </c>
      <c r="C3220">
        <v>1.1012900000000001</v>
      </c>
      <c r="D3220">
        <v>0</v>
      </c>
      <c r="F3220">
        <v>0.46660999999999803</v>
      </c>
      <c r="G3220">
        <v>17.530929657122599</v>
      </c>
      <c r="H3220">
        <v>0</v>
      </c>
      <c r="I3220">
        <v>0.52337860000000003</v>
      </c>
      <c r="J3220">
        <v>2016</v>
      </c>
      <c r="K3220">
        <v>7</v>
      </c>
      <c r="L3220">
        <v>21</v>
      </c>
      <c r="M3220" t="s">
        <v>90</v>
      </c>
      <c r="N3220">
        <v>0</v>
      </c>
      <c r="O3220">
        <v>0</v>
      </c>
    </row>
    <row r="3221" spans="1:15" x14ac:dyDescent="0.3">
      <c r="A3221">
        <v>3316</v>
      </c>
      <c r="B3221" s="34">
        <v>42573</v>
      </c>
      <c r="C3221">
        <v>1.1023700000000001</v>
      </c>
      <c r="D3221">
        <v>0</v>
      </c>
      <c r="F3221">
        <v>0.46660999999999803</v>
      </c>
      <c r="G3221">
        <v>17.530929657122599</v>
      </c>
      <c r="H3221">
        <v>1</v>
      </c>
      <c r="I3221">
        <v>0.5235223</v>
      </c>
      <c r="J3221">
        <v>2016</v>
      </c>
      <c r="K3221">
        <v>7</v>
      </c>
      <c r="L3221">
        <v>22</v>
      </c>
      <c r="M3221" t="s">
        <v>91</v>
      </c>
      <c r="N3221">
        <v>0</v>
      </c>
      <c r="O3221">
        <v>0</v>
      </c>
    </row>
    <row r="3222" spans="1:15" x14ac:dyDescent="0.3">
      <c r="A3222">
        <v>3317</v>
      </c>
      <c r="B3222" s="34">
        <v>42576</v>
      </c>
      <c r="C3222">
        <v>1.0974699999999999</v>
      </c>
      <c r="D3222">
        <v>0</v>
      </c>
      <c r="F3222">
        <v>0.46660999999999803</v>
      </c>
      <c r="G3222">
        <v>17.530929657122599</v>
      </c>
      <c r="H3222">
        <v>1</v>
      </c>
      <c r="I3222">
        <v>0.52366599999999996</v>
      </c>
      <c r="J3222">
        <v>2016</v>
      </c>
      <c r="K3222">
        <v>7</v>
      </c>
      <c r="L3222">
        <v>25</v>
      </c>
      <c r="M3222" t="s">
        <v>92</v>
      </c>
      <c r="N3222">
        <v>0</v>
      </c>
      <c r="O3222">
        <v>0</v>
      </c>
    </row>
    <row r="3223" spans="1:15" x14ac:dyDescent="0.3">
      <c r="A3223">
        <v>3318</v>
      </c>
      <c r="B3223" s="34">
        <v>42577</v>
      </c>
      <c r="C3223">
        <v>1.0994200000000001</v>
      </c>
      <c r="D3223">
        <v>0</v>
      </c>
      <c r="F3223">
        <v>0.46660999999999803</v>
      </c>
      <c r="G3223">
        <v>17.530929657122599</v>
      </c>
      <c r="H3223">
        <v>1</v>
      </c>
      <c r="I3223">
        <v>0.52380959999999999</v>
      </c>
      <c r="J3223">
        <v>2016</v>
      </c>
      <c r="K3223">
        <v>7</v>
      </c>
      <c r="L3223">
        <v>26</v>
      </c>
      <c r="M3223" t="s">
        <v>93</v>
      </c>
      <c r="N3223">
        <v>0</v>
      </c>
      <c r="O3223">
        <v>0</v>
      </c>
    </row>
    <row r="3224" spans="1:15" x14ac:dyDescent="0.3">
      <c r="A3224">
        <v>3319</v>
      </c>
      <c r="B3224" s="34">
        <v>42578</v>
      </c>
      <c r="C3224">
        <v>1.0985499999999999</v>
      </c>
      <c r="D3224">
        <v>0</v>
      </c>
      <c r="F3224">
        <v>0.46660999999999803</v>
      </c>
      <c r="G3224">
        <v>17.530929657122599</v>
      </c>
      <c r="H3224">
        <v>1</v>
      </c>
      <c r="I3224">
        <v>0.523953</v>
      </c>
      <c r="J3224">
        <v>2016</v>
      </c>
      <c r="K3224">
        <v>7</v>
      </c>
      <c r="L3224">
        <v>27</v>
      </c>
      <c r="M3224" t="s">
        <v>89</v>
      </c>
      <c r="N3224">
        <v>0</v>
      </c>
      <c r="O3224">
        <v>0</v>
      </c>
    </row>
    <row r="3225" spans="1:15" x14ac:dyDescent="0.3">
      <c r="A3225">
        <v>3320</v>
      </c>
      <c r="B3225" s="34">
        <v>42579</v>
      </c>
      <c r="C3225">
        <v>1.1058300000000001</v>
      </c>
      <c r="D3225">
        <v>0</v>
      </c>
      <c r="F3225">
        <v>0.46660999999999803</v>
      </c>
      <c r="G3225">
        <v>17.530929657122599</v>
      </c>
      <c r="H3225">
        <v>0</v>
      </c>
      <c r="I3225">
        <v>0.52379520000000002</v>
      </c>
      <c r="J3225">
        <v>2016</v>
      </c>
      <c r="K3225">
        <v>7</v>
      </c>
      <c r="L3225">
        <v>28</v>
      </c>
      <c r="M3225" t="s">
        <v>90</v>
      </c>
      <c r="N3225">
        <v>0</v>
      </c>
      <c r="O3225">
        <v>0</v>
      </c>
    </row>
    <row r="3226" spans="1:15" x14ac:dyDescent="0.3">
      <c r="A3226">
        <v>3321</v>
      </c>
      <c r="B3226" s="34">
        <v>42580</v>
      </c>
      <c r="C3226">
        <v>1.1075699999999999</v>
      </c>
      <c r="D3226">
        <v>0</v>
      </c>
      <c r="F3226">
        <v>0.46660999999999803</v>
      </c>
      <c r="G3226">
        <v>17.530929657122599</v>
      </c>
      <c r="H3226">
        <v>0</v>
      </c>
      <c r="I3226">
        <v>0.52363749999999998</v>
      </c>
      <c r="J3226">
        <v>2016</v>
      </c>
      <c r="K3226">
        <v>7</v>
      </c>
      <c r="L3226">
        <v>29</v>
      </c>
      <c r="M3226" t="s">
        <v>91</v>
      </c>
      <c r="N3226">
        <v>0</v>
      </c>
      <c r="O3226">
        <v>0</v>
      </c>
    </row>
    <row r="3227" spans="1:15" x14ac:dyDescent="0.3">
      <c r="A3227">
        <v>3322</v>
      </c>
      <c r="B3227" s="34">
        <v>42583</v>
      </c>
      <c r="C3227">
        <v>1.1174299999999999</v>
      </c>
      <c r="D3227">
        <v>0</v>
      </c>
      <c r="F3227">
        <v>0.46660999999999803</v>
      </c>
      <c r="G3227">
        <v>17.530929657122599</v>
      </c>
      <c r="H3227">
        <v>0</v>
      </c>
      <c r="I3227">
        <v>0.52347980000000005</v>
      </c>
      <c r="J3227">
        <v>2016</v>
      </c>
      <c r="K3227">
        <v>8</v>
      </c>
      <c r="L3227">
        <v>1</v>
      </c>
      <c r="M3227" t="s">
        <v>92</v>
      </c>
      <c r="N3227">
        <v>0</v>
      </c>
      <c r="O3227">
        <v>0</v>
      </c>
    </row>
    <row r="3228" spans="1:15" x14ac:dyDescent="0.3">
      <c r="A3228">
        <v>3323</v>
      </c>
      <c r="B3228" s="34">
        <v>42584</v>
      </c>
      <c r="C3228">
        <v>1.1161399999999999</v>
      </c>
      <c r="D3228">
        <v>0</v>
      </c>
      <c r="F3228">
        <v>0.46660999999999803</v>
      </c>
      <c r="G3228">
        <v>17.530929657122599</v>
      </c>
      <c r="H3228">
        <v>1</v>
      </c>
      <c r="I3228">
        <v>0.52362319999999996</v>
      </c>
      <c r="J3228">
        <v>2016</v>
      </c>
      <c r="K3228">
        <v>8</v>
      </c>
      <c r="L3228">
        <v>2</v>
      </c>
      <c r="M3228" t="s">
        <v>93</v>
      </c>
      <c r="N3228">
        <v>0</v>
      </c>
      <c r="O3228">
        <v>0</v>
      </c>
    </row>
    <row r="3229" spans="1:15" x14ac:dyDescent="0.3">
      <c r="A3229">
        <v>3324</v>
      </c>
      <c r="B3229" s="34">
        <v>42585</v>
      </c>
      <c r="C3229">
        <v>1.12209</v>
      </c>
      <c r="D3229">
        <v>0</v>
      </c>
      <c r="F3229">
        <v>0.46660999999999803</v>
      </c>
      <c r="G3229">
        <v>17.530929657122599</v>
      </c>
      <c r="H3229">
        <v>0</v>
      </c>
      <c r="I3229">
        <v>0.52346570000000003</v>
      </c>
      <c r="J3229">
        <v>2016</v>
      </c>
      <c r="K3229">
        <v>8</v>
      </c>
      <c r="L3229">
        <v>3</v>
      </c>
      <c r="M3229" t="s">
        <v>89</v>
      </c>
      <c r="N3229">
        <v>0</v>
      </c>
      <c r="O3229">
        <v>0</v>
      </c>
    </row>
    <row r="3230" spans="1:15" x14ac:dyDescent="0.3">
      <c r="A3230">
        <v>3325</v>
      </c>
      <c r="B3230" s="34">
        <v>42586</v>
      </c>
      <c r="C3230">
        <v>1.1147400000000001</v>
      </c>
      <c r="D3230">
        <v>0</v>
      </c>
      <c r="F3230">
        <v>0.46660999999999803</v>
      </c>
      <c r="G3230">
        <v>17.530929657122599</v>
      </c>
      <c r="H3230">
        <v>1</v>
      </c>
      <c r="I3230">
        <v>0.52360899999999999</v>
      </c>
      <c r="J3230">
        <v>2016</v>
      </c>
      <c r="K3230">
        <v>8</v>
      </c>
      <c r="L3230">
        <v>4</v>
      </c>
      <c r="M3230" t="s">
        <v>90</v>
      </c>
      <c r="N3230">
        <v>0</v>
      </c>
      <c r="O3230">
        <v>0</v>
      </c>
    </row>
    <row r="3231" spans="1:15" x14ac:dyDescent="0.3">
      <c r="A3231">
        <v>3326</v>
      </c>
      <c r="B3231" s="34">
        <v>42587</v>
      </c>
      <c r="C3231">
        <v>1.1128199999999999</v>
      </c>
      <c r="D3231">
        <v>0</v>
      </c>
      <c r="F3231">
        <v>0.46660999999999803</v>
      </c>
      <c r="G3231">
        <v>17.530929657122599</v>
      </c>
      <c r="H3231">
        <v>0</v>
      </c>
      <c r="I3231">
        <v>0.52345160000000002</v>
      </c>
      <c r="J3231">
        <v>2016</v>
      </c>
      <c r="K3231">
        <v>8</v>
      </c>
      <c r="L3231">
        <v>5</v>
      </c>
      <c r="M3231" t="s">
        <v>91</v>
      </c>
      <c r="N3231">
        <v>0</v>
      </c>
      <c r="O3231">
        <v>0</v>
      </c>
    </row>
    <row r="3232" spans="1:15" x14ac:dyDescent="0.3">
      <c r="A3232">
        <v>3327</v>
      </c>
      <c r="B3232" s="34">
        <v>42590</v>
      </c>
      <c r="C3232">
        <v>1.10867</v>
      </c>
      <c r="D3232">
        <v>0</v>
      </c>
      <c r="F3232">
        <v>0.46660999999999803</v>
      </c>
      <c r="G3232">
        <v>17.530929657122599</v>
      </c>
      <c r="H3232">
        <v>0</v>
      </c>
      <c r="I3232">
        <v>0.52329429999999999</v>
      </c>
      <c r="J3232">
        <v>2016</v>
      </c>
      <c r="K3232">
        <v>8</v>
      </c>
      <c r="L3232">
        <v>8</v>
      </c>
      <c r="M3232" t="s">
        <v>92</v>
      </c>
      <c r="N3232">
        <v>0</v>
      </c>
      <c r="O3232">
        <v>0</v>
      </c>
    </row>
    <row r="3233" spans="1:15" x14ac:dyDescent="0.3">
      <c r="A3233">
        <v>3328</v>
      </c>
      <c r="B3233" s="34">
        <v>42591</v>
      </c>
      <c r="C3233">
        <v>1.1087800000000001</v>
      </c>
      <c r="D3233">
        <v>0</v>
      </c>
      <c r="F3233">
        <v>0.46660999999999803</v>
      </c>
      <c r="G3233">
        <v>17.530929657122599</v>
      </c>
      <c r="H3233">
        <v>1</v>
      </c>
      <c r="I3233">
        <v>0.5234375</v>
      </c>
      <c r="J3233">
        <v>2016</v>
      </c>
      <c r="K3233">
        <v>8</v>
      </c>
      <c r="L3233">
        <v>9</v>
      </c>
      <c r="M3233" t="s">
        <v>93</v>
      </c>
      <c r="N3233">
        <v>0</v>
      </c>
      <c r="O3233">
        <v>0</v>
      </c>
    </row>
    <row r="3234" spans="1:15" x14ac:dyDescent="0.3">
      <c r="A3234">
        <v>3329</v>
      </c>
      <c r="B3234" s="34">
        <v>42592</v>
      </c>
      <c r="C3234">
        <v>1.1116900000000001</v>
      </c>
      <c r="D3234">
        <v>0</v>
      </c>
      <c r="F3234">
        <v>0.46660999999999803</v>
      </c>
      <c r="G3234">
        <v>17.530929657122599</v>
      </c>
      <c r="H3234">
        <v>1</v>
      </c>
      <c r="I3234">
        <v>0.52358070000000001</v>
      </c>
      <c r="J3234">
        <v>2016</v>
      </c>
      <c r="K3234">
        <v>8</v>
      </c>
      <c r="L3234">
        <v>10</v>
      </c>
      <c r="M3234" t="s">
        <v>89</v>
      </c>
      <c r="N3234">
        <v>0</v>
      </c>
      <c r="O3234">
        <v>0</v>
      </c>
    </row>
    <row r="3235" spans="1:15" x14ac:dyDescent="0.3">
      <c r="A3235">
        <v>3330</v>
      </c>
      <c r="B3235" s="34">
        <v>42593</v>
      </c>
      <c r="C3235">
        <v>1.11744</v>
      </c>
      <c r="D3235">
        <v>0</v>
      </c>
      <c r="F3235">
        <v>0.46660999999999803</v>
      </c>
      <c r="G3235">
        <v>17.530929657122599</v>
      </c>
      <c r="H3235">
        <v>0</v>
      </c>
      <c r="I3235">
        <v>0.52342339999999998</v>
      </c>
      <c r="J3235">
        <v>2016</v>
      </c>
      <c r="K3235">
        <v>8</v>
      </c>
      <c r="L3235">
        <v>11</v>
      </c>
      <c r="M3235" t="s">
        <v>90</v>
      </c>
      <c r="N3235">
        <v>0</v>
      </c>
      <c r="O3235">
        <v>0</v>
      </c>
    </row>
    <row r="3236" spans="1:15" x14ac:dyDescent="0.3">
      <c r="A3236">
        <v>3331</v>
      </c>
      <c r="B3236" s="34">
        <v>42594</v>
      </c>
      <c r="C3236">
        <v>1.11354</v>
      </c>
      <c r="D3236">
        <v>0</v>
      </c>
      <c r="F3236">
        <v>0.46660999999999803</v>
      </c>
      <c r="G3236">
        <v>17.530929657122599</v>
      </c>
      <c r="H3236">
        <v>1</v>
      </c>
      <c r="I3236">
        <v>0.52356650000000005</v>
      </c>
      <c r="J3236">
        <v>2016</v>
      </c>
      <c r="K3236">
        <v>8</v>
      </c>
      <c r="L3236">
        <v>12</v>
      </c>
      <c r="M3236" t="s">
        <v>91</v>
      </c>
      <c r="N3236">
        <v>0</v>
      </c>
      <c r="O3236">
        <v>0</v>
      </c>
    </row>
    <row r="3237" spans="1:15" x14ac:dyDescent="0.3">
      <c r="A3237">
        <v>3332</v>
      </c>
      <c r="B3237" s="34">
        <v>42597</v>
      </c>
      <c r="C3237">
        <v>1.1163400000000001</v>
      </c>
      <c r="D3237">
        <v>0</v>
      </c>
      <c r="F3237">
        <v>0.46660999999999803</v>
      </c>
      <c r="G3237">
        <v>17.530929657122599</v>
      </c>
      <c r="H3237">
        <v>0</v>
      </c>
      <c r="I3237">
        <v>0.52340940000000002</v>
      </c>
      <c r="J3237">
        <v>2016</v>
      </c>
      <c r="K3237">
        <v>8</v>
      </c>
      <c r="L3237">
        <v>15</v>
      </c>
      <c r="M3237" t="s">
        <v>92</v>
      </c>
      <c r="N3237">
        <v>0</v>
      </c>
      <c r="O3237">
        <v>0</v>
      </c>
    </row>
    <row r="3238" spans="1:15" x14ac:dyDescent="0.3">
      <c r="A3238">
        <v>3333</v>
      </c>
      <c r="B3238" s="34">
        <v>42598</v>
      </c>
      <c r="C3238">
        <v>1.11825</v>
      </c>
      <c r="D3238">
        <v>0</v>
      </c>
      <c r="F3238">
        <v>0.46660999999999803</v>
      </c>
      <c r="G3238">
        <v>17.530929657122599</v>
      </c>
      <c r="H3238">
        <v>0</v>
      </c>
      <c r="I3238">
        <v>0.5232523</v>
      </c>
      <c r="J3238">
        <v>2016</v>
      </c>
      <c r="K3238">
        <v>8</v>
      </c>
      <c r="L3238">
        <v>16</v>
      </c>
      <c r="M3238" t="s">
        <v>93</v>
      </c>
      <c r="N3238">
        <v>0</v>
      </c>
      <c r="O3238">
        <v>0</v>
      </c>
    </row>
    <row r="3239" spans="1:15" x14ac:dyDescent="0.3">
      <c r="A3239">
        <v>3334</v>
      </c>
      <c r="B3239" s="34">
        <v>42599</v>
      </c>
      <c r="C3239">
        <v>1.1277200000000001</v>
      </c>
      <c r="D3239">
        <v>0</v>
      </c>
      <c r="F3239">
        <v>0.46660999999999803</v>
      </c>
      <c r="G3239">
        <v>17.530929657122599</v>
      </c>
      <c r="H3239">
        <v>0</v>
      </c>
      <c r="I3239">
        <v>0.52309539999999999</v>
      </c>
      <c r="J3239">
        <v>2016</v>
      </c>
      <c r="K3239">
        <v>8</v>
      </c>
      <c r="L3239">
        <v>17</v>
      </c>
      <c r="M3239" t="s">
        <v>89</v>
      </c>
      <c r="N3239">
        <v>0</v>
      </c>
      <c r="O3239">
        <v>0</v>
      </c>
    </row>
    <row r="3240" spans="1:15" x14ac:dyDescent="0.3">
      <c r="A3240">
        <v>3335</v>
      </c>
      <c r="B3240" s="34">
        <v>42600</v>
      </c>
      <c r="C3240">
        <v>1.1287400000000001</v>
      </c>
      <c r="D3240">
        <v>0</v>
      </c>
      <c r="F3240">
        <v>0.46660999999999803</v>
      </c>
      <c r="G3240">
        <v>17.530929657122599</v>
      </c>
      <c r="H3240">
        <v>0</v>
      </c>
      <c r="I3240">
        <v>0.52293849999999997</v>
      </c>
      <c r="J3240">
        <v>2016</v>
      </c>
      <c r="K3240">
        <v>8</v>
      </c>
      <c r="L3240">
        <v>18</v>
      </c>
      <c r="M3240" t="s">
        <v>90</v>
      </c>
      <c r="N3240">
        <v>0</v>
      </c>
      <c r="O3240">
        <v>0</v>
      </c>
    </row>
    <row r="3241" spans="1:15" x14ac:dyDescent="0.3">
      <c r="A3241">
        <v>3336</v>
      </c>
      <c r="B3241" s="34">
        <v>42601</v>
      </c>
      <c r="C3241">
        <v>1.1353599999999999</v>
      </c>
      <c r="D3241">
        <v>0</v>
      </c>
      <c r="F3241">
        <v>0.46660999999999803</v>
      </c>
      <c r="G3241">
        <v>17.530929657122599</v>
      </c>
      <c r="H3241">
        <v>0</v>
      </c>
      <c r="I3241">
        <v>0.52278179999999996</v>
      </c>
      <c r="J3241">
        <v>2016</v>
      </c>
      <c r="K3241">
        <v>8</v>
      </c>
      <c r="L3241">
        <v>19</v>
      </c>
      <c r="M3241" t="s">
        <v>91</v>
      </c>
      <c r="N3241">
        <v>0</v>
      </c>
      <c r="O3241">
        <v>0</v>
      </c>
    </row>
    <row r="3242" spans="1:15" x14ac:dyDescent="0.3">
      <c r="A3242">
        <v>3337</v>
      </c>
      <c r="B3242" s="34">
        <v>42604</v>
      </c>
      <c r="C3242">
        <v>1.1323700000000001</v>
      </c>
      <c r="D3242">
        <v>0</v>
      </c>
      <c r="F3242">
        <v>0.46660999999999803</v>
      </c>
      <c r="G3242">
        <v>17.530929657122599</v>
      </c>
      <c r="H3242">
        <v>1</v>
      </c>
      <c r="I3242">
        <v>0.52292479999999997</v>
      </c>
      <c r="J3242">
        <v>2016</v>
      </c>
      <c r="K3242">
        <v>8</v>
      </c>
      <c r="L3242">
        <v>22</v>
      </c>
      <c r="M3242" t="s">
        <v>92</v>
      </c>
      <c r="N3242">
        <v>0</v>
      </c>
      <c r="O3242">
        <v>0</v>
      </c>
    </row>
    <row r="3243" spans="1:15" x14ac:dyDescent="0.3">
      <c r="A3243">
        <v>3338</v>
      </c>
      <c r="B3243" s="34">
        <v>42605</v>
      </c>
      <c r="C3243">
        <v>1.1318999999999999</v>
      </c>
      <c r="D3243">
        <v>0</v>
      </c>
      <c r="F3243">
        <v>0.46660999999999803</v>
      </c>
      <c r="G3243">
        <v>17.530929657122599</v>
      </c>
      <c r="H3243">
        <v>1</v>
      </c>
      <c r="I3243">
        <v>0.52306770000000002</v>
      </c>
      <c r="J3243">
        <v>2016</v>
      </c>
      <c r="K3243">
        <v>8</v>
      </c>
      <c r="L3243">
        <v>23</v>
      </c>
      <c r="M3243" t="s">
        <v>93</v>
      </c>
      <c r="N3243">
        <v>0</v>
      </c>
      <c r="O3243">
        <v>0</v>
      </c>
    </row>
    <row r="3244" spans="1:15" x14ac:dyDescent="0.3">
      <c r="A3244">
        <v>3339</v>
      </c>
      <c r="B3244" s="34">
        <v>42606</v>
      </c>
      <c r="C3244">
        <v>1.1304099999999999</v>
      </c>
      <c r="D3244">
        <v>6</v>
      </c>
      <c r="E3244" t="s">
        <v>430</v>
      </c>
      <c r="F3244">
        <v>0.462479999999998</v>
      </c>
      <c r="G3244">
        <v>18.260869565217401</v>
      </c>
      <c r="H3244">
        <v>1</v>
      </c>
      <c r="I3244">
        <v>0.52321050000000002</v>
      </c>
      <c r="J3244">
        <v>2016</v>
      </c>
      <c r="K3244">
        <v>8</v>
      </c>
      <c r="L3244">
        <v>24</v>
      </c>
      <c r="M3244" t="s">
        <v>89</v>
      </c>
      <c r="N3244">
        <v>0</v>
      </c>
      <c r="O3244">
        <v>0</v>
      </c>
    </row>
    <row r="3245" spans="1:15" x14ac:dyDescent="0.3">
      <c r="A3245">
        <v>3340</v>
      </c>
      <c r="B3245" s="34">
        <v>42607</v>
      </c>
      <c r="C3245">
        <v>1.1262799999999999</v>
      </c>
      <c r="D3245">
        <v>0</v>
      </c>
      <c r="F3245">
        <v>0.462479999999998</v>
      </c>
      <c r="G3245">
        <v>18.260869565217401</v>
      </c>
      <c r="H3245">
        <v>0</v>
      </c>
      <c r="I3245">
        <v>0.52305389999999996</v>
      </c>
      <c r="J3245">
        <v>2016</v>
      </c>
      <c r="K3245">
        <v>8</v>
      </c>
      <c r="L3245">
        <v>25</v>
      </c>
      <c r="M3245" t="s">
        <v>90</v>
      </c>
      <c r="N3245">
        <v>0</v>
      </c>
      <c r="O3245">
        <v>0</v>
      </c>
    </row>
    <row r="3246" spans="1:15" x14ac:dyDescent="0.3">
      <c r="A3246">
        <v>3341</v>
      </c>
      <c r="B3246" s="34">
        <v>42608</v>
      </c>
      <c r="C3246">
        <v>1.1283300000000001</v>
      </c>
      <c r="D3246">
        <v>0</v>
      </c>
      <c r="F3246">
        <v>0.462479999999998</v>
      </c>
      <c r="G3246">
        <v>18.260869565217401</v>
      </c>
      <c r="H3246">
        <v>1</v>
      </c>
      <c r="I3246">
        <v>0.52319660000000001</v>
      </c>
      <c r="J3246">
        <v>2016</v>
      </c>
      <c r="K3246">
        <v>8</v>
      </c>
      <c r="L3246">
        <v>26</v>
      </c>
      <c r="M3246" t="s">
        <v>91</v>
      </c>
      <c r="N3246">
        <v>0</v>
      </c>
      <c r="O3246">
        <v>0</v>
      </c>
    </row>
    <row r="3247" spans="1:15" x14ac:dyDescent="0.3">
      <c r="A3247">
        <v>3342</v>
      </c>
      <c r="B3247" s="34">
        <v>42611</v>
      </c>
      <c r="C3247">
        <v>1.11856</v>
      </c>
      <c r="D3247">
        <v>0</v>
      </c>
      <c r="F3247">
        <v>0.462479999999998</v>
      </c>
      <c r="G3247">
        <v>18.260869565217401</v>
      </c>
      <c r="H3247">
        <v>1</v>
      </c>
      <c r="I3247">
        <v>0.52333929999999995</v>
      </c>
      <c r="J3247">
        <v>2016</v>
      </c>
      <c r="K3247">
        <v>8</v>
      </c>
      <c r="L3247">
        <v>29</v>
      </c>
      <c r="M3247" t="s">
        <v>92</v>
      </c>
      <c r="N3247">
        <v>0</v>
      </c>
      <c r="O3247">
        <v>0</v>
      </c>
    </row>
    <row r="3248" spans="1:15" x14ac:dyDescent="0.3">
      <c r="A3248">
        <v>3343</v>
      </c>
      <c r="B3248" s="34">
        <v>42612</v>
      </c>
      <c r="C3248">
        <v>1.1188899999999999</v>
      </c>
      <c r="D3248">
        <v>0</v>
      </c>
      <c r="F3248">
        <v>0.462479999999998</v>
      </c>
      <c r="G3248">
        <v>18.260869565217401</v>
      </c>
      <c r="H3248">
        <v>1</v>
      </c>
      <c r="I3248">
        <v>0.52348189999999994</v>
      </c>
      <c r="J3248">
        <v>2016</v>
      </c>
      <c r="K3248">
        <v>8</v>
      </c>
      <c r="L3248">
        <v>30</v>
      </c>
      <c r="M3248" t="s">
        <v>93</v>
      </c>
      <c r="N3248">
        <v>0</v>
      </c>
      <c r="O3248">
        <v>0</v>
      </c>
    </row>
    <row r="3249" spans="1:15" x14ac:dyDescent="0.3">
      <c r="A3249">
        <v>3344</v>
      </c>
      <c r="B3249" s="34">
        <v>42613</v>
      </c>
      <c r="C3249">
        <v>1.1141799999999999</v>
      </c>
      <c r="D3249">
        <v>0</v>
      </c>
      <c r="F3249">
        <v>0.462479999999998</v>
      </c>
      <c r="G3249">
        <v>18.260869565217401</v>
      </c>
      <c r="H3249">
        <v>0</v>
      </c>
      <c r="I3249">
        <v>0.52332540000000005</v>
      </c>
      <c r="J3249">
        <v>2016</v>
      </c>
      <c r="K3249">
        <v>8</v>
      </c>
      <c r="L3249">
        <v>31</v>
      </c>
      <c r="M3249" t="s">
        <v>89</v>
      </c>
      <c r="N3249">
        <v>0</v>
      </c>
      <c r="O3249">
        <v>0</v>
      </c>
    </row>
    <row r="3250" spans="1:15" x14ac:dyDescent="0.3">
      <c r="A3250">
        <v>3345</v>
      </c>
      <c r="B3250" s="34">
        <v>42614</v>
      </c>
      <c r="C3250">
        <v>1.11571</v>
      </c>
      <c r="D3250">
        <v>0</v>
      </c>
      <c r="F3250">
        <v>0.462479999999998</v>
      </c>
      <c r="G3250">
        <v>18.260869565217401</v>
      </c>
      <c r="H3250">
        <v>1</v>
      </c>
      <c r="I3250">
        <v>0.52346780000000004</v>
      </c>
      <c r="J3250">
        <v>2016</v>
      </c>
      <c r="K3250">
        <v>9</v>
      </c>
      <c r="L3250">
        <v>1</v>
      </c>
      <c r="M3250" t="s">
        <v>90</v>
      </c>
      <c r="N3250">
        <v>0</v>
      </c>
      <c r="O3250">
        <v>0</v>
      </c>
    </row>
    <row r="3251" spans="1:15" x14ac:dyDescent="0.3">
      <c r="A3251">
        <v>3346</v>
      </c>
      <c r="B3251" s="34">
        <v>42615</v>
      </c>
      <c r="C3251">
        <v>1.11957</v>
      </c>
      <c r="D3251">
        <v>0</v>
      </c>
      <c r="F3251">
        <v>0.462479999999998</v>
      </c>
      <c r="G3251">
        <v>18.260869565217401</v>
      </c>
      <c r="H3251">
        <v>1</v>
      </c>
      <c r="I3251">
        <v>0.52361029999999997</v>
      </c>
      <c r="J3251">
        <v>2016</v>
      </c>
      <c r="K3251">
        <v>9</v>
      </c>
      <c r="L3251">
        <v>2</v>
      </c>
      <c r="M3251" t="s">
        <v>91</v>
      </c>
      <c r="N3251">
        <v>0</v>
      </c>
      <c r="O3251">
        <v>0</v>
      </c>
    </row>
    <row r="3252" spans="1:15" x14ac:dyDescent="0.3">
      <c r="A3252">
        <v>3347</v>
      </c>
      <c r="B3252" s="34">
        <v>42618</v>
      </c>
      <c r="C3252">
        <v>1.11449</v>
      </c>
      <c r="D3252">
        <v>0</v>
      </c>
      <c r="F3252">
        <v>0.462479999999998</v>
      </c>
      <c r="G3252">
        <v>18.260869565217401</v>
      </c>
      <c r="H3252">
        <v>1</v>
      </c>
      <c r="I3252">
        <v>0.52375260000000001</v>
      </c>
      <c r="J3252">
        <v>2016</v>
      </c>
      <c r="K3252">
        <v>9</v>
      </c>
      <c r="L3252">
        <v>5</v>
      </c>
      <c r="M3252" t="s">
        <v>92</v>
      </c>
      <c r="N3252">
        <v>0</v>
      </c>
      <c r="O3252">
        <v>0</v>
      </c>
    </row>
    <row r="3253" spans="1:15" x14ac:dyDescent="0.3">
      <c r="A3253">
        <v>3348</v>
      </c>
      <c r="B3253" s="34">
        <v>42619</v>
      </c>
      <c r="C3253">
        <v>1.1145799999999999</v>
      </c>
      <c r="D3253">
        <v>0</v>
      </c>
      <c r="F3253">
        <v>0.462479999999998</v>
      </c>
      <c r="G3253">
        <v>18.260869565217401</v>
      </c>
      <c r="H3253">
        <v>1</v>
      </c>
      <c r="I3253">
        <v>0.52389479999999999</v>
      </c>
      <c r="J3253">
        <v>2016</v>
      </c>
      <c r="K3253">
        <v>9</v>
      </c>
      <c r="L3253">
        <v>6</v>
      </c>
      <c r="M3253" t="s">
        <v>93</v>
      </c>
      <c r="N3253">
        <v>0</v>
      </c>
      <c r="O3253">
        <v>0</v>
      </c>
    </row>
    <row r="3254" spans="1:15" x14ac:dyDescent="0.3">
      <c r="A3254">
        <v>3349</v>
      </c>
      <c r="B3254" s="34">
        <v>42620</v>
      </c>
      <c r="C3254">
        <v>1.1255500000000001</v>
      </c>
      <c r="D3254">
        <v>0</v>
      </c>
      <c r="F3254">
        <v>0.462479999999998</v>
      </c>
      <c r="G3254">
        <v>18.260869565217401</v>
      </c>
      <c r="H3254">
        <v>1</v>
      </c>
      <c r="I3254">
        <v>0.52403699999999998</v>
      </c>
      <c r="J3254">
        <v>2016</v>
      </c>
      <c r="K3254">
        <v>9</v>
      </c>
      <c r="L3254">
        <v>7</v>
      </c>
      <c r="M3254" t="s">
        <v>89</v>
      </c>
      <c r="N3254">
        <v>0</v>
      </c>
      <c r="O3254">
        <v>0</v>
      </c>
    </row>
    <row r="3255" spans="1:15" x14ac:dyDescent="0.3">
      <c r="A3255">
        <v>3350</v>
      </c>
      <c r="B3255" s="34">
        <v>42621</v>
      </c>
      <c r="C3255">
        <v>1.12385</v>
      </c>
      <c r="D3255">
        <v>0</v>
      </c>
      <c r="F3255">
        <v>0.462479999999998</v>
      </c>
      <c r="G3255">
        <v>18.260869565217401</v>
      </c>
      <c r="H3255">
        <v>1</v>
      </c>
      <c r="I3255">
        <v>0.52417910000000001</v>
      </c>
      <c r="J3255">
        <v>2016</v>
      </c>
      <c r="K3255">
        <v>9</v>
      </c>
      <c r="L3255">
        <v>8</v>
      </c>
      <c r="M3255" t="s">
        <v>90</v>
      </c>
      <c r="N3255">
        <v>0</v>
      </c>
      <c r="O3255">
        <v>0</v>
      </c>
    </row>
    <row r="3256" spans="1:15" x14ac:dyDescent="0.3">
      <c r="A3256">
        <v>3351</v>
      </c>
      <c r="B3256" s="34">
        <v>42622</v>
      </c>
      <c r="C3256">
        <v>1.1260699999999999</v>
      </c>
      <c r="D3256">
        <v>0</v>
      </c>
      <c r="F3256">
        <v>0.462479999999998</v>
      </c>
      <c r="G3256">
        <v>18.260869565217401</v>
      </c>
      <c r="H3256">
        <v>0</v>
      </c>
      <c r="I3256">
        <v>0.52402269999999995</v>
      </c>
      <c r="J3256">
        <v>2016</v>
      </c>
      <c r="K3256">
        <v>9</v>
      </c>
      <c r="L3256">
        <v>9</v>
      </c>
      <c r="M3256" t="s">
        <v>91</v>
      </c>
      <c r="N3256">
        <v>0</v>
      </c>
      <c r="O3256">
        <v>0</v>
      </c>
    </row>
    <row r="3257" spans="1:15" x14ac:dyDescent="0.3">
      <c r="A3257">
        <v>3352</v>
      </c>
      <c r="B3257" s="34">
        <v>42625</v>
      </c>
      <c r="C3257">
        <v>1.12235</v>
      </c>
      <c r="D3257">
        <v>0</v>
      </c>
      <c r="F3257">
        <v>0.462479999999998</v>
      </c>
      <c r="G3257">
        <v>18.260869565217401</v>
      </c>
      <c r="H3257">
        <v>1</v>
      </c>
      <c r="I3257">
        <v>0.52416470000000004</v>
      </c>
      <c r="J3257">
        <v>2016</v>
      </c>
      <c r="K3257">
        <v>9</v>
      </c>
      <c r="L3257">
        <v>12</v>
      </c>
      <c r="M3257" t="s">
        <v>92</v>
      </c>
      <c r="N3257">
        <v>0</v>
      </c>
      <c r="O3257">
        <v>0</v>
      </c>
    </row>
    <row r="3258" spans="1:15" x14ac:dyDescent="0.3">
      <c r="A3258">
        <v>3353</v>
      </c>
      <c r="B3258" s="34">
        <v>42626</v>
      </c>
      <c r="C3258">
        <v>1.1234900000000001</v>
      </c>
      <c r="D3258">
        <v>0</v>
      </c>
      <c r="F3258">
        <v>0.462479999999998</v>
      </c>
      <c r="G3258">
        <v>18.260869565217401</v>
      </c>
      <c r="H3258">
        <v>0</v>
      </c>
      <c r="I3258">
        <v>0.52400829999999998</v>
      </c>
      <c r="J3258">
        <v>2016</v>
      </c>
      <c r="K3258">
        <v>9</v>
      </c>
      <c r="L3258">
        <v>13</v>
      </c>
      <c r="M3258" t="s">
        <v>93</v>
      </c>
      <c r="N3258">
        <v>0</v>
      </c>
      <c r="O3258">
        <v>0</v>
      </c>
    </row>
    <row r="3259" spans="1:15" x14ac:dyDescent="0.3">
      <c r="A3259">
        <v>3354</v>
      </c>
      <c r="B3259" s="34">
        <v>42627</v>
      </c>
      <c r="C3259">
        <v>1.12182</v>
      </c>
      <c r="D3259">
        <v>0</v>
      </c>
      <c r="F3259">
        <v>0.462479999999998</v>
      </c>
      <c r="G3259">
        <v>18.260869565217401</v>
      </c>
      <c r="H3259">
        <v>1</v>
      </c>
      <c r="I3259">
        <v>0.52415029999999996</v>
      </c>
      <c r="J3259">
        <v>2016</v>
      </c>
      <c r="K3259">
        <v>9</v>
      </c>
      <c r="L3259">
        <v>14</v>
      </c>
      <c r="M3259" t="s">
        <v>89</v>
      </c>
      <c r="N3259">
        <v>0</v>
      </c>
      <c r="O3259">
        <v>0</v>
      </c>
    </row>
    <row r="3260" spans="1:15" x14ac:dyDescent="0.3">
      <c r="A3260">
        <v>3355</v>
      </c>
      <c r="B3260" s="34">
        <v>42628</v>
      </c>
      <c r="C3260">
        <v>1.1249499999999999</v>
      </c>
      <c r="D3260">
        <v>0</v>
      </c>
      <c r="F3260">
        <v>0.462479999999998</v>
      </c>
      <c r="G3260">
        <v>18.260869565217401</v>
      </c>
      <c r="H3260">
        <v>0</v>
      </c>
      <c r="I3260">
        <v>0.52399399999999996</v>
      </c>
      <c r="J3260">
        <v>2016</v>
      </c>
      <c r="K3260">
        <v>9</v>
      </c>
      <c r="L3260">
        <v>15</v>
      </c>
      <c r="M3260" t="s">
        <v>90</v>
      </c>
      <c r="N3260">
        <v>0</v>
      </c>
      <c r="O3260">
        <v>0</v>
      </c>
    </row>
    <row r="3261" spans="1:15" x14ac:dyDescent="0.3">
      <c r="A3261">
        <v>3356</v>
      </c>
      <c r="B3261" s="34">
        <v>42629</v>
      </c>
      <c r="C3261">
        <v>1.12435</v>
      </c>
      <c r="D3261">
        <v>0</v>
      </c>
      <c r="F3261">
        <v>0.462479999999998</v>
      </c>
      <c r="G3261">
        <v>18.260869565217401</v>
      </c>
      <c r="H3261">
        <v>1</v>
      </c>
      <c r="I3261">
        <v>0.52413589999999999</v>
      </c>
      <c r="J3261">
        <v>2016</v>
      </c>
      <c r="K3261">
        <v>9</v>
      </c>
      <c r="L3261">
        <v>16</v>
      </c>
      <c r="M3261" t="s">
        <v>91</v>
      </c>
      <c r="N3261">
        <v>0</v>
      </c>
      <c r="O3261">
        <v>0</v>
      </c>
    </row>
    <row r="3262" spans="1:15" x14ac:dyDescent="0.3">
      <c r="A3262">
        <v>3357</v>
      </c>
      <c r="B3262" s="34">
        <v>42632</v>
      </c>
      <c r="C3262">
        <v>1.1153500000000001</v>
      </c>
      <c r="D3262">
        <v>0</v>
      </c>
      <c r="F3262">
        <v>0.462479999999998</v>
      </c>
      <c r="G3262">
        <v>18.260869565217401</v>
      </c>
      <c r="H3262">
        <v>1</v>
      </c>
      <c r="I3262">
        <v>0.52427760000000001</v>
      </c>
      <c r="J3262">
        <v>2016</v>
      </c>
      <c r="K3262">
        <v>9</v>
      </c>
      <c r="L3262">
        <v>19</v>
      </c>
      <c r="M3262" t="s">
        <v>92</v>
      </c>
      <c r="N3262">
        <v>0</v>
      </c>
      <c r="O3262">
        <v>0</v>
      </c>
    </row>
    <row r="3263" spans="1:15" x14ac:dyDescent="0.3">
      <c r="A3263">
        <v>3358</v>
      </c>
      <c r="B3263" s="34">
        <v>42633</v>
      </c>
      <c r="C3263">
        <v>1.11731</v>
      </c>
      <c r="D3263">
        <v>0</v>
      </c>
      <c r="F3263">
        <v>0.462479999999998</v>
      </c>
      <c r="G3263">
        <v>18.260869565217401</v>
      </c>
      <c r="H3263">
        <v>1</v>
      </c>
      <c r="I3263">
        <v>0.52441930000000003</v>
      </c>
      <c r="J3263">
        <v>2016</v>
      </c>
      <c r="K3263">
        <v>9</v>
      </c>
      <c r="L3263">
        <v>20</v>
      </c>
      <c r="M3263" t="s">
        <v>93</v>
      </c>
      <c r="N3263">
        <v>0</v>
      </c>
      <c r="O3263">
        <v>0</v>
      </c>
    </row>
    <row r="3264" spans="1:15" x14ac:dyDescent="0.3">
      <c r="A3264">
        <v>3359</v>
      </c>
      <c r="B3264" s="34">
        <v>42634</v>
      </c>
      <c r="C3264">
        <v>1.1150100000000001</v>
      </c>
      <c r="D3264">
        <v>0</v>
      </c>
      <c r="F3264">
        <v>0.462479999999998</v>
      </c>
      <c r="G3264">
        <v>18.260869565217401</v>
      </c>
      <c r="H3264">
        <v>0</v>
      </c>
      <c r="I3264">
        <v>0.52426320000000004</v>
      </c>
      <c r="J3264">
        <v>2016</v>
      </c>
      <c r="K3264">
        <v>9</v>
      </c>
      <c r="L3264">
        <v>21</v>
      </c>
      <c r="M3264" t="s">
        <v>89</v>
      </c>
      <c r="N3264">
        <v>0</v>
      </c>
      <c r="O3264">
        <v>0</v>
      </c>
    </row>
    <row r="3265" spans="1:15" x14ac:dyDescent="0.3">
      <c r="A3265">
        <v>3360</v>
      </c>
      <c r="B3265" s="34">
        <v>42635</v>
      </c>
      <c r="C3265">
        <v>1.1187800000000001</v>
      </c>
      <c r="D3265">
        <v>0</v>
      </c>
      <c r="F3265">
        <v>0.462479999999998</v>
      </c>
      <c r="G3265">
        <v>18.260869565217401</v>
      </c>
      <c r="H3265">
        <v>1</v>
      </c>
      <c r="I3265">
        <v>0.5244048</v>
      </c>
      <c r="J3265">
        <v>2016</v>
      </c>
      <c r="K3265">
        <v>9</v>
      </c>
      <c r="L3265">
        <v>22</v>
      </c>
      <c r="M3265" t="s">
        <v>90</v>
      </c>
      <c r="N3265">
        <v>0</v>
      </c>
      <c r="O3265">
        <v>0</v>
      </c>
    </row>
    <row r="3266" spans="1:15" x14ac:dyDescent="0.3">
      <c r="A3266">
        <v>3361</v>
      </c>
      <c r="B3266" s="34">
        <v>42636</v>
      </c>
      <c r="C3266">
        <v>1.1206799999999999</v>
      </c>
      <c r="D3266">
        <v>0</v>
      </c>
      <c r="F3266">
        <v>0.462479999999998</v>
      </c>
      <c r="G3266">
        <v>18.260869565217401</v>
      </c>
      <c r="H3266">
        <v>0</v>
      </c>
      <c r="I3266">
        <v>0.52424870000000001</v>
      </c>
      <c r="J3266">
        <v>2016</v>
      </c>
      <c r="K3266">
        <v>9</v>
      </c>
      <c r="L3266">
        <v>23</v>
      </c>
      <c r="M3266" t="s">
        <v>91</v>
      </c>
      <c r="N3266">
        <v>0</v>
      </c>
      <c r="O3266">
        <v>0</v>
      </c>
    </row>
    <row r="3267" spans="1:15" x14ac:dyDescent="0.3">
      <c r="A3267">
        <v>3362</v>
      </c>
      <c r="B3267" s="34">
        <v>42639</v>
      </c>
      <c r="C3267">
        <v>1.1214900000000001</v>
      </c>
      <c r="D3267">
        <v>0</v>
      </c>
      <c r="F3267">
        <v>0.462479999999998</v>
      </c>
      <c r="G3267">
        <v>18.260869565217401</v>
      </c>
      <c r="H3267">
        <v>0</v>
      </c>
      <c r="I3267">
        <v>0.52409280000000003</v>
      </c>
      <c r="J3267">
        <v>2016</v>
      </c>
      <c r="K3267">
        <v>9</v>
      </c>
      <c r="L3267">
        <v>26</v>
      </c>
      <c r="M3267" t="s">
        <v>92</v>
      </c>
      <c r="N3267">
        <v>0</v>
      </c>
      <c r="O3267">
        <v>0</v>
      </c>
    </row>
    <row r="3268" spans="1:15" x14ac:dyDescent="0.3">
      <c r="A3268">
        <v>3363</v>
      </c>
      <c r="B3268" s="34">
        <v>42640</v>
      </c>
      <c r="C3268">
        <v>1.12524</v>
      </c>
      <c r="D3268">
        <v>0</v>
      </c>
      <c r="F3268">
        <v>0.462479999999998</v>
      </c>
      <c r="G3268">
        <v>18.260869565217401</v>
      </c>
      <c r="H3268">
        <v>0</v>
      </c>
      <c r="I3268">
        <v>0.52393699999999999</v>
      </c>
      <c r="J3268">
        <v>2016</v>
      </c>
      <c r="K3268">
        <v>9</v>
      </c>
      <c r="L3268">
        <v>27</v>
      </c>
      <c r="M3268" t="s">
        <v>93</v>
      </c>
      <c r="N3268">
        <v>0</v>
      </c>
      <c r="O3268">
        <v>0</v>
      </c>
    </row>
    <row r="3269" spans="1:15" x14ac:dyDescent="0.3">
      <c r="A3269">
        <v>3364</v>
      </c>
      <c r="B3269" s="34">
        <v>42641</v>
      </c>
      <c r="C3269">
        <v>1.12137</v>
      </c>
      <c r="D3269">
        <v>0</v>
      </c>
      <c r="F3269">
        <v>0.462479999999998</v>
      </c>
      <c r="G3269">
        <v>18.260869565217401</v>
      </c>
      <c r="H3269">
        <v>1</v>
      </c>
      <c r="I3269">
        <v>0.5240785</v>
      </c>
      <c r="J3269">
        <v>2016</v>
      </c>
      <c r="K3269">
        <v>9</v>
      </c>
      <c r="L3269">
        <v>28</v>
      </c>
      <c r="M3269" t="s">
        <v>89</v>
      </c>
      <c r="N3269">
        <v>0</v>
      </c>
      <c r="O3269">
        <v>0</v>
      </c>
    </row>
    <row r="3270" spans="1:15" x14ac:dyDescent="0.3">
      <c r="A3270">
        <v>3365</v>
      </c>
      <c r="B3270" s="34">
        <v>42642</v>
      </c>
      <c r="C3270">
        <v>1.1216299999999999</v>
      </c>
      <c r="D3270">
        <v>0</v>
      </c>
      <c r="F3270">
        <v>0.462479999999998</v>
      </c>
      <c r="G3270">
        <v>18.260869565217401</v>
      </c>
      <c r="H3270">
        <v>1</v>
      </c>
      <c r="I3270">
        <v>0.52421989999999996</v>
      </c>
      <c r="J3270">
        <v>2016</v>
      </c>
      <c r="K3270">
        <v>9</v>
      </c>
      <c r="L3270">
        <v>29</v>
      </c>
      <c r="M3270" t="s">
        <v>90</v>
      </c>
      <c r="N3270">
        <v>0</v>
      </c>
      <c r="O3270">
        <v>0</v>
      </c>
    </row>
    <row r="3271" spans="1:15" x14ac:dyDescent="0.3">
      <c r="A3271">
        <v>3366</v>
      </c>
      <c r="B3271" s="34">
        <v>42643</v>
      </c>
      <c r="C3271">
        <v>1.1221000000000001</v>
      </c>
      <c r="D3271">
        <v>0</v>
      </c>
      <c r="F3271">
        <v>0.462479999999998</v>
      </c>
      <c r="G3271">
        <v>18.260869565217401</v>
      </c>
      <c r="H3271">
        <v>1</v>
      </c>
      <c r="I3271">
        <v>0.52436130000000003</v>
      </c>
      <c r="J3271">
        <v>2016</v>
      </c>
      <c r="K3271">
        <v>9</v>
      </c>
      <c r="L3271">
        <v>30</v>
      </c>
      <c r="M3271" t="s">
        <v>91</v>
      </c>
      <c r="N3271">
        <v>0</v>
      </c>
      <c r="O3271">
        <v>0</v>
      </c>
    </row>
    <row r="3272" spans="1:15" x14ac:dyDescent="0.3">
      <c r="A3272">
        <v>3367</v>
      </c>
      <c r="B3272" s="34">
        <v>42646</v>
      </c>
      <c r="C3272">
        <v>1.12399</v>
      </c>
      <c r="D3272">
        <v>-5</v>
      </c>
      <c r="F3272">
        <v>0.46550999999999798</v>
      </c>
      <c r="G3272">
        <v>17.725344644750798</v>
      </c>
      <c r="H3272">
        <v>0</v>
      </c>
      <c r="I3272">
        <v>0.52420549999999999</v>
      </c>
      <c r="J3272">
        <v>2016</v>
      </c>
      <c r="K3272">
        <v>10</v>
      </c>
      <c r="L3272">
        <v>3</v>
      </c>
      <c r="M3272" t="s">
        <v>92</v>
      </c>
      <c r="N3272">
        <v>0</v>
      </c>
      <c r="O3272">
        <v>0</v>
      </c>
    </row>
    <row r="3273" spans="1:15" x14ac:dyDescent="0.3">
      <c r="A3273">
        <v>3368</v>
      </c>
      <c r="B3273" s="34">
        <v>42647</v>
      </c>
      <c r="C3273">
        <v>1.12096</v>
      </c>
      <c r="D3273">
        <v>0</v>
      </c>
      <c r="F3273">
        <v>0.46550999999999798</v>
      </c>
      <c r="G3273">
        <v>17.725344644750798</v>
      </c>
      <c r="H3273">
        <v>1</v>
      </c>
      <c r="I3273">
        <v>0.5243468</v>
      </c>
      <c r="J3273">
        <v>2016</v>
      </c>
      <c r="K3273">
        <v>10</v>
      </c>
      <c r="L3273">
        <v>4</v>
      </c>
      <c r="M3273" t="s">
        <v>93</v>
      </c>
      <c r="N3273">
        <v>0</v>
      </c>
      <c r="O3273">
        <v>0</v>
      </c>
    </row>
    <row r="3274" spans="1:15" x14ac:dyDescent="0.3">
      <c r="A3274">
        <v>3369</v>
      </c>
      <c r="B3274" s="34">
        <v>42648</v>
      </c>
      <c r="C3274">
        <v>1.12042</v>
      </c>
      <c r="D3274">
        <v>0</v>
      </c>
      <c r="F3274">
        <v>0.46550999999999798</v>
      </c>
      <c r="G3274">
        <v>17.725344644750798</v>
      </c>
      <c r="H3274">
        <v>0</v>
      </c>
      <c r="I3274">
        <v>0.52419110000000002</v>
      </c>
      <c r="J3274">
        <v>2016</v>
      </c>
      <c r="K3274">
        <v>10</v>
      </c>
      <c r="L3274">
        <v>5</v>
      </c>
      <c r="M3274" t="s">
        <v>89</v>
      </c>
      <c r="N3274">
        <v>0</v>
      </c>
      <c r="O3274">
        <v>0</v>
      </c>
    </row>
    <row r="3275" spans="1:15" x14ac:dyDescent="0.3">
      <c r="A3275">
        <v>3370</v>
      </c>
      <c r="B3275" s="34">
        <v>42649</v>
      </c>
      <c r="C3275">
        <v>1.1203099999999999</v>
      </c>
      <c r="D3275">
        <v>0</v>
      </c>
      <c r="F3275">
        <v>0.46550999999999798</v>
      </c>
      <c r="G3275">
        <v>17.725344644750798</v>
      </c>
      <c r="H3275">
        <v>0</v>
      </c>
      <c r="I3275">
        <v>0.52403560000000005</v>
      </c>
      <c r="J3275">
        <v>2016</v>
      </c>
      <c r="K3275">
        <v>10</v>
      </c>
      <c r="L3275">
        <v>6</v>
      </c>
      <c r="M3275" t="s">
        <v>90</v>
      </c>
      <c r="N3275">
        <v>0</v>
      </c>
      <c r="O3275">
        <v>0</v>
      </c>
    </row>
    <row r="3276" spans="1:15" x14ac:dyDescent="0.3">
      <c r="A3276">
        <v>3371</v>
      </c>
      <c r="B3276" s="34">
        <v>42650</v>
      </c>
      <c r="C3276">
        <v>1.11493</v>
      </c>
      <c r="D3276">
        <v>0</v>
      </c>
      <c r="F3276">
        <v>0.46550999999999798</v>
      </c>
      <c r="G3276">
        <v>17.725344644750798</v>
      </c>
      <c r="H3276">
        <v>1</v>
      </c>
      <c r="I3276">
        <v>0.5241768</v>
      </c>
      <c r="J3276">
        <v>2016</v>
      </c>
      <c r="K3276">
        <v>10</v>
      </c>
      <c r="L3276">
        <v>7</v>
      </c>
      <c r="M3276" t="s">
        <v>91</v>
      </c>
      <c r="N3276">
        <v>0</v>
      </c>
      <c r="O3276">
        <v>0</v>
      </c>
    </row>
    <row r="3277" spans="1:15" x14ac:dyDescent="0.3">
      <c r="A3277">
        <v>3372</v>
      </c>
      <c r="B3277" s="34">
        <v>42653</v>
      </c>
      <c r="C3277">
        <v>1.11931</v>
      </c>
      <c r="D3277">
        <v>0</v>
      </c>
      <c r="F3277">
        <v>0.46550999999999798</v>
      </c>
      <c r="G3277">
        <v>17.725344644750798</v>
      </c>
      <c r="H3277">
        <v>1</v>
      </c>
      <c r="I3277">
        <v>0.5243179</v>
      </c>
      <c r="J3277">
        <v>2016</v>
      </c>
      <c r="K3277">
        <v>10</v>
      </c>
      <c r="L3277">
        <v>10</v>
      </c>
      <c r="M3277" t="s">
        <v>92</v>
      </c>
      <c r="N3277">
        <v>0</v>
      </c>
      <c r="O3277">
        <v>0</v>
      </c>
    </row>
    <row r="3278" spans="1:15" x14ac:dyDescent="0.3">
      <c r="A3278">
        <v>3373</v>
      </c>
      <c r="B3278" s="34">
        <v>42654</v>
      </c>
      <c r="C3278">
        <v>1.1138999999999999</v>
      </c>
      <c r="D3278">
        <v>0</v>
      </c>
      <c r="F3278">
        <v>0.46550999999999798</v>
      </c>
      <c r="G3278">
        <v>17.725344644750798</v>
      </c>
      <c r="H3278">
        <v>1</v>
      </c>
      <c r="I3278">
        <v>0.52445889999999995</v>
      </c>
      <c r="J3278">
        <v>2016</v>
      </c>
      <c r="K3278">
        <v>10</v>
      </c>
      <c r="L3278">
        <v>11</v>
      </c>
      <c r="M3278" t="s">
        <v>93</v>
      </c>
      <c r="N3278">
        <v>0</v>
      </c>
      <c r="O3278">
        <v>0</v>
      </c>
    </row>
    <row r="3279" spans="1:15" x14ac:dyDescent="0.3">
      <c r="A3279">
        <v>3374</v>
      </c>
      <c r="B3279" s="34">
        <v>42655</v>
      </c>
      <c r="C3279">
        <v>1.1052999999999999</v>
      </c>
      <c r="D3279">
        <v>0</v>
      </c>
      <c r="F3279">
        <v>0.46550999999999798</v>
      </c>
      <c r="G3279">
        <v>17.725344644750798</v>
      </c>
      <c r="H3279">
        <v>0</v>
      </c>
      <c r="I3279">
        <v>0.52430350000000003</v>
      </c>
      <c r="J3279">
        <v>2016</v>
      </c>
      <c r="K3279">
        <v>10</v>
      </c>
      <c r="L3279">
        <v>12</v>
      </c>
      <c r="M3279" t="s">
        <v>89</v>
      </c>
      <c r="N3279">
        <v>0</v>
      </c>
      <c r="O3279">
        <v>0</v>
      </c>
    </row>
    <row r="3280" spans="1:15" x14ac:dyDescent="0.3">
      <c r="A3280">
        <v>3375</v>
      </c>
      <c r="B3280" s="34">
        <v>42656</v>
      </c>
      <c r="C3280">
        <v>1.10046</v>
      </c>
      <c r="D3280">
        <v>0</v>
      </c>
      <c r="F3280">
        <v>0.46550999999999798</v>
      </c>
      <c r="G3280">
        <v>17.725344644750798</v>
      </c>
      <c r="H3280">
        <v>0</v>
      </c>
      <c r="I3280">
        <v>0.52414819999999995</v>
      </c>
      <c r="J3280">
        <v>2016</v>
      </c>
      <c r="K3280">
        <v>10</v>
      </c>
      <c r="L3280">
        <v>13</v>
      </c>
      <c r="M3280" t="s">
        <v>90</v>
      </c>
      <c r="N3280">
        <v>0</v>
      </c>
      <c r="O3280">
        <v>0</v>
      </c>
    </row>
    <row r="3281" spans="1:15" x14ac:dyDescent="0.3">
      <c r="A3281">
        <v>3376</v>
      </c>
      <c r="B3281" s="34">
        <v>42657</v>
      </c>
      <c r="C3281">
        <v>1.10547</v>
      </c>
      <c r="D3281">
        <v>0</v>
      </c>
      <c r="F3281">
        <v>0.46550999999999798</v>
      </c>
      <c r="G3281">
        <v>17.725344644750798</v>
      </c>
      <c r="H3281">
        <v>1</v>
      </c>
      <c r="I3281">
        <v>0.52428909999999995</v>
      </c>
      <c r="J3281">
        <v>2016</v>
      </c>
      <c r="K3281">
        <v>10</v>
      </c>
      <c r="L3281">
        <v>14</v>
      </c>
      <c r="M3281" t="s">
        <v>91</v>
      </c>
      <c r="N3281">
        <v>0</v>
      </c>
      <c r="O3281">
        <v>0</v>
      </c>
    </row>
    <row r="3282" spans="1:15" x14ac:dyDescent="0.3">
      <c r="A3282">
        <v>3377</v>
      </c>
      <c r="B3282" s="34">
        <v>42660</v>
      </c>
      <c r="C3282">
        <v>1.09711</v>
      </c>
      <c r="D3282">
        <v>0</v>
      </c>
      <c r="F3282">
        <v>0.46550999999999798</v>
      </c>
      <c r="G3282">
        <v>17.725344644750798</v>
      </c>
      <c r="H3282">
        <v>0</v>
      </c>
      <c r="I3282">
        <v>0.52413390000000004</v>
      </c>
      <c r="J3282">
        <v>2016</v>
      </c>
      <c r="K3282">
        <v>10</v>
      </c>
      <c r="L3282">
        <v>17</v>
      </c>
      <c r="M3282" t="s">
        <v>92</v>
      </c>
      <c r="N3282">
        <v>0</v>
      </c>
      <c r="O3282">
        <v>0</v>
      </c>
    </row>
    <row r="3283" spans="1:15" x14ac:dyDescent="0.3">
      <c r="A3283">
        <v>3378</v>
      </c>
      <c r="B3283" s="34">
        <v>42661</v>
      </c>
      <c r="C3283">
        <v>1.09985</v>
      </c>
      <c r="D3283">
        <v>0</v>
      </c>
      <c r="F3283">
        <v>0.46550999999999798</v>
      </c>
      <c r="G3283">
        <v>17.725344644750798</v>
      </c>
      <c r="H3283">
        <v>1</v>
      </c>
      <c r="I3283">
        <v>0.52427469999999998</v>
      </c>
      <c r="J3283">
        <v>2016</v>
      </c>
      <c r="K3283">
        <v>10</v>
      </c>
      <c r="L3283">
        <v>18</v>
      </c>
      <c r="M3283" t="s">
        <v>93</v>
      </c>
      <c r="N3283">
        <v>0</v>
      </c>
      <c r="O3283">
        <v>0</v>
      </c>
    </row>
    <row r="3284" spans="1:15" x14ac:dyDescent="0.3">
      <c r="A3284">
        <v>3379</v>
      </c>
      <c r="B3284" s="34">
        <v>42662</v>
      </c>
      <c r="C3284">
        <v>1.0979399999999999</v>
      </c>
      <c r="D3284">
        <v>0</v>
      </c>
      <c r="F3284">
        <v>0.46550999999999798</v>
      </c>
      <c r="G3284">
        <v>17.725344644750798</v>
      </c>
      <c r="H3284">
        <v>0</v>
      </c>
      <c r="I3284">
        <v>0.52411960000000002</v>
      </c>
      <c r="J3284">
        <v>2016</v>
      </c>
      <c r="K3284">
        <v>10</v>
      </c>
      <c r="L3284">
        <v>19</v>
      </c>
      <c r="M3284" t="s">
        <v>89</v>
      </c>
      <c r="N3284">
        <v>0</v>
      </c>
      <c r="O3284">
        <v>0</v>
      </c>
    </row>
    <row r="3285" spans="1:15" x14ac:dyDescent="0.3">
      <c r="A3285">
        <v>3380</v>
      </c>
      <c r="B3285" s="34">
        <v>42663</v>
      </c>
      <c r="C3285">
        <v>1.09735</v>
      </c>
      <c r="D3285">
        <v>0</v>
      </c>
      <c r="F3285">
        <v>0.46550999999999798</v>
      </c>
      <c r="G3285">
        <v>17.725344644750798</v>
      </c>
      <c r="H3285">
        <v>0</v>
      </c>
      <c r="I3285">
        <v>0.52396450000000006</v>
      </c>
      <c r="J3285">
        <v>2016</v>
      </c>
      <c r="K3285">
        <v>10</v>
      </c>
      <c r="L3285">
        <v>20</v>
      </c>
      <c r="M3285" t="s">
        <v>90</v>
      </c>
      <c r="N3285">
        <v>0</v>
      </c>
      <c r="O3285">
        <v>0</v>
      </c>
    </row>
    <row r="3286" spans="1:15" x14ac:dyDescent="0.3">
      <c r="A3286">
        <v>3381</v>
      </c>
      <c r="B3286" s="34">
        <v>42664</v>
      </c>
      <c r="C3286">
        <v>1.0928500000000001</v>
      </c>
      <c r="D3286">
        <v>0</v>
      </c>
      <c r="F3286">
        <v>0.46550999999999798</v>
      </c>
      <c r="G3286">
        <v>17.725344644750798</v>
      </c>
      <c r="H3286">
        <v>0</v>
      </c>
      <c r="I3286">
        <v>0.52380959999999999</v>
      </c>
      <c r="J3286">
        <v>2016</v>
      </c>
      <c r="K3286">
        <v>10</v>
      </c>
      <c r="L3286">
        <v>21</v>
      </c>
      <c r="M3286" t="s">
        <v>91</v>
      </c>
      <c r="N3286">
        <v>0</v>
      </c>
      <c r="O3286">
        <v>0</v>
      </c>
    </row>
    <row r="3287" spans="1:15" x14ac:dyDescent="0.3">
      <c r="A3287">
        <v>3382</v>
      </c>
      <c r="B3287" s="34">
        <v>42667</v>
      </c>
      <c r="C3287">
        <v>1.0873600000000001</v>
      </c>
      <c r="D3287">
        <v>0</v>
      </c>
      <c r="F3287">
        <v>0.46550999999999798</v>
      </c>
      <c r="G3287">
        <v>17.725344644750798</v>
      </c>
      <c r="H3287">
        <v>0</v>
      </c>
      <c r="I3287">
        <v>0.52365459999999997</v>
      </c>
      <c r="J3287">
        <v>2016</v>
      </c>
      <c r="K3287">
        <v>10</v>
      </c>
      <c r="L3287">
        <v>24</v>
      </c>
      <c r="M3287" t="s">
        <v>92</v>
      </c>
      <c r="N3287">
        <v>0</v>
      </c>
      <c r="O3287">
        <v>0</v>
      </c>
    </row>
    <row r="3288" spans="1:15" x14ac:dyDescent="0.3">
      <c r="A3288">
        <v>3383</v>
      </c>
      <c r="B3288" s="34">
        <v>42668</v>
      </c>
      <c r="C3288">
        <v>1.08812</v>
      </c>
      <c r="D3288">
        <v>0</v>
      </c>
      <c r="F3288">
        <v>0.46550999999999798</v>
      </c>
      <c r="G3288">
        <v>17.725344644750798</v>
      </c>
      <c r="H3288">
        <v>1</v>
      </c>
      <c r="I3288">
        <v>0.52379540000000002</v>
      </c>
      <c r="J3288">
        <v>2016</v>
      </c>
      <c r="K3288">
        <v>10</v>
      </c>
      <c r="L3288">
        <v>25</v>
      </c>
      <c r="M3288" t="s">
        <v>93</v>
      </c>
      <c r="N3288">
        <v>0</v>
      </c>
      <c r="O3288">
        <v>0</v>
      </c>
    </row>
    <row r="3289" spans="1:15" x14ac:dyDescent="0.3">
      <c r="A3289">
        <v>3384</v>
      </c>
      <c r="B3289" s="34">
        <v>42669</v>
      </c>
      <c r="C3289">
        <v>1.0888</v>
      </c>
      <c r="D3289">
        <v>0</v>
      </c>
      <c r="F3289">
        <v>0.46550999999999798</v>
      </c>
      <c r="G3289">
        <v>17.725344644750798</v>
      </c>
      <c r="H3289">
        <v>0</v>
      </c>
      <c r="I3289">
        <v>0.52364060000000001</v>
      </c>
      <c r="J3289">
        <v>2016</v>
      </c>
      <c r="K3289">
        <v>10</v>
      </c>
      <c r="L3289">
        <v>26</v>
      </c>
      <c r="M3289" t="s">
        <v>89</v>
      </c>
      <c r="N3289">
        <v>0</v>
      </c>
      <c r="O3289">
        <v>0</v>
      </c>
    </row>
    <row r="3290" spans="1:15" x14ac:dyDescent="0.3">
      <c r="A3290">
        <v>3385</v>
      </c>
      <c r="B3290" s="34">
        <v>42670</v>
      </c>
      <c r="C3290">
        <v>1.0906899999999999</v>
      </c>
      <c r="D3290">
        <v>-9</v>
      </c>
      <c r="F3290">
        <v>0.466749999999998</v>
      </c>
      <c r="G3290">
        <v>17.506185931424501</v>
      </c>
      <c r="H3290">
        <v>0</v>
      </c>
      <c r="I3290">
        <v>0.52348600000000001</v>
      </c>
      <c r="J3290">
        <v>2016</v>
      </c>
      <c r="K3290">
        <v>10</v>
      </c>
      <c r="L3290">
        <v>27</v>
      </c>
      <c r="M3290" t="s">
        <v>90</v>
      </c>
      <c r="N3290">
        <v>0</v>
      </c>
      <c r="O3290">
        <v>0</v>
      </c>
    </row>
    <row r="3291" spans="1:15" x14ac:dyDescent="0.3">
      <c r="A3291">
        <v>3386</v>
      </c>
      <c r="B3291" s="34">
        <v>42671</v>
      </c>
      <c r="C3291">
        <v>1.08945</v>
      </c>
      <c r="D3291">
        <v>0</v>
      </c>
      <c r="F3291">
        <v>0.466749999999998</v>
      </c>
      <c r="G3291">
        <v>17.506185931424501</v>
      </c>
      <c r="H3291">
        <v>1</v>
      </c>
      <c r="I3291">
        <v>0.5236267</v>
      </c>
      <c r="J3291">
        <v>2016</v>
      </c>
      <c r="K3291">
        <v>10</v>
      </c>
      <c r="L3291">
        <v>28</v>
      </c>
      <c r="M3291" t="s">
        <v>91</v>
      </c>
      <c r="N3291">
        <v>0</v>
      </c>
      <c r="O3291">
        <v>0</v>
      </c>
    </row>
    <row r="3292" spans="1:15" x14ac:dyDescent="0.3">
      <c r="A3292">
        <v>3387</v>
      </c>
      <c r="B3292" s="34">
        <v>42674</v>
      </c>
      <c r="C3292">
        <v>1.09745</v>
      </c>
      <c r="D3292">
        <v>0</v>
      </c>
      <c r="F3292">
        <v>0.466749999999998</v>
      </c>
      <c r="G3292">
        <v>17.506185931424501</v>
      </c>
      <c r="H3292">
        <v>0</v>
      </c>
      <c r="I3292">
        <v>0.5234721</v>
      </c>
      <c r="J3292">
        <v>2016</v>
      </c>
      <c r="K3292">
        <v>10</v>
      </c>
      <c r="L3292">
        <v>31</v>
      </c>
      <c r="M3292" t="s">
        <v>92</v>
      </c>
      <c r="N3292">
        <v>0</v>
      </c>
      <c r="O3292">
        <v>0</v>
      </c>
    </row>
    <row r="3293" spans="1:15" x14ac:dyDescent="0.3">
      <c r="A3293">
        <v>3388</v>
      </c>
      <c r="B3293" s="34">
        <v>42675</v>
      </c>
      <c r="C3293">
        <v>1.09762</v>
      </c>
      <c r="D3293">
        <v>0</v>
      </c>
      <c r="F3293">
        <v>0.466749999999998</v>
      </c>
      <c r="G3293">
        <v>17.506185931424501</v>
      </c>
      <c r="H3293">
        <v>0</v>
      </c>
      <c r="I3293">
        <v>0.52331760000000005</v>
      </c>
      <c r="J3293">
        <v>2016</v>
      </c>
      <c r="K3293">
        <v>11</v>
      </c>
      <c r="L3293">
        <v>1</v>
      </c>
      <c r="M3293" t="s">
        <v>93</v>
      </c>
      <c r="N3293">
        <v>0</v>
      </c>
      <c r="O3293">
        <v>0</v>
      </c>
    </row>
    <row r="3294" spans="1:15" x14ac:dyDescent="0.3">
      <c r="A3294">
        <v>3389</v>
      </c>
      <c r="B3294" s="34">
        <v>42676</v>
      </c>
      <c r="C3294">
        <v>1.10564</v>
      </c>
      <c r="D3294">
        <v>0</v>
      </c>
      <c r="F3294">
        <v>0.466749999999998</v>
      </c>
      <c r="G3294">
        <v>17.506185931424501</v>
      </c>
      <c r="H3294">
        <v>0</v>
      </c>
      <c r="I3294">
        <v>0.52316320000000005</v>
      </c>
      <c r="J3294">
        <v>2016</v>
      </c>
      <c r="K3294">
        <v>11</v>
      </c>
      <c r="L3294">
        <v>2</v>
      </c>
      <c r="M3294" t="s">
        <v>89</v>
      </c>
      <c r="N3294">
        <v>0</v>
      </c>
      <c r="O3294">
        <v>0</v>
      </c>
    </row>
    <row r="3295" spans="1:15" x14ac:dyDescent="0.3">
      <c r="A3295">
        <v>3390</v>
      </c>
      <c r="B3295" s="34">
        <v>42677</v>
      </c>
      <c r="C3295">
        <v>1.1094599999999999</v>
      </c>
      <c r="D3295">
        <v>0</v>
      </c>
      <c r="F3295">
        <v>0.466749999999998</v>
      </c>
      <c r="G3295">
        <v>17.506185931424501</v>
      </c>
      <c r="H3295">
        <v>0</v>
      </c>
      <c r="I3295">
        <v>0.52300880000000005</v>
      </c>
      <c r="J3295">
        <v>2016</v>
      </c>
      <c r="K3295">
        <v>11</v>
      </c>
      <c r="L3295">
        <v>3</v>
      </c>
      <c r="M3295" t="s">
        <v>90</v>
      </c>
      <c r="N3295">
        <v>0</v>
      </c>
      <c r="O3295">
        <v>0</v>
      </c>
    </row>
    <row r="3296" spans="1:15" x14ac:dyDescent="0.3">
      <c r="A3296">
        <v>3391</v>
      </c>
      <c r="B3296" s="34">
        <v>42678</v>
      </c>
      <c r="C3296">
        <v>1.1105</v>
      </c>
      <c r="D3296">
        <v>0</v>
      </c>
      <c r="F3296">
        <v>0.466749999999998</v>
      </c>
      <c r="G3296">
        <v>17.506185931424501</v>
      </c>
      <c r="H3296">
        <v>0</v>
      </c>
      <c r="I3296">
        <v>0.52285459999999995</v>
      </c>
      <c r="J3296">
        <v>2016</v>
      </c>
      <c r="K3296">
        <v>11</v>
      </c>
      <c r="L3296">
        <v>4</v>
      </c>
      <c r="M3296" t="s">
        <v>91</v>
      </c>
      <c r="N3296">
        <v>0</v>
      </c>
      <c r="O3296">
        <v>0</v>
      </c>
    </row>
    <row r="3297" spans="1:15" x14ac:dyDescent="0.3">
      <c r="A3297">
        <v>3392</v>
      </c>
      <c r="B3297" s="34">
        <v>42681</v>
      </c>
      <c r="C3297">
        <v>1.11375</v>
      </c>
      <c r="D3297">
        <v>0</v>
      </c>
      <c r="F3297">
        <v>0.466749999999998</v>
      </c>
      <c r="G3297">
        <v>17.506185931424501</v>
      </c>
      <c r="H3297">
        <v>0</v>
      </c>
      <c r="I3297">
        <v>0.52270050000000001</v>
      </c>
      <c r="J3297">
        <v>2016</v>
      </c>
      <c r="K3297">
        <v>11</v>
      </c>
      <c r="L3297">
        <v>7</v>
      </c>
      <c r="M3297" t="s">
        <v>92</v>
      </c>
      <c r="N3297">
        <v>0</v>
      </c>
      <c r="O3297">
        <v>0</v>
      </c>
    </row>
    <row r="3298" spans="1:15" x14ac:dyDescent="0.3">
      <c r="A3298">
        <v>3393</v>
      </c>
      <c r="B3298" s="34">
        <v>42682</v>
      </c>
      <c r="C3298">
        <v>1.10395</v>
      </c>
      <c r="D3298">
        <v>0</v>
      </c>
      <c r="F3298">
        <v>0.466749999999998</v>
      </c>
      <c r="G3298">
        <v>17.506185931424501</v>
      </c>
      <c r="H3298">
        <v>1</v>
      </c>
      <c r="I3298">
        <v>0.52284120000000001</v>
      </c>
      <c r="J3298">
        <v>2016</v>
      </c>
      <c r="K3298">
        <v>11</v>
      </c>
      <c r="L3298">
        <v>8</v>
      </c>
      <c r="M3298" t="s">
        <v>93</v>
      </c>
      <c r="N3298">
        <v>0</v>
      </c>
      <c r="O3298">
        <v>0</v>
      </c>
    </row>
    <row r="3299" spans="1:15" x14ac:dyDescent="0.3">
      <c r="A3299">
        <v>3394</v>
      </c>
      <c r="B3299" s="34">
        <v>42683</v>
      </c>
      <c r="C3299">
        <v>1.1025700000000001</v>
      </c>
      <c r="D3299">
        <v>0</v>
      </c>
      <c r="F3299">
        <v>0.466749999999998</v>
      </c>
      <c r="G3299">
        <v>17.506185931424501</v>
      </c>
      <c r="H3299">
        <v>0</v>
      </c>
      <c r="I3299">
        <v>0.52268709999999996</v>
      </c>
      <c r="J3299">
        <v>2016</v>
      </c>
      <c r="K3299">
        <v>11</v>
      </c>
      <c r="L3299">
        <v>9</v>
      </c>
      <c r="M3299" t="s">
        <v>89</v>
      </c>
      <c r="N3299">
        <v>0</v>
      </c>
      <c r="O3299">
        <v>0</v>
      </c>
    </row>
    <row r="3300" spans="1:15" x14ac:dyDescent="0.3">
      <c r="A3300">
        <v>3395</v>
      </c>
      <c r="B3300" s="34">
        <v>42684</v>
      </c>
      <c r="C3300">
        <v>1.09077</v>
      </c>
      <c r="D3300">
        <v>0</v>
      </c>
      <c r="F3300">
        <v>0.466749999999998</v>
      </c>
      <c r="G3300">
        <v>17.506185931424501</v>
      </c>
      <c r="H3300">
        <v>0</v>
      </c>
      <c r="I3300">
        <v>0.52253309999999997</v>
      </c>
      <c r="J3300">
        <v>2016</v>
      </c>
      <c r="K3300">
        <v>11</v>
      </c>
      <c r="L3300">
        <v>10</v>
      </c>
      <c r="M3300" t="s">
        <v>90</v>
      </c>
      <c r="N3300">
        <v>0</v>
      </c>
      <c r="O3300">
        <v>0</v>
      </c>
    </row>
    <row r="3301" spans="1:15" x14ac:dyDescent="0.3">
      <c r="A3301">
        <v>3396</v>
      </c>
      <c r="B3301" s="34">
        <v>42685</v>
      </c>
      <c r="C3301">
        <v>1.08907</v>
      </c>
      <c r="D3301">
        <v>0</v>
      </c>
      <c r="F3301">
        <v>0.466749999999998</v>
      </c>
      <c r="G3301">
        <v>17.506185931424501</v>
      </c>
      <c r="H3301">
        <v>0</v>
      </c>
      <c r="I3301">
        <v>0.52237929999999999</v>
      </c>
      <c r="J3301">
        <v>2016</v>
      </c>
      <c r="K3301">
        <v>11</v>
      </c>
      <c r="L3301">
        <v>11</v>
      </c>
      <c r="M3301" t="s">
        <v>91</v>
      </c>
      <c r="N3301">
        <v>0</v>
      </c>
      <c r="O3301">
        <v>0</v>
      </c>
    </row>
    <row r="3302" spans="1:15" x14ac:dyDescent="0.3">
      <c r="A3302">
        <v>3397</v>
      </c>
      <c r="B3302" s="34">
        <v>42688</v>
      </c>
      <c r="C3302">
        <v>1.0850299999999999</v>
      </c>
      <c r="D3302">
        <v>0</v>
      </c>
      <c r="F3302">
        <v>0.466749999999998</v>
      </c>
      <c r="G3302">
        <v>17.506185931424501</v>
      </c>
      <c r="H3302">
        <v>0</v>
      </c>
      <c r="I3302">
        <v>0.52222550000000001</v>
      </c>
      <c r="J3302">
        <v>2016</v>
      </c>
      <c r="K3302">
        <v>11</v>
      </c>
      <c r="L3302">
        <v>14</v>
      </c>
      <c r="M3302" t="s">
        <v>92</v>
      </c>
      <c r="N3302">
        <v>0</v>
      </c>
      <c r="O3302">
        <v>0</v>
      </c>
    </row>
    <row r="3303" spans="1:15" x14ac:dyDescent="0.3">
      <c r="A3303">
        <v>3398</v>
      </c>
      <c r="B3303" s="34">
        <v>42689</v>
      </c>
      <c r="C3303">
        <v>1.07358</v>
      </c>
      <c r="D3303">
        <v>0</v>
      </c>
      <c r="F3303">
        <v>0.466749999999998</v>
      </c>
      <c r="G3303">
        <v>17.506185931424501</v>
      </c>
      <c r="H3303">
        <v>0</v>
      </c>
      <c r="I3303">
        <v>0.52207179999999997</v>
      </c>
      <c r="J3303">
        <v>2016</v>
      </c>
      <c r="K3303">
        <v>11</v>
      </c>
      <c r="L3303">
        <v>15</v>
      </c>
      <c r="M3303" t="s">
        <v>93</v>
      </c>
      <c r="N3303">
        <v>0</v>
      </c>
      <c r="O3303">
        <v>0</v>
      </c>
    </row>
    <row r="3304" spans="1:15" x14ac:dyDescent="0.3">
      <c r="A3304">
        <v>3399</v>
      </c>
      <c r="B3304" s="34">
        <v>42690</v>
      </c>
      <c r="C3304">
        <v>1.0721499999999999</v>
      </c>
      <c r="D3304">
        <v>0</v>
      </c>
      <c r="F3304">
        <v>0.466749999999998</v>
      </c>
      <c r="G3304">
        <v>17.506185931424501</v>
      </c>
      <c r="H3304">
        <v>0</v>
      </c>
      <c r="I3304">
        <v>0.5219182</v>
      </c>
      <c r="J3304">
        <v>2016</v>
      </c>
      <c r="K3304">
        <v>11</v>
      </c>
      <c r="L3304">
        <v>16</v>
      </c>
      <c r="M3304" t="s">
        <v>89</v>
      </c>
      <c r="N3304">
        <v>0</v>
      </c>
      <c r="O3304">
        <v>0</v>
      </c>
    </row>
    <row r="3305" spans="1:15" x14ac:dyDescent="0.3">
      <c r="A3305">
        <v>3400</v>
      </c>
      <c r="B3305" s="34">
        <v>42691</v>
      </c>
      <c r="C3305">
        <v>1.06898</v>
      </c>
      <c r="D3305">
        <v>0</v>
      </c>
      <c r="F3305">
        <v>0.466749999999998</v>
      </c>
      <c r="G3305">
        <v>17.506185931424501</v>
      </c>
      <c r="H3305">
        <v>0</v>
      </c>
      <c r="I3305">
        <v>0.52176469999999997</v>
      </c>
      <c r="J3305">
        <v>2016</v>
      </c>
      <c r="K3305">
        <v>11</v>
      </c>
      <c r="L3305">
        <v>17</v>
      </c>
      <c r="M3305" t="s">
        <v>90</v>
      </c>
      <c r="N3305">
        <v>0</v>
      </c>
      <c r="O3305">
        <v>0</v>
      </c>
    </row>
    <row r="3306" spans="1:15" x14ac:dyDescent="0.3">
      <c r="A3306">
        <v>3401</v>
      </c>
      <c r="B3306" s="34">
        <v>42692</v>
      </c>
      <c r="C3306">
        <v>1.0624100000000001</v>
      </c>
      <c r="D3306">
        <v>0</v>
      </c>
      <c r="F3306">
        <v>0.466749999999998</v>
      </c>
      <c r="G3306">
        <v>17.506185931424501</v>
      </c>
      <c r="H3306">
        <v>1</v>
      </c>
      <c r="I3306">
        <v>0.52190530000000002</v>
      </c>
      <c r="J3306">
        <v>2016</v>
      </c>
      <c r="K3306">
        <v>11</v>
      </c>
      <c r="L3306">
        <v>18</v>
      </c>
      <c r="M3306" t="s">
        <v>91</v>
      </c>
      <c r="N3306">
        <v>0</v>
      </c>
      <c r="O3306">
        <v>0</v>
      </c>
    </row>
    <row r="3307" spans="1:15" x14ac:dyDescent="0.3">
      <c r="A3307">
        <v>3402</v>
      </c>
      <c r="B3307" s="34">
        <v>42695</v>
      </c>
      <c r="C3307">
        <v>1.05826</v>
      </c>
      <c r="D3307">
        <v>0</v>
      </c>
      <c r="F3307">
        <v>0.466749999999998</v>
      </c>
      <c r="G3307">
        <v>17.506185931424501</v>
      </c>
      <c r="H3307">
        <v>0</v>
      </c>
      <c r="I3307">
        <v>0.52175190000000005</v>
      </c>
      <c r="J3307">
        <v>2016</v>
      </c>
      <c r="K3307">
        <v>11</v>
      </c>
      <c r="L3307">
        <v>21</v>
      </c>
      <c r="M3307" t="s">
        <v>92</v>
      </c>
      <c r="N3307">
        <v>0</v>
      </c>
      <c r="O3307">
        <v>0</v>
      </c>
    </row>
    <row r="3308" spans="1:15" x14ac:dyDescent="0.3">
      <c r="A3308">
        <v>3403</v>
      </c>
      <c r="B3308" s="34">
        <v>42696</v>
      </c>
      <c r="C3308">
        <v>1.06264</v>
      </c>
      <c r="D3308">
        <v>0</v>
      </c>
      <c r="F3308">
        <v>0.466749999999998</v>
      </c>
      <c r="G3308">
        <v>17.506185931424501</v>
      </c>
      <c r="H3308">
        <v>1</v>
      </c>
      <c r="I3308">
        <v>0.52189240000000003</v>
      </c>
      <c r="J3308">
        <v>2016</v>
      </c>
      <c r="K3308">
        <v>11</v>
      </c>
      <c r="L3308">
        <v>22</v>
      </c>
      <c r="M3308" t="s">
        <v>93</v>
      </c>
      <c r="N3308">
        <v>0</v>
      </c>
      <c r="O3308">
        <v>0</v>
      </c>
    </row>
    <row r="3309" spans="1:15" x14ac:dyDescent="0.3">
      <c r="A3309">
        <v>3404</v>
      </c>
      <c r="B3309" s="34">
        <v>42697</v>
      </c>
      <c r="C3309">
        <v>1.06243</v>
      </c>
      <c r="D3309">
        <v>0</v>
      </c>
      <c r="F3309">
        <v>0.466749999999998</v>
      </c>
      <c r="G3309">
        <v>17.506185931424501</v>
      </c>
      <c r="H3309">
        <v>1</v>
      </c>
      <c r="I3309">
        <v>0.52203290000000002</v>
      </c>
      <c r="J3309">
        <v>2016</v>
      </c>
      <c r="K3309">
        <v>11</v>
      </c>
      <c r="L3309">
        <v>23</v>
      </c>
      <c r="M3309" t="s">
        <v>89</v>
      </c>
      <c r="N3309">
        <v>0</v>
      </c>
      <c r="O3309">
        <v>0</v>
      </c>
    </row>
    <row r="3310" spans="1:15" x14ac:dyDescent="0.3">
      <c r="A3310">
        <v>3405</v>
      </c>
      <c r="B3310" s="34">
        <v>42698</v>
      </c>
      <c r="C3310">
        <v>1.0551600000000001</v>
      </c>
      <c r="D3310">
        <v>0</v>
      </c>
      <c r="F3310">
        <v>0.466749999999998</v>
      </c>
      <c r="G3310">
        <v>17.506185931424501</v>
      </c>
      <c r="H3310">
        <v>1</v>
      </c>
      <c r="I3310">
        <v>0.52217329999999995</v>
      </c>
      <c r="J3310">
        <v>2016</v>
      </c>
      <c r="K3310">
        <v>11</v>
      </c>
      <c r="L3310">
        <v>24</v>
      </c>
      <c r="M3310" t="s">
        <v>90</v>
      </c>
      <c r="N3310">
        <v>0</v>
      </c>
      <c r="O3310">
        <v>0</v>
      </c>
    </row>
    <row r="3311" spans="1:15" x14ac:dyDescent="0.3">
      <c r="A3311">
        <v>3406</v>
      </c>
      <c r="B3311" s="34">
        <v>42699</v>
      </c>
      <c r="C3311">
        <v>1.0551699999999999</v>
      </c>
      <c r="D3311">
        <v>0</v>
      </c>
      <c r="F3311">
        <v>0.466749999999998</v>
      </c>
      <c r="G3311">
        <v>17.506185931424501</v>
      </c>
      <c r="H3311">
        <v>1</v>
      </c>
      <c r="I3311">
        <v>0.52231349999999999</v>
      </c>
      <c r="J3311">
        <v>2016</v>
      </c>
      <c r="K3311">
        <v>11</v>
      </c>
      <c r="L3311">
        <v>25</v>
      </c>
      <c r="M3311" t="s">
        <v>91</v>
      </c>
      <c r="N3311">
        <v>0</v>
      </c>
      <c r="O3311">
        <v>0</v>
      </c>
    </row>
    <row r="3312" spans="1:15" x14ac:dyDescent="0.3">
      <c r="A3312">
        <v>3407</v>
      </c>
      <c r="B3312" s="34">
        <v>42702</v>
      </c>
      <c r="C3312">
        <v>1.05772</v>
      </c>
      <c r="D3312">
        <v>0</v>
      </c>
      <c r="F3312">
        <v>0.466749999999998</v>
      </c>
      <c r="G3312">
        <v>17.506185931424501</v>
      </c>
      <c r="H3312">
        <v>1</v>
      </c>
      <c r="I3312">
        <v>0.52245379999999997</v>
      </c>
      <c r="J3312">
        <v>2016</v>
      </c>
      <c r="K3312">
        <v>11</v>
      </c>
      <c r="L3312">
        <v>28</v>
      </c>
      <c r="M3312" t="s">
        <v>92</v>
      </c>
      <c r="N3312">
        <v>0</v>
      </c>
      <c r="O3312">
        <v>0</v>
      </c>
    </row>
    <row r="3313" spans="1:15" x14ac:dyDescent="0.3">
      <c r="A3313">
        <v>3408</v>
      </c>
      <c r="B3313" s="34">
        <v>42703</v>
      </c>
      <c r="C3313">
        <v>1.0612200000000001</v>
      </c>
      <c r="D3313">
        <v>0</v>
      </c>
      <c r="F3313">
        <v>0.466749999999998</v>
      </c>
      <c r="G3313">
        <v>17.506185931424501</v>
      </c>
      <c r="H3313">
        <v>0</v>
      </c>
      <c r="I3313">
        <v>0.52230049999999995</v>
      </c>
      <c r="J3313">
        <v>2016</v>
      </c>
      <c r="K3313">
        <v>11</v>
      </c>
      <c r="L3313">
        <v>29</v>
      </c>
      <c r="M3313" t="s">
        <v>93</v>
      </c>
      <c r="N3313">
        <v>0</v>
      </c>
      <c r="O3313">
        <v>0</v>
      </c>
    </row>
    <row r="3314" spans="1:15" x14ac:dyDescent="0.3">
      <c r="A3314">
        <v>3409</v>
      </c>
      <c r="B3314" s="34">
        <v>42704</v>
      </c>
      <c r="C3314">
        <v>1.06487</v>
      </c>
      <c r="D3314">
        <v>0</v>
      </c>
      <c r="F3314">
        <v>0.466749999999998</v>
      </c>
      <c r="G3314">
        <v>17.506185931424501</v>
      </c>
      <c r="H3314">
        <v>0</v>
      </c>
      <c r="I3314">
        <v>0.52214720000000003</v>
      </c>
      <c r="J3314">
        <v>2016</v>
      </c>
      <c r="K3314">
        <v>11</v>
      </c>
      <c r="L3314">
        <v>30</v>
      </c>
      <c r="M3314" t="s">
        <v>89</v>
      </c>
      <c r="N3314">
        <v>0</v>
      </c>
      <c r="O3314">
        <v>0</v>
      </c>
    </row>
    <row r="3315" spans="1:15" x14ac:dyDescent="0.3">
      <c r="A3315">
        <v>3410</v>
      </c>
      <c r="B3315" s="34">
        <v>42705</v>
      </c>
      <c r="C3315">
        <v>1.0587</v>
      </c>
      <c r="D3315">
        <v>0</v>
      </c>
      <c r="F3315">
        <v>0.466749999999998</v>
      </c>
      <c r="G3315">
        <v>17.506185931424501</v>
      </c>
      <c r="H3315">
        <v>1</v>
      </c>
      <c r="I3315">
        <v>0.52228739999999996</v>
      </c>
      <c r="J3315">
        <v>2016</v>
      </c>
      <c r="K3315">
        <v>12</v>
      </c>
      <c r="L3315">
        <v>1</v>
      </c>
      <c r="M3315" t="s">
        <v>90</v>
      </c>
      <c r="N3315">
        <v>0</v>
      </c>
      <c r="O3315">
        <v>0</v>
      </c>
    </row>
    <row r="3316" spans="1:15" x14ac:dyDescent="0.3">
      <c r="A3316">
        <v>3411</v>
      </c>
      <c r="B3316" s="34">
        <v>42706</v>
      </c>
      <c r="C3316">
        <v>1.06596</v>
      </c>
      <c r="D3316">
        <v>-2</v>
      </c>
      <c r="F3316">
        <v>0.46732999999999802</v>
      </c>
      <c r="G3316">
        <v>17.403676210675101</v>
      </c>
      <c r="H3316">
        <v>0.5</v>
      </c>
      <c r="I3316">
        <v>0.52228090000000005</v>
      </c>
      <c r="J3316">
        <v>2016</v>
      </c>
      <c r="K3316">
        <v>12</v>
      </c>
      <c r="L3316">
        <v>2</v>
      </c>
      <c r="M3316" t="s">
        <v>91</v>
      </c>
      <c r="N3316">
        <v>0</v>
      </c>
      <c r="O3316">
        <v>0</v>
      </c>
    </row>
    <row r="3317" spans="1:15" x14ac:dyDescent="0.3">
      <c r="A3317">
        <v>3412</v>
      </c>
      <c r="B3317" s="34">
        <v>42709</v>
      </c>
      <c r="C3317">
        <v>1.06538</v>
      </c>
      <c r="D3317">
        <v>0</v>
      </c>
      <c r="F3317">
        <v>0.46732999999999802</v>
      </c>
      <c r="G3317">
        <v>17.403676210675101</v>
      </c>
      <c r="H3317">
        <v>1</v>
      </c>
      <c r="I3317">
        <v>0.52242089999999997</v>
      </c>
      <c r="J3317">
        <v>2016</v>
      </c>
      <c r="K3317">
        <v>12</v>
      </c>
      <c r="L3317">
        <v>5</v>
      </c>
      <c r="M3317" t="s">
        <v>92</v>
      </c>
      <c r="N3317">
        <v>0</v>
      </c>
      <c r="O3317">
        <v>0</v>
      </c>
    </row>
    <row r="3318" spans="1:15" x14ac:dyDescent="0.3">
      <c r="A3318">
        <v>3413</v>
      </c>
      <c r="B3318" s="34">
        <v>42710</v>
      </c>
      <c r="C3318">
        <v>1.0763100000000001</v>
      </c>
      <c r="D3318">
        <v>0</v>
      </c>
      <c r="F3318">
        <v>0.46732999999999802</v>
      </c>
      <c r="G3318">
        <v>17.403676210675101</v>
      </c>
      <c r="H3318">
        <v>0</v>
      </c>
      <c r="I3318">
        <v>0.52226779999999995</v>
      </c>
      <c r="J3318">
        <v>2016</v>
      </c>
      <c r="K3318">
        <v>12</v>
      </c>
      <c r="L3318">
        <v>6</v>
      </c>
      <c r="M3318" t="s">
        <v>93</v>
      </c>
      <c r="N3318">
        <v>0</v>
      </c>
      <c r="O3318">
        <v>0</v>
      </c>
    </row>
    <row r="3319" spans="1:15" x14ac:dyDescent="0.3">
      <c r="A3319">
        <v>3414</v>
      </c>
      <c r="B3319" s="34">
        <v>42711</v>
      </c>
      <c r="C3319">
        <v>1.0717699999999999</v>
      </c>
      <c r="D3319">
        <v>0</v>
      </c>
      <c r="F3319">
        <v>0.46732999999999802</v>
      </c>
      <c r="G3319">
        <v>17.403676210675101</v>
      </c>
      <c r="H3319">
        <v>1</v>
      </c>
      <c r="I3319">
        <v>0.52240770000000003</v>
      </c>
      <c r="J3319">
        <v>2016</v>
      </c>
      <c r="K3319">
        <v>12</v>
      </c>
      <c r="L3319">
        <v>7</v>
      </c>
      <c r="M3319" t="s">
        <v>89</v>
      </c>
      <c r="N3319">
        <v>0</v>
      </c>
      <c r="O3319">
        <v>0</v>
      </c>
    </row>
    <row r="3320" spans="1:15" x14ac:dyDescent="0.3">
      <c r="A3320">
        <v>3415</v>
      </c>
      <c r="B3320" s="34">
        <v>42712</v>
      </c>
      <c r="C3320">
        <v>1.0751299999999999</v>
      </c>
      <c r="D3320">
        <v>0</v>
      </c>
      <c r="F3320">
        <v>0.46732999999999802</v>
      </c>
      <c r="G3320">
        <v>17.403676210675101</v>
      </c>
      <c r="H3320">
        <v>0</v>
      </c>
      <c r="I3320">
        <v>0.52225480000000002</v>
      </c>
      <c r="J3320">
        <v>2016</v>
      </c>
      <c r="K3320">
        <v>12</v>
      </c>
      <c r="L3320">
        <v>8</v>
      </c>
      <c r="M3320" t="s">
        <v>90</v>
      </c>
      <c r="N3320">
        <v>0</v>
      </c>
      <c r="O3320">
        <v>0</v>
      </c>
    </row>
    <row r="3321" spans="1:15" x14ac:dyDescent="0.3">
      <c r="A3321">
        <v>3416</v>
      </c>
      <c r="B3321" s="34">
        <v>42713</v>
      </c>
      <c r="C3321">
        <v>1.06121</v>
      </c>
      <c r="D3321">
        <v>0</v>
      </c>
      <c r="F3321">
        <v>0.46732999999999802</v>
      </c>
      <c r="G3321">
        <v>17.403676210675101</v>
      </c>
      <c r="H3321">
        <v>1</v>
      </c>
      <c r="I3321">
        <v>0.52239460000000004</v>
      </c>
      <c r="J3321">
        <v>2016</v>
      </c>
      <c r="K3321">
        <v>12</v>
      </c>
      <c r="L3321">
        <v>9</v>
      </c>
      <c r="M3321" t="s">
        <v>91</v>
      </c>
      <c r="N3321">
        <v>0</v>
      </c>
      <c r="O3321">
        <v>0</v>
      </c>
    </row>
    <row r="3322" spans="1:15" x14ac:dyDescent="0.3">
      <c r="A3322">
        <v>3417</v>
      </c>
      <c r="B3322" s="34">
        <v>42716</v>
      </c>
      <c r="C3322">
        <v>1.05515</v>
      </c>
      <c r="D3322">
        <v>0</v>
      </c>
      <c r="F3322">
        <v>0.46732999999999802</v>
      </c>
      <c r="G3322">
        <v>17.403676210675101</v>
      </c>
      <c r="H3322">
        <v>0</v>
      </c>
      <c r="I3322">
        <v>0.52224170000000003</v>
      </c>
      <c r="J3322">
        <v>2016</v>
      </c>
      <c r="K3322">
        <v>12</v>
      </c>
      <c r="L3322">
        <v>12</v>
      </c>
      <c r="M3322" t="s">
        <v>92</v>
      </c>
      <c r="N3322">
        <v>0</v>
      </c>
      <c r="O3322">
        <v>0</v>
      </c>
    </row>
    <row r="3323" spans="1:15" x14ac:dyDescent="0.3">
      <c r="A3323">
        <v>3418</v>
      </c>
      <c r="B3323" s="34">
        <v>42717</v>
      </c>
      <c r="C3323">
        <v>1.0633600000000001</v>
      </c>
      <c r="D3323">
        <v>0</v>
      </c>
      <c r="F3323">
        <v>0.46732999999999802</v>
      </c>
      <c r="G3323">
        <v>17.403676210675101</v>
      </c>
      <c r="H3323">
        <v>1</v>
      </c>
      <c r="I3323">
        <v>0.52238150000000005</v>
      </c>
      <c r="J3323">
        <v>2016</v>
      </c>
      <c r="K3323">
        <v>12</v>
      </c>
      <c r="L3323">
        <v>13</v>
      </c>
      <c r="M3323" t="s">
        <v>93</v>
      </c>
      <c r="N3323">
        <v>0</v>
      </c>
      <c r="O3323">
        <v>0</v>
      </c>
    </row>
    <row r="3324" spans="1:15" x14ac:dyDescent="0.3">
      <c r="A3324">
        <v>3419</v>
      </c>
      <c r="B3324" s="34">
        <v>42718</v>
      </c>
      <c r="C3324">
        <v>1.0624400000000001</v>
      </c>
      <c r="D3324">
        <v>0</v>
      </c>
      <c r="F3324">
        <v>0.46732999999999802</v>
      </c>
      <c r="G3324">
        <v>17.403676210675101</v>
      </c>
      <c r="H3324">
        <v>0</v>
      </c>
      <c r="I3324">
        <v>0.52222869999999999</v>
      </c>
      <c r="J3324">
        <v>2016</v>
      </c>
      <c r="K3324">
        <v>12</v>
      </c>
      <c r="L3324">
        <v>14</v>
      </c>
      <c r="M3324" t="s">
        <v>89</v>
      </c>
      <c r="N3324">
        <v>0</v>
      </c>
      <c r="O3324">
        <v>0</v>
      </c>
    </row>
    <row r="3325" spans="1:15" x14ac:dyDescent="0.3">
      <c r="A3325">
        <v>3420</v>
      </c>
      <c r="B3325" s="34">
        <v>42719</v>
      </c>
      <c r="C3325">
        <v>1.0533999999999999</v>
      </c>
      <c r="D3325">
        <v>0</v>
      </c>
      <c r="F3325">
        <v>0.46732999999999802</v>
      </c>
      <c r="G3325">
        <v>17.403676210675101</v>
      </c>
      <c r="H3325">
        <v>1</v>
      </c>
      <c r="I3325">
        <v>0.52236839999999995</v>
      </c>
      <c r="J3325">
        <v>2016</v>
      </c>
      <c r="K3325">
        <v>12</v>
      </c>
      <c r="L3325">
        <v>15</v>
      </c>
      <c r="M3325" t="s">
        <v>90</v>
      </c>
      <c r="N3325">
        <v>0</v>
      </c>
      <c r="O3325">
        <v>0</v>
      </c>
    </row>
    <row r="3326" spans="1:15" x14ac:dyDescent="0.3">
      <c r="A3326">
        <v>3421</v>
      </c>
      <c r="B3326" s="34">
        <v>42720</v>
      </c>
      <c r="C3326">
        <v>1.0412600000000001</v>
      </c>
      <c r="D3326">
        <v>0</v>
      </c>
      <c r="F3326">
        <v>0.46732999999999802</v>
      </c>
      <c r="G3326">
        <v>17.403676210675101</v>
      </c>
      <c r="H3326">
        <v>0</v>
      </c>
      <c r="I3326">
        <v>0.52221569999999995</v>
      </c>
      <c r="J3326">
        <v>2016</v>
      </c>
      <c r="K3326">
        <v>12</v>
      </c>
      <c r="L3326">
        <v>16</v>
      </c>
      <c r="M3326" t="s">
        <v>91</v>
      </c>
      <c r="N3326">
        <v>0</v>
      </c>
      <c r="O3326">
        <v>0</v>
      </c>
    </row>
    <row r="3327" spans="1:15" x14ac:dyDescent="0.3">
      <c r="A3327">
        <v>3422</v>
      </c>
      <c r="B3327" s="34">
        <v>42723</v>
      </c>
      <c r="C3327">
        <v>1.0440100000000001</v>
      </c>
      <c r="D3327">
        <v>0</v>
      </c>
      <c r="F3327">
        <v>0.46732999999999802</v>
      </c>
      <c r="G3327">
        <v>17.403676210675101</v>
      </c>
      <c r="H3327">
        <v>1</v>
      </c>
      <c r="I3327">
        <v>0.52235529999999997</v>
      </c>
      <c r="J3327">
        <v>2016</v>
      </c>
      <c r="K3327">
        <v>12</v>
      </c>
      <c r="L3327">
        <v>19</v>
      </c>
      <c r="M3327" t="s">
        <v>92</v>
      </c>
      <c r="N3327">
        <v>0</v>
      </c>
      <c r="O3327">
        <v>0</v>
      </c>
    </row>
    <row r="3328" spans="1:15" x14ac:dyDescent="0.3">
      <c r="A3328">
        <v>3423</v>
      </c>
      <c r="B3328" s="34">
        <v>42724</v>
      </c>
      <c r="C3328">
        <v>1.0401</v>
      </c>
      <c r="D3328">
        <v>0</v>
      </c>
      <c r="F3328">
        <v>0.46732999999999802</v>
      </c>
      <c r="G3328">
        <v>17.403676210675101</v>
      </c>
      <c r="H3328">
        <v>1</v>
      </c>
      <c r="I3328">
        <v>0.52249489999999998</v>
      </c>
      <c r="J3328">
        <v>2016</v>
      </c>
      <c r="K3328">
        <v>12</v>
      </c>
      <c r="L3328">
        <v>20</v>
      </c>
      <c r="M3328" t="s">
        <v>93</v>
      </c>
      <c r="N3328">
        <v>0</v>
      </c>
      <c r="O3328">
        <v>0</v>
      </c>
    </row>
    <row r="3329" spans="1:15" x14ac:dyDescent="0.3">
      <c r="A3329">
        <v>3424</v>
      </c>
      <c r="B3329" s="34">
        <v>42725</v>
      </c>
      <c r="C3329">
        <v>1.03867</v>
      </c>
      <c r="D3329">
        <v>0</v>
      </c>
      <c r="F3329">
        <v>0.46732999999999802</v>
      </c>
      <c r="G3329">
        <v>17.403676210675101</v>
      </c>
      <c r="H3329">
        <v>0</v>
      </c>
      <c r="I3329">
        <v>0.52234230000000004</v>
      </c>
      <c r="J3329">
        <v>2016</v>
      </c>
      <c r="K3329">
        <v>12</v>
      </c>
      <c r="L3329">
        <v>21</v>
      </c>
      <c r="M3329" t="s">
        <v>89</v>
      </c>
      <c r="N3329">
        <v>0</v>
      </c>
      <c r="O3329">
        <v>0</v>
      </c>
    </row>
    <row r="3330" spans="1:15" x14ac:dyDescent="0.3">
      <c r="A3330">
        <v>3425</v>
      </c>
      <c r="B3330" s="34">
        <v>42726</v>
      </c>
      <c r="C3330">
        <v>1.0422800000000001</v>
      </c>
      <c r="D3330">
        <v>0</v>
      </c>
      <c r="F3330">
        <v>0.46732999999999802</v>
      </c>
      <c r="G3330">
        <v>17.403676210675101</v>
      </c>
      <c r="H3330">
        <v>1</v>
      </c>
      <c r="I3330">
        <v>0.52248170000000005</v>
      </c>
      <c r="J3330">
        <v>2016</v>
      </c>
      <c r="K3330">
        <v>12</v>
      </c>
      <c r="L3330">
        <v>22</v>
      </c>
      <c r="M3330" t="s">
        <v>90</v>
      </c>
      <c r="N3330">
        <v>0</v>
      </c>
      <c r="O3330">
        <v>0</v>
      </c>
    </row>
    <row r="3331" spans="1:15" x14ac:dyDescent="0.3">
      <c r="A3331">
        <v>3426</v>
      </c>
      <c r="B3331" s="34">
        <v>42727</v>
      </c>
      <c r="C3331">
        <v>1.04355</v>
      </c>
      <c r="D3331">
        <v>0</v>
      </c>
      <c r="F3331">
        <v>0.46732999999999802</v>
      </c>
      <c r="G3331">
        <v>17.403676210675101</v>
      </c>
      <c r="H3331">
        <v>0</v>
      </c>
      <c r="I3331">
        <v>0.5223293</v>
      </c>
      <c r="J3331">
        <v>2016</v>
      </c>
      <c r="K3331">
        <v>12</v>
      </c>
      <c r="L3331">
        <v>23</v>
      </c>
      <c r="M3331" t="s">
        <v>91</v>
      </c>
      <c r="N3331">
        <v>0</v>
      </c>
      <c r="O3331">
        <v>0</v>
      </c>
    </row>
    <row r="3332" spans="1:15" x14ac:dyDescent="0.3">
      <c r="A3332">
        <v>3427</v>
      </c>
      <c r="B3332" s="34">
        <v>42730</v>
      </c>
      <c r="C3332">
        <v>1.0469999999999999</v>
      </c>
      <c r="D3332">
        <v>0</v>
      </c>
      <c r="F3332">
        <v>0.46732999999999802</v>
      </c>
      <c r="G3332">
        <v>17.403676210675101</v>
      </c>
      <c r="H3332">
        <v>0</v>
      </c>
      <c r="I3332">
        <v>0.5221768</v>
      </c>
      <c r="J3332">
        <v>2016</v>
      </c>
      <c r="K3332">
        <v>12</v>
      </c>
      <c r="L3332">
        <v>26</v>
      </c>
      <c r="M3332" t="s">
        <v>92</v>
      </c>
      <c r="N3332">
        <v>0</v>
      </c>
      <c r="O3332">
        <v>0</v>
      </c>
    </row>
    <row r="3333" spans="1:15" x14ac:dyDescent="0.3">
      <c r="A3333">
        <v>3428</v>
      </c>
      <c r="B3333" s="34">
        <v>42731</v>
      </c>
      <c r="C3333">
        <v>1.04491</v>
      </c>
      <c r="D3333">
        <v>0</v>
      </c>
      <c r="F3333">
        <v>0.46732999999999802</v>
      </c>
      <c r="G3333">
        <v>17.403676210675101</v>
      </c>
      <c r="H3333">
        <v>1</v>
      </c>
      <c r="I3333">
        <v>0.52231620000000001</v>
      </c>
      <c r="J3333">
        <v>2016</v>
      </c>
      <c r="K3333">
        <v>12</v>
      </c>
      <c r="L3333">
        <v>27</v>
      </c>
      <c r="M3333" t="s">
        <v>93</v>
      </c>
      <c r="N3333">
        <v>0</v>
      </c>
      <c r="O3333">
        <v>0</v>
      </c>
    </row>
    <row r="3334" spans="1:15" x14ac:dyDescent="0.3">
      <c r="A3334">
        <v>3429</v>
      </c>
      <c r="B3334" s="34">
        <v>42732</v>
      </c>
      <c r="C3334">
        <v>1.04566</v>
      </c>
      <c r="D3334">
        <v>0</v>
      </c>
      <c r="F3334">
        <v>0.46732999999999802</v>
      </c>
      <c r="G3334">
        <v>17.403676210675101</v>
      </c>
      <c r="H3334">
        <v>0</v>
      </c>
      <c r="I3334">
        <v>0.52216390000000001</v>
      </c>
      <c r="J3334">
        <v>2016</v>
      </c>
      <c r="K3334">
        <v>12</v>
      </c>
      <c r="L3334">
        <v>28</v>
      </c>
      <c r="M3334" t="s">
        <v>89</v>
      </c>
      <c r="N3334">
        <v>0</v>
      </c>
      <c r="O3334">
        <v>0</v>
      </c>
    </row>
    <row r="3335" spans="1:15" x14ac:dyDescent="0.3">
      <c r="A3335">
        <v>3430</v>
      </c>
      <c r="B3335" s="34">
        <v>42733</v>
      </c>
      <c r="C3335">
        <v>1.0410200000000001</v>
      </c>
      <c r="D3335">
        <v>0</v>
      </c>
      <c r="F3335">
        <v>0.46732999999999802</v>
      </c>
      <c r="G3335">
        <v>17.403676210675101</v>
      </c>
      <c r="H3335">
        <v>1</v>
      </c>
      <c r="I3335">
        <v>0.52230319999999997</v>
      </c>
      <c r="J3335">
        <v>2016</v>
      </c>
      <c r="K3335">
        <v>12</v>
      </c>
      <c r="L3335">
        <v>29</v>
      </c>
      <c r="M3335" t="s">
        <v>90</v>
      </c>
      <c r="N3335">
        <v>0</v>
      </c>
      <c r="O3335">
        <v>0</v>
      </c>
    </row>
    <row r="3336" spans="1:15" x14ac:dyDescent="0.3">
      <c r="A3336">
        <v>3431</v>
      </c>
      <c r="B3336" s="34">
        <v>42734</v>
      </c>
      <c r="C3336">
        <v>1.0489200000000001</v>
      </c>
      <c r="D3336">
        <v>0</v>
      </c>
      <c r="F3336">
        <v>0.46732999999999802</v>
      </c>
      <c r="G3336">
        <v>17.403676210675101</v>
      </c>
      <c r="H3336">
        <v>1</v>
      </c>
      <c r="I3336">
        <v>0.52244250000000003</v>
      </c>
      <c r="J3336">
        <v>2016</v>
      </c>
      <c r="K3336">
        <v>12</v>
      </c>
      <c r="L3336">
        <v>30</v>
      </c>
      <c r="M3336" t="s">
        <v>91</v>
      </c>
      <c r="N3336">
        <v>0</v>
      </c>
      <c r="O3336">
        <v>0</v>
      </c>
    </row>
    <row r="3337" spans="1:15" x14ac:dyDescent="0.3">
      <c r="A3337">
        <v>3432</v>
      </c>
      <c r="B3337" s="34">
        <v>42737</v>
      </c>
      <c r="C3337">
        <v>1.0512900000000001</v>
      </c>
      <c r="D3337">
        <v>0</v>
      </c>
      <c r="F3337">
        <v>0.46732999999999802</v>
      </c>
      <c r="G3337">
        <v>17.403676210675101</v>
      </c>
      <c r="H3337">
        <v>0</v>
      </c>
      <c r="I3337">
        <v>0.52229020000000004</v>
      </c>
      <c r="J3337">
        <v>2017</v>
      </c>
      <c r="K3337">
        <v>1</v>
      </c>
      <c r="L3337">
        <v>2</v>
      </c>
      <c r="M3337" t="s">
        <v>92</v>
      </c>
      <c r="N3337">
        <v>0</v>
      </c>
      <c r="O3337">
        <v>0</v>
      </c>
    </row>
    <row r="3338" spans="1:15" x14ac:dyDescent="0.3">
      <c r="A3338">
        <v>3433</v>
      </c>
      <c r="B3338" s="34">
        <v>42738</v>
      </c>
      <c r="C3338">
        <v>1.0451900000000001</v>
      </c>
      <c r="D3338">
        <v>0</v>
      </c>
      <c r="F3338">
        <v>0.46732999999999802</v>
      </c>
      <c r="G3338">
        <v>17.403676210675101</v>
      </c>
      <c r="H3338">
        <v>1</v>
      </c>
      <c r="I3338">
        <v>0.52242929999999999</v>
      </c>
      <c r="J3338">
        <v>2017</v>
      </c>
      <c r="K3338">
        <v>1</v>
      </c>
      <c r="L3338">
        <v>3</v>
      </c>
      <c r="M3338" t="s">
        <v>93</v>
      </c>
      <c r="N3338">
        <v>0</v>
      </c>
      <c r="O3338">
        <v>0</v>
      </c>
    </row>
    <row r="3339" spans="1:15" x14ac:dyDescent="0.3">
      <c r="A3339">
        <v>3434</v>
      </c>
      <c r="B3339" s="34">
        <v>42739</v>
      </c>
      <c r="C3339">
        <v>1.04044</v>
      </c>
      <c r="D3339">
        <v>0</v>
      </c>
      <c r="F3339">
        <v>0.46732999999999802</v>
      </c>
      <c r="G3339">
        <v>17.403676210675101</v>
      </c>
      <c r="H3339">
        <v>1</v>
      </c>
      <c r="I3339">
        <v>0.52256840000000004</v>
      </c>
      <c r="J3339">
        <v>2017</v>
      </c>
      <c r="K3339">
        <v>1</v>
      </c>
      <c r="L3339">
        <v>4</v>
      </c>
      <c r="M3339" t="s">
        <v>89</v>
      </c>
      <c r="N3339">
        <v>0</v>
      </c>
      <c r="O3339">
        <v>0</v>
      </c>
    </row>
    <row r="3340" spans="1:15" x14ac:dyDescent="0.3">
      <c r="A3340">
        <v>3435</v>
      </c>
      <c r="B3340" s="34">
        <v>42740</v>
      </c>
      <c r="C3340">
        <v>1.04871</v>
      </c>
      <c r="D3340">
        <v>0</v>
      </c>
      <c r="F3340">
        <v>0.46732999999999802</v>
      </c>
      <c r="G3340">
        <v>17.403676210675101</v>
      </c>
      <c r="H3340">
        <v>1</v>
      </c>
      <c r="I3340">
        <v>0.52270740000000004</v>
      </c>
      <c r="J3340">
        <v>2017</v>
      </c>
      <c r="K3340">
        <v>1</v>
      </c>
      <c r="L3340">
        <v>5</v>
      </c>
      <c r="M3340" t="s">
        <v>90</v>
      </c>
      <c r="N3340">
        <v>0</v>
      </c>
      <c r="O3340">
        <v>0</v>
      </c>
    </row>
    <row r="3341" spans="1:15" x14ac:dyDescent="0.3">
      <c r="A3341">
        <v>3436</v>
      </c>
      <c r="B3341" s="34">
        <v>42741</v>
      </c>
      <c r="C3341">
        <v>1.0605500000000001</v>
      </c>
      <c r="D3341">
        <v>0</v>
      </c>
      <c r="F3341">
        <v>0.46732999999999802</v>
      </c>
      <c r="G3341">
        <v>17.403676210675101</v>
      </c>
      <c r="H3341">
        <v>0</v>
      </c>
      <c r="I3341">
        <v>0.52255529999999994</v>
      </c>
      <c r="J3341">
        <v>2017</v>
      </c>
      <c r="K3341">
        <v>1</v>
      </c>
      <c r="L3341">
        <v>6</v>
      </c>
      <c r="M3341" t="s">
        <v>91</v>
      </c>
      <c r="N3341">
        <v>0</v>
      </c>
      <c r="O3341">
        <v>0</v>
      </c>
    </row>
    <row r="3342" spans="1:15" x14ac:dyDescent="0.3">
      <c r="A3342">
        <v>3437</v>
      </c>
      <c r="B3342" s="34">
        <v>42744</v>
      </c>
      <c r="C3342">
        <v>1.0523499999999999</v>
      </c>
      <c r="D3342">
        <v>0</v>
      </c>
      <c r="F3342">
        <v>0.46732999999999802</v>
      </c>
      <c r="G3342">
        <v>17.403676210675101</v>
      </c>
      <c r="H3342">
        <v>1</v>
      </c>
      <c r="I3342">
        <v>0.5226942</v>
      </c>
      <c r="J3342">
        <v>2017</v>
      </c>
      <c r="K3342">
        <v>1</v>
      </c>
      <c r="L3342">
        <v>9</v>
      </c>
      <c r="M3342" t="s">
        <v>92</v>
      </c>
      <c r="N3342">
        <v>0</v>
      </c>
      <c r="O3342">
        <v>0</v>
      </c>
    </row>
    <row r="3343" spans="1:15" x14ac:dyDescent="0.3">
      <c r="A3343">
        <v>3438</v>
      </c>
      <c r="B3343" s="34">
        <v>42745</v>
      </c>
      <c r="C3343">
        <v>1.0572299999999999</v>
      </c>
      <c r="D3343">
        <v>0</v>
      </c>
      <c r="F3343">
        <v>0.46732999999999802</v>
      </c>
      <c r="G3343">
        <v>17.403676210675101</v>
      </c>
      <c r="H3343">
        <v>0</v>
      </c>
      <c r="I3343">
        <v>0.52254219999999996</v>
      </c>
      <c r="J3343">
        <v>2017</v>
      </c>
      <c r="K3343">
        <v>1</v>
      </c>
      <c r="L3343">
        <v>10</v>
      </c>
      <c r="M3343" t="s">
        <v>93</v>
      </c>
      <c r="N3343">
        <v>0</v>
      </c>
      <c r="O3343">
        <v>0</v>
      </c>
    </row>
    <row r="3344" spans="1:15" x14ac:dyDescent="0.3">
      <c r="A3344">
        <v>3439</v>
      </c>
      <c r="B3344" s="34">
        <v>42746</v>
      </c>
      <c r="C3344">
        <v>1.0553399999999999</v>
      </c>
      <c r="D3344">
        <v>0</v>
      </c>
      <c r="F3344">
        <v>0.46732999999999802</v>
      </c>
      <c r="G3344">
        <v>17.403676210675101</v>
      </c>
      <c r="H3344">
        <v>1</v>
      </c>
      <c r="I3344">
        <v>0.52268099999999995</v>
      </c>
      <c r="J3344">
        <v>2017</v>
      </c>
      <c r="K3344">
        <v>1</v>
      </c>
      <c r="L3344">
        <v>11</v>
      </c>
      <c r="M3344" t="s">
        <v>89</v>
      </c>
      <c r="N3344">
        <v>0</v>
      </c>
      <c r="O3344">
        <v>0</v>
      </c>
    </row>
    <row r="3345" spans="1:15" x14ac:dyDescent="0.3">
      <c r="A3345">
        <v>3440</v>
      </c>
      <c r="B3345" s="34">
        <v>42747</v>
      </c>
      <c r="C3345">
        <v>1.0581799999999999</v>
      </c>
      <c r="D3345">
        <v>0</v>
      </c>
      <c r="F3345">
        <v>0.46732999999999802</v>
      </c>
      <c r="G3345">
        <v>17.403676210675101</v>
      </c>
      <c r="H3345">
        <v>0</v>
      </c>
      <c r="I3345">
        <v>0.52252909999999997</v>
      </c>
      <c r="J3345">
        <v>2017</v>
      </c>
      <c r="K3345">
        <v>1</v>
      </c>
      <c r="L3345">
        <v>12</v>
      </c>
      <c r="M3345" t="s">
        <v>90</v>
      </c>
      <c r="N3345">
        <v>0</v>
      </c>
      <c r="O3345">
        <v>0</v>
      </c>
    </row>
    <row r="3346" spans="1:15" x14ac:dyDescent="0.3">
      <c r="A3346">
        <v>3441</v>
      </c>
      <c r="B3346" s="34">
        <v>42748</v>
      </c>
      <c r="C3346">
        <v>1.0610900000000001</v>
      </c>
      <c r="D3346">
        <v>0</v>
      </c>
      <c r="F3346">
        <v>0.46732999999999802</v>
      </c>
      <c r="G3346">
        <v>17.403676210675101</v>
      </c>
      <c r="H3346">
        <v>0</v>
      </c>
      <c r="I3346">
        <v>0.52237719999999999</v>
      </c>
      <c r="J3346">
        <v>2017</v>
      </c>
      <c r="K3346">
        <v>1</v>
      </c>
      <c r="L3346">
        <v>13</v>
      </c>
      <c r="M3346" t="s">
        <v>91</v>
      </c>
      <c r="N3346">
        <v>0</v>
      </c>
      <c r="O3346">
        <v>0</v>
      </c>
    </row>
    <row r="3347" spans="1:15" x14ac:dyDescent="0.3">
      <c r="A3347">
        <v>3442</v>
      </c>
      <c r="B3347" s="34">
        <v>42751</v>
      </c>
      <c r="C3347">
        <v>1.0642</v>
      </c>
      <c r="D3347">
        <v>0</v>
      </c>
      <c r="F3347">
        <v>0.46732999999999802</v>
      </c>
      <c r="G3347">
        <v>17.403676210675101</v>
      </c>
      <c r="H3347">
        <v>0</v>
      </c>
      <c r="I3347">
        <v>0.52222539999999995</v>
      </c>
      <c r="J3347">
        <v>2017</v>
      </c>
      <c r="K3347">
        <v>1</v>
      </c>
      <c r="L3347">
        <v>16</v>
      </c>
      <c r="M3347" t="s">
        <v>92</v>
      </c>
      <c r="N3347">
        <v>0</v>
      </c>
      <c r="O3347">
        <v>0</v>
      </c>
    </row>
    <row r="3348" spans="1:15" x14ac:dyDescent="0.3">
      <c r="A3348">
        <v>3443</v>
      </c>
      <c r="B3348" s="34">
        <v>42752</v>
      </c>
      <c r="C3348">
        <v>1.0594600000000001</v>
      </c>
      <c r="D3348">
        <v>1</v>
      </c>
      <c r="E3348" t="s">
        <v>431</v>
      </c>
      <c r="F3348">
        <v>0.479069999999998</v>
      </c>
      <c r="G3348">
        <v>15.3287380699894</v>
      </c>
      <c r="H3348">
        <v>1</v>
      </c>
      <c r="I3348">
        <v>0.52236419999999995</v>
      </c>
      <c r="J3348">
        <v>2017</v>
      </c>
      <c r="K3348">
        <v>1</v>
      </c>
      <c r="L3348">
        <v>17</v>
      </c>
      <c r="M3348" t="s">
        <v>93</v>
      </c>
      <c r="N3348">
        <v>0</v>
      </c>
      <c r="O3348">
        <v>0</v>
      </c>
    </row>
    <row r="3349" spans="1:15" x14ac:dyDescent="0.3">
      <c r="A3349">
        <v>3444</v>
      </c>
      <c r="B3349" s="34">
        <v>42753</v>
      </c>
      <c r="C3349">
        <v>1.0711999999999999</v>
      </c>
      <c r="D3349">
        <v>0</v>
      </c>
      <c r="F3349">
        <v>0.479069999999998</v>
      </c>
      <c r="G3349">
        <v>15.3287380699894</v>
      </c>
      <c r="H3349">
        <v>0</v>
      </c>
      <c r="I3349">
        <v>0.52221260000000003</v>
      </c>
      <c r="J3349">
        <v>2017</v>
      </c>
      <c r="K3349">
        <v>1</v>
      </c>
      <c r="L3349">
        <v>18</v>
      </c>
      <c r="M3349" t="s">
        <v>89</v>
      </c>
      <c r="N3349">
        <v>0</v>
      </c>
      <c r="O3349">
        <v>0</v>
      </c>
    </row>
    <row r="3350" spans="1:15" x14ac:dyDescent="0.3">
      <c r="A3350">
        <v>3445</v>
      </c>
      <c r="B3350" s="34">
        <v>42754</v>
      </c>
      <c r="C3350">
        <v>1.0628599999999999</v>
      </c>
      <c r="D3350">
        <v>0</v>
      </c>
      <c r="F3350">
        <v>0.479069999999998</v>
      </c>
      <c r="G3350">
        <v>15.3287380699894</v>
      </c>
      <c r="H3350">
        <v>1</v>
      </c>
      <c r="I3350">
        <v>0.52235120000000002</v>
      </c>
      <c r="J3350">
        <v>2017</v>
      </c>
      <c r="K3350">
        <v>1</v>
      </c>
      <c r="L3350">
        <v>19</v>
      </c>
      <c r="M3350" t="s">
        <v>90</v>
      </c>
      <c r="N3350">
        <v>0</v>
      </c>
      <c r="O3350">
        <v>0</v>
      </c>
    </row>
    <row r="3351" spans="1:15" x14ac:dyDescent="0.3">
      <c r="A3351">
        <v>3446</v>
      </c>
      <c r="B3351" s="34">
        <v>42755</v>
      </c>
      <c r="C3351">
        <v>1.0662700000000001</v>
      </c>
      <c r="D3351">
        <v>0</v>
      </c>
      <c r="F3351">
        <v>0.479069999999998</v>
      </c>
      <c r="G3351">
        <v>15.3287380699894</v>
      </c>
      <c r="H3351">
        <v>0</v>
      </c>
      <c r="I3351">
        <v>0.52219959999999999</v>
      </c>
      <c r="J3351">
        <v>2017</v>
      </c>
      <c r="K3351">
        <v>1</v>
      </c>
      <c r="L3351">
        <v>20</v>
      </c>
      <c r="M3351" t="s">
        <v>91</v>
      </c>
      <c r="N3351">
        <v>0</v>
      </c>
      <c r="O3351">
        <v>0</v>
      </c>
    </row>
    <row r="3352" spans="1:15" x14ac:dyDescent="0.3">
      <c r="A3352">
        <v>3447</v>
      </c>
      <c r="B3352" s="34">
        <v>42758</v>
      </c>
      <c r="C3352">
        <v>1.06982</v>
      </c>
      <c r="D3352">
        <v>0</v>
      </c>
      <c r="F3352">
        <v>0.479069999999998</v>
      </c>
      <c r="G3352">
        <v>15.3287380699894</v>
      </c>
      <c r="H3352">
        <v>0</v>
      </c>
      <c r="I3352">
        <v>0.52204819999999996</v>
      </c>
      <c r="J3352">
        <v>2017</v>
      </c>
      <c r="K3352">
        <v>1</v>
      </c>
      <c r="L3352">
        <v>23</v>
      </c>
      <c r="M3352" t="s">
        <v>92</v>
      </c>
      <c r="N3352">
        <v>0</v>
      </c>
      <c r="O3352">
        <v>0</v>
      </c>
    </row>
    <row r="3353" spans="1:15" x14ac:dyDescent="0.3">
      <c r="A3353">
        <v>3448</v>
      </c>
      <c r="B3353" s="34">
        <v>42759</v>
      </c>
      <c r="C3353">
        <v>1.0763100000000001</v>
      </c>
      <c r="D3353">
        <v>0</v>
      </c>
      <c r="F3353">
        <v>0.479069999999998</v>
      </c>
      <c r="G3353">
        <v>15.3287380699894</v>
      </c>
      <c r="H3353">
        <v>0</v>
      </c>
      <c r="I3353">
        <v>0.52189680000000005</v>
      </c>
      <c r="J3353">
        <v>2017</v>
      </c>
      <c r="K3353">
        <v>1</v>
      </c>
      <c r="L3353">
        <v>24</v>
      </c>
      <c r="M3353" t="s">
        <v>93</v>
      </c>
      <c r="N3353">
        <v>0</v>
      </c>
      <c r="O3353">
        <v>0</v>
      </c>
    </row>
    <row r="3354" spans="1:15" x14ac:dyDescent="0.3">
      <c r="A3354">
        <v>3449</v>
      </c>
      <c r="B3354" s="34">
        <v>42760</v>
      </c>
      <c r="C3354">
        <v>1.0730999999999999</v>
      </c>
      <c r="D3354">
        <v>0</v>
      </c>
      <c r="F3354">
        <v>0.479069999999998</v>
      </c>
      <c r="G3354">
        <v>15.3287380699894</v>
      </c>
      <c r="H3354">
        <v>1</v>
      </c>
      <c r="I3354">
        <v>0.52203540000000004</v>
      </c>
      <c r="J3354">
        <v>2017</v>
      </c>
      <c r="K3354">
        <v>1</v>
      </c>
      <c r="L3354">
        <v>25</v>
      </c>
      <c r="M3354" t="s">
        <v>89</v>
      </c>
      <c r="N3354">
        <v>0</v>
      </c>
      <c r="O3354">
        <v>0</v>
      </c>
    </row>
    <row r="3355" spans="1:15" x14ac:dyDescent="0.3">
      <c r="A3355">
        <v>3450</v>
      </c>
      <c r="B3355" s="34">
        <v>42761</v>
      </c>
      <c r="C3355">
        <v>1.0746500000000001</v>
      </c>
      <c r="D3355">
        <v>-16</v>
      </c>
      <c r="F3355">
        <v>0.485619999999998</v>
      </c>
      <c r="G3355">
        <v>14.1710851891127</v>
      </c>
      <c r="H3355">
        <v>0.5</v>
      </c>
      <c r="I3355">
        <v>0.52202899999999997</v>
      </c>
      <c r="J3355">
        <v>2017</v>
      </c>
      <c r="K3355">
        <v>1</v>
      </c>
      <c r="L3355">
        <v>26</v>
      </c>
      <c r="M3355" t="s">
        <v>90</v>
      </c>
      <c r="N3355">
        <v>0</v>
      </c>
      <c r="O3355">
        <v>0</v>
      </c>
    </row>
    <row r="3356" spans="1:15" x14ac:dyDescent="0.3">
      <c r="A3356">
        <v>3451</v>
      </c>
      <c r="B3356" s="34">
        <v>42762</v>
      </c>
      <c r="C3356">
        <v>1.0681</v>
      </c>
      <c r="D3356">
        <v>0</v>
      </c>
      <c r="F3356">
        <v>0.485619999999998</v>
      </c>
      <c r="G3356">
        <v>14.1710851891127</v>
      </c>
      <c r="H3356">
        <v>1</v>
      </c>
      <c r="I3356">
        <v>0.52216750000000001</v>
      </c>
      <c r="J3356">
        <v>2017</v>
      </c>
      <c r="K3356">
        <v>1</v>
      </c>
      <c r="L3356">
        <v>27</v>
      </c>
      <c r="M3356" t="s">
        <v>91</v>
      </c>
      <c r="N3356">
        <v>0</v>
      </c>
      <c r="O3356">
        <v>0</v>
      </c>
    </row>
    <row r="3357" spans="1:15" x14ac:dyDescent="0.3">
      <c r="A3357">
        <v>3452</v>
      </c>
      <c r="B3357" s="34">
        <v>42765</v>
      </c>
      <c r="C3357">
        <v>1.06968</v>
      </c>
      <c r="D3357">
        <v>0</v>
      </c>
      <c r="F3357">
        <v>0.485619999999998</v>
      </c>
      <c r="G3357">
        <v>14.1710851891127</v>
      </c>
      <c r="H3357">
        <v>1</v>
      </c>
      <c r="I3357">
        <v>0.52230589999999999</v>
      </c>
      <c r="J3357">
        <v>2017</v>
      </c>
      <c r="K3357">
        <v>1</v>
      </c>
      <c r="L3357">
        <v>30</v>
      </c>
      <c r="M3357" t="s">
        <v>92</v>
      </c>
      <c r="N3357">
        <v>0</v>
      </c>
      <c r="O3357">
        <v>0</v>
      </c>
    </row>
    <row r="3358" spans="1:15" x14ac:dyDescent="0.3">
      <c r="A3358">
        <v>3453</v>
      </c>
      <c r="B3358" s="34">
        <v>42766</v>
      </c>
      <c r="C3358">
        <v>1.0691999999999999</v>
      </c>
      <c r="D3358">
        <v>0</v>
      </c>
      <c r="F3358">
        <v>0.485619999999998</v>
      </c>
      <c r="G3358">
        <v>14.1710851891127</v>
      </c>
      <c r="H3358">
        <v>0</v>
      </c>
      <c r="I3358">
        <v>0.52215460000000002</v>
      </c>
      <c r="J3358">
        <v>2017</v>
      </c>
      <c r="K3358">
        <v>1</v>
      </c>
      <c r="L3358">
        <v>31</v>
      </c>
      <c r="M3358" t="s">
        <v>93</v>
      </c>
      <c r="N3358">
        <v>0</v>
      </c>
      <c r="O3358">
        <v>0</v>
      </c>
    </row>
    <row r="3359" spans="1:15" x14ac:dyDescent="0.3">
      <c r="A3359">
        <v>3454</v>
      </c>
      <c r="B3359" s="34">
        <v>42767</v>
      </c>
      <c r="C3359">
        <v>1.07968</v>
      </c>
      <c r="D3359">
        <v>-4</v>
      </c>
      <c r="F3359">
        <v>0.48854999999999799</v>
      </c>
      <c r="G3359">
        <v>13.653234358430501</v>
      </c>
      <c r="H3359">
        <v>0.5</v>
      </c>
      <c r="I3359">
        <v>0.52214830000000001</v>
      </c>
      <c r="J3359">
        <v>2017</v>
      </c>
      <c r="K3359">
        <v>2</v>
      </c>
      <c r="L3359">
        <v>1</v>
      </c>
      <c r="M3359" t="s">
        <v>89</v>
      </c>
      <c r="N3359">
        <v>0</v>
      </c>
      <c r="O3359">
        <v>0</v>
      </c>
    </row>
    <row r="3360" spans="1:15" x14ac:dyDescent="0.3">
      <c r="A3360">
        <v>3455</v>
      </c>
      <c r="B3360" s="34">
        <v>42768</v>
      </c>
      <c r="C3360">
        <v>1.0767500000000001</v>
      </c>
      <c r="D3360">
        <v>0</v>
      </c>
      <c r="F3360">
        <v>0.48854999999999799</v>
      </c>
      <c r="G3360">
        <v>13.653234358430501</v>
      </c>
      <c r="H3360">
        <v>1</v>
      </c>
      <c r="I3360">
        <v>0.52228649999999999</v>
      </c>
      <c r="J3360">
        <v>2017</v>
      </c>
      <c r="K3360">
        <v>2</v>
      </c>
      <c r="L3360">
        <v>2</v>
      </c>
      <c r="M3360" t="s">
        <v>90</v>
      </c>
      <c r="N3360">
        <v>0</v>
      </c>
      <c r="O3360">
        <v>0</v>
      </c>
    </row>
    <row r="3361" spans="1:15" x14ac:dyDescent="0.3">
      <c r="A3361">
        <v>3456</v>
      </c>
      <c r="B3361" s="34">
        <v>42769</v>
      </c>
      <c r="C3361">
        <v>1.07569</v>
      </c>
      <c r="D3361">
        <v>0</v>
      </c>
      <c r="F3361">
        <v>0.48854999999999799</v>
      </c>
      <c r="G3361">
        <v>13.653234358430501</v>
      </c>
      <c r="H3361">
        <v>1</v>
      </c>
      <c r="I3361">
        <v>0.52242480000000002</v>
      </c>
      <c r="J3361">
        <v>2017</v>
      </c>
      <c r="K3361">
        <v>2</v>
      </c>
      <c r="L3361">
        <v>3</v>
      </c>
      <c r="M3361" t="s">
        <v>91</v>
      </c>
      <c r="N3361">
        <v>0</v>
      </c>
      <c r="O3361">
        <v>0</v>
      </c>
    </row>
    <row r="3362" spans="1:15" x14ac:dyDescent="0.3">
      <c r="A3362">
        <v>3457</v>
      </c>
      <c r="B3362" s="34">
        <v>42772</v>
      </c>
      <c r="C3362">
        <v>1.07789</v>
      </c>
      <c r="D3362">
        <v>0</v>
      </c>
      <c r="F3362">
        <v>0.48854999999999799</v>
      </c>
      <c r="G3362">
        <v>13.653234358430501</v>
      </c>
      <c r="H3362">
        <v>0</v>
      </c>
      <c r="I3362">
        <v>0.52227369999999995</v>
      </c>
      <c r="J3362">
        <v>2017</v>
      </c>
      <c r="K3362">
        <v>2</v>
      </c>
      <c r="L3362">
        <v>6</v>
      </c>
      <c r="M3362" t="s">
        <v>92</v>
      </c>
      <c r="N3362">
        <v>0</v>
      </c>
      <c r="O3362">
        <v>0</v>
      </c>
    </row>
    <row r="3363" spans="1:15" x14ac:dyDescent="0.3">
      <c r="A3363">
        <v>3458</v>
      </c>
      <c r="B3363" s="34">
        <v>42773</v>
      </c>
      <c r="C3363">
        <v>1.0748800000000001</v>
      </c>
      <c r="D3363">
        <v>0</v>
      </c>
      <c r="F3363">
        <v>0.48854999999999799</v>
      </c>
      <c r="G3363">
        <v>13.653234358430501</v>
      </c>
      <c r="H3363">
        <v>1</v>
      </c>
      <c r="I3363">
        <v>0.52241179999999998</v>
      </c>
      <c r="J3363">
        <v>2017</v>
      </c>
      <c r="K3363">
        <v>2</v>
      </c>
      <c r="L3363">
        <v>7</v>
      </c>
      <c r="M3363" t="s">
        <v>93</v>
      </c>
      <c r="N3363">
        <v>0</v>
      </c>
      <c r="O3363">
        <v>0</v>
      </c>
    </row>
    <row r="3364" spans="1:15" x14ac:dyDescent="0.3">
      <c r="A3364">
        <v>3459</v>
      </c>
      <c r="B3364" s="34">
        <v>42774</v>
      </c>
      <c r="C3364">
        <v>1.0682</v>
      </c>
      <c r="D3364">
        <v>0</v>
      </c>
      <c r="F3364">
        <v>0.48854999999999799</v>
      </c>
      <c r="G3364">
        <v>13.653234358430501</v>
      </c>
      <c r="H3364">
        <v>1</v>
      </c>
      <c r="I3364">
        <v>0.52254990000000001</v>
      </c>
      <c r="J3364">
        <v>2017</v>
      </c>
      <c r="K3364">
        <v>2</v>
      </c>
      <c r="L3364">
        <v>8</v>
      </c>
      <c r="M3364" t="s">
        <v>89</v>
      </c>
      <c r="N3364">
        <v>0</v>
      </c>
      <c r="O3364">
        <v>0</v>
      </c>
    </row>
    <row r="3365" spans="1:15" x14ac:dyDescent="0.3">
      <c r="A3365">
        <v>3460</v>
      </c>
      <c r="B3365" s="34">
        <v>42775</v>
      </c>
      <c r="C3365">
        <v>1.06969</v>
      </c>
      <c r="D3365">
        <v>0</v>
      </c>
      <c r="F3365">
        <v>0.48854999999999799</v>
      </c>
      <c r="G3365">
        <v>13.653234358430501</v>
      </c>
      <c r="H3365">
        <v>1</v>
      </c>
      <c r="I3365">
        <v>0.52268789999999998</v>
      </c>
      <c r="J3365">
        <v>2017</v>
      </c>
      <c r="K3365">
        <v>2</v>
      </c>
      <c r="L3365">
        <v>9</v>
      </c>
      <c r="M3365" t="s">
        <v>90</v>
      </c>
      <c r="N3365">
        <v>0</v>
      </c>
      <c r="O3365">
        <v>0</v>
      </c>
    </row>
    <row r="3366" spans="1:15" x14ac:dyDescent="0.3">
      <c r="A3366">
        <v>3461</v>
      </c>
      <c r="B3366" s="34">
        <v>42776</v>
      </c>
      <c r="C3366">
        <v>1.06541</v>
      </c>
      <c r="D3366">
        <v>0</v>
      </c>
      <c r="F3366">
        <v>0.48854999999999799</v>
      </c>
      <c r="G3366">
        <v>13.653234358430501</v>
      </c>
      <c r="H3366">
        <v>0</v>
      </c>
      <c r="I3366">
        <v>0.52253680000000002</v>
      </c>
      <c r="J3366">
        <v>2017</v>
      </c>
      <c r="K3366">
        <v>2</v>
      </c>
      <c r="L3366">
        <v>10</v>
      </c>
      <c r="M3366" t="s">
        <v>91</v>
      </c>
      <c r="N3366">
        <v>0</v>
      </c>
      <c r="O3366">
        <v>0</v>
      </c>
    </row>
    <row r="3367" spans="1:15" x14ac:dyDescent="0.3">
      <c r="A3367">
        <v>3462</v>
      </c>
      <c r="B3367" s="34">
        <v>42779</v>
      </c>
      <c r="C3367">
        <v>1.0637700000000001</v>
      </c>
      <c r="D3367">
        <v>0</v>
      </c>
      <c r="F3367">
        <v>0.48854999999999799</v>
      </c>
      <c r="G3367">
        <v>13.653234358430501</v>
      </c>
      <c r="H3367">
        <v>0</v>
      </c>
      <c r="I3367">
        <v>0.52238589999999996</v>
      </c>
      <c r="J3367">
        <v>2017</v>
      </c>
      <c r="K3367">
        <v>2</v>
      </c>
      <c r="L3367">
        <v>13</v>
      </c>
      <c r="M3367" t="s">
        <v>92</v>
      </c>
      <c r="N3367">
        <v>0</v>
      </c>
      <c r="O3367">
        <v>0</v>
      </c>
    </row>
    <row r="3368" spans="1:15" x14ac:dyDescent="0.3">
      <c r="A3368">
        <v>3463</v>
      </c>
      <c r="B3368" s="34">
        <v>42780</v>
      </c>
      <c r="C3368">
        <v>1.05972</v>
      </c>
      <c r="D3368">
        <v>0</v>
      </c>
      <c r="F3368">
        <v>0.48854999999999799</v>
      </c>
      <c r="G3368">
        <v>13.653234358430501</v>
      </c>
      <c r="H3368">
        <v>0</v>
      </c>
      <c r="I3368">
        <v>0.522235</v>
      </c>
      <c r="J3368">
        <v>2017</v>
      </c>
      <c r="K3368">
        <v>2</v>
      </c>
      <c r="L3368">
        <v>14</v>
      </c>
      <c r="M3368" t="s">
        <v>93</v>
      </c>
      <c r="N3368">
        <v>0</v>
      </c>
      <c r="O3368">
        <v>0</v>
      </c>
    </row>
    <row r="3369" spans="1:15" x14ac:dyDescent="0.3">
      <c r="A3369">
        <v>3464</v>
      </c>
      <c r="B3369" s="34">
        <v>42781</v>
      </c>
      <c r="C3369">
        <v>1.0576399999999999</v>
      </c>
      <c r="D3369">
        <v>0</v>
      </c>
      <c r="F3369">
        <v>0.48854999999999799</v>
      </c>
      <c r="G3369">
        <v>13.653234358430501</v>
      </c>
      <c r="H3369">
        <v>0</v>
      </c>
      <c r="I3369">
        <v>0.52208429999999995</v>
      </c>
      <c r="J3369">
        <v>2017</v>
      </c>
      <c r="K3369">
        <v>2</v>
      </c>
      <c r="L3369">
        <v>15</v>
      </c>
      <c r="M3369" t="s">
        <v>89</v>
      </c>
      <c r="N3369">
        <v>0</v>
      </c>
      <c r="O3369">
        <v>0</v>
      </c>
    </row>
    <row r="3370" spans="1:15" x14ac:dyDescent="0.3">
      <c r="A3370">
        <v>3465</v>
      </c>
      <c r="B3370" s="34">
        <v>42782</v>
      </c>
      <c r="C3370">
        <v>1.0599099999999999</v>
      </c>
      <c r="D3370">
        <v>0</v>
      </c>
      <c r="F3370">
        <v>0.48854999999999799</v>
      </c>
      <c r="G3370">
        <v>13.653234358430501</v>
      </c>
      <c r="H3370">
        <v>1</v>
      </c>
      <c r="I3370">
        <v>0.52222219999999997</v>
      </c>
      <c r="J3370">
        <v>2017</v>
      </c>
      <c r="K3370">
        <v>2</v>
      </c>
      <c r="L3370">
        <v>16</v>
      </c>
      <c r="M3370" t="s">
        <v>90</v>
      </c>
      <c r="N3370">
        <v>0</v>
      </c>
      <c r="O3370">
        <v>0</v>
      </c>
    </row>
    <row r="3371" spans="1:15" x14ac:dyDescent="0.3">
      <c r="A3371">
        <v>3466</v>
      </c>
      <c r="B3371" s="34">
        <v>42783</v>
      </c>
      <c r="C3371">
        <v>1.0672699999999999</v>
      </c>
      <c r="D3371">
        <v>0</v>
      </c>
      <c r="F3371">
        <v>0.48854999999999799</v>
      </c>
      <c r="G3371">
        <v>13.653234358430501</v>
      </c>
      <c r="H3371">
        <v>1</v>
      </c>
      <c r="I3371">
        <v>0.52236009999999999</v>
      </c>
      <c r="J3371">
        <v>2017</v>
      </c>
      <c r="K3371">
        <v>2</v>
      </c>
      <c r="L3371">
        <v>17</v>
      </c>
      <c r="M3371" t="s">
        <v>91</v>
      </c>
      <c r="N3371">
        <v>0</v>
      </c>
      <c r="O3371">
        <v>0</v>
      </c>
    </row>
    <row r="3372" spans="1:15" x14ac:dyDescent="0.3">
      <c r="A3372">
        <v>3467</v>
      </c>
      <c r="B3372" s="34">
        <v>42786</v>
      </c>
      <c r="C3372">
        <v>1.0605599999999999</v>
      </c>
      <c r="D3372">
        <v>0</v>
      </c>
      <c r="F3372">
        <v>0.48854999999999799</v>
      </c>
      <c r="G3372">
        <v>13.653234358430501</v>
      </c>
      <c r="H3372">
        <v>1</v>
      </c>
      <c r="I3372">
        <v>0.52249780000000001</v>
      </c>
      <c r="J3372">
        <v>2017</v>
      </c>
      <c r="K3372">
        <v>2</v>
      </c>
      <c r="L3372">
        <v>20</v>
      </c>
      <c r="M3372" t="s">
        <v>92</v>
      </c>
      <c r="N3372">
        <v>0</v>
      </c>
      <c r="O3372">
        <v>0</v>
      </c>
    </row>
    <row r="3373" spans="1:15" x14ac:dyDescent="0.3">
      <c r="A3373">
        <v>3468</v>
      </c>
      <c r="B3373" s="34">
        <v>42787</v>
      </c>
      <c r="C3373">
        <v>1.0610299999999999</v>
      </c>
      <c r="D3373">
        <v>0</v>
      </c>
      <c r="F3373">
        <v>0.48854999999999799</v>
      </c>
      <c r="G3373">
        <v>13.653234358430501</v>
      </c>
      <c r="H3373">
        <v>1</v>
      </c>
      <c r="I3373">
        <v>0.52263550000000003</v>
      </c>
      <c r="J3373">
        <v>2017</v>
      </c>
      <c r="K3373">
        <v>2</v>
      </c>
      <c r="L3373">
        <v>21</v>
      </c>
      <c r="M3373" t="s">
        <v>93</v>
      </c>
      <c r="N3373">
        <v>0</v>
      </c>
      <c r="O3373">
        <v>0</v>
      </c>
    </row>
    <row r="3374" spans="1:15" x14ac:dyDescent="0.3">
      <c r="A3374">
        <v>3469</v>
      </c>
      <c r="B3374" s="34">
        <v>42788</v>
      </c>
      <c r="C3374">
        <v>1.05349</v>
      </c>
      <c r="D3374">
        <v>0</v>
      </c>
      <c r="F3374">
        <v>0.48854999999999799</v>
      </c>
      <c r="G3374">
        <v>13.653234358430501</v>
      </c>
      <c r="H3374">
        <v>1</v>
      </c>
      <c r="I3374">
        <v>0.52277309999999999</v>
      </c>
      <c r="J3374">
        <v>2017</v>
      </c>
      <c r="K3374">
        <v>2</v>
      </c>
      <c r="L3374">
        <v>22</v>
      </c>
      <c r="M3374" t="s">
        <v>89</v>
      </c>
      <c r="N3374">
        <v>0</v>
      </c>
      <c r="O3374">
        <v>0</v>
      </c>
    </row>
    <row r="3375" spans="1:15" x14ac:dyDescent="0.3">
      <c r="A3375">
        <v>3470</v>
      </c>
      <c r="B3375" s="34">
        <v>42789</v>
      </c>
      <c r="C3375">
        <v>1.0557300000000001</v>
      </c>
      <c r="D3375">
        <v>0</v>
      </c>
      <c r="F3375">
        <v>0.48854999999999799</v>
      </c>
      <c r="G3375">
        <v>13.653234358430501</v>
      </c>
      <c r="H3375">
        <v>1</v>
      </c>
      <c r="I3375">
        <v>0.52291069999999995</v>
      </c>
      <c r="J3375">
        <v>2017</v>
      </c>
      <c r="K3375">
        <v>2</v>
      </c>
      <c r="L3375">
        <v>23</v>
      </c>
      <c r="M3375" t="s">
        <v>90</v>
      </c>
      <c r="N3375">
        <v>0</v>
      </c>
      <c r="O3375">
        <v>0</v>
      </c>
    </row>
    <row r="3376" spans="1:15" x14ac:dyDescent="0.3">
      <c r="A3376">
        <v>3471</v>
      </c>
      <c r="B3376" s="34">
        <v>42790</v>
      </c>
      <c r="C3376">
        <v>1.0580400000000001</v>
      </c>
      <c r="D3376">
        <v>0</v>
      </c>
      <c r="F3376">
        <v>0.48854999999999799</v>
      </c>
      <c r="G3376">
        <v>13.653234358430501</v>
      </c>
      <c r="H3376">
        <v>1</v>
      </c>
      <c r="I3376">
        <v>0.52304810000000002</v>
      </c>
      <c r="J3376">
        <v>2017</v>
      </c>
      <c r="K3376">
        <v>2</v>
      </c>
      <c r="L3376">
        <v>24</v>
      </c>
      <c r="M3376" t="s">
        <v>91</v>
      </c>
      <c r="N3376">
        <v>0</v>
      </c>
      <c r="O3376">
        <v>0</v>
      </c>
    </row>
    <row r="3377" spans="1:15" x14ac:dyDescent="0.3">
      <c r="A3377">
        <v>3472</v>
      </c>
      <c r="B3377" s="34">
        <v>42793</v>
      </c>
      <c r="C3377">
        <v>1.0551299999999999</v>
      </c>
      <c r="D3377">
        <v>0</v>
      </c>
      <c r="F3377">
        <v>0.48854999999999799</v>
      </c>
      <c r="G3377">
        <v>13.653234358430501</v>
      </c>
      <c r="H3377">
        <v>1</v>
      </c>
      <c r="I3377">
        <v>0.52318549999999997</v>
      </c>
      <c r="J3377">
        <v>2017</v>
      </c>
      <c r="K3377">
        <v>2</v>
      </c>
      <c r="L3377">
        <v>27</v>
      </c>
      <c r="M3377" t="s">
        <v>92</v>
      </c>
      <c r="N3377">
        <v>0</v>
      </c>
      <c r="O3377">
        <v>0</v>
      </c>
    </row>
    <row r="3378" spans="1:15" x14ac:dyDescent="0.3">
      <c r="A3378">
        <v>3473</v>
      </c>
      <c r="B3378" s="34">
        <v>42794</v>
      </c>
      <c r="C3378">
        <v>1.0585100000000001</v>
      </c>
      <c r="D3378">
        <v>0</v>
      </c>
      <c r="F3378">
        <v>0.48854999999999799</v>
      </c>
      <c r="G3378">
        <v>13.653234358430501</v>
      </c>
      <c r="H3378">
        <v>1</v>
      </c>
      <c r="I3378">
        <v>0.52332279999999998</v>
      </c>
      <c r="J3378">
        <v>2017</v>
      </c>
      <c r="K3378">
        <v>2</v>
      </c>
      <c r="L3378">
        <v>28</v>
      </c>
      <c r="M3378" t="s">
        <v>93</v>
      </c>
      <c r="N3378">
        <v>0</v>
      </c>
      <c r="O3378">
        <v>0</v>
      </c>
    </row>
    <row r="3379" spans="1:15" x14ac:dyDescent="0.3">
      <c r="A3379">
        <v>3474</v>
      </c>
      <c r="B3379" s="34">
        <v>42795</v>
      </c>
      <c r="C3379">
        <v>1.0575699999999999</v>
      </c>
      <c r="D3379">
        <v>0</v>
      </c>
      <c r="F3379">
        <v>0.48854999999999799</v>
      </c>
      <c r="G3379">
        <v>13.653234358430501</v>
      </c>
      <c r="H3379">
        <v>1</v>
      </c>
      <c r="I3379">
        <v>0.52346000000000004</v>
      </c>
      <c r="J3379">
        <v>2017</v>
      </c>
      <c r="K3379">
        <v>3</v>
      </c>
      <c r="L3379">
        <v>1</v>
      </c>
      <c r="M3379" t="s">
        <v>89</v>
      </c>
      <c r="N3379">
        <v>0</v>
      </c>
      <c r="O3379">
        <v>0</v>
      </c>
    </row>
    <row r="3380" spans="1:15" x14ac:dyDescent="0.3">
      <c r="A3380">
        <v>3475</v>
      </c>
      <c r="B3380" s="34">
        <v>42796</v>
      </c>
      <c r="C3380">
        <v>1.0545899999999999</v>
      </c>
      <c r="D3380">
        <v>0</v>
      </c>
      <c r="F3380">
        <v>0.48854999999999799</v>
      </c>
      <c r="G3380">
        <v>13.653234358430501</v>
      </c>
      <c r="H3380">
        <v>1</v>
      </c>
      <c r="I3380">
        <v>0.52359710000000004</v>
      </c>
      <c r="J3380">
        <v>2017</v>
      </c>
      <c r="K3380">
        <v>3</v>
      </c>
      <c r="L3380">
        <v>2</v>
      </c>
      <c r="M3380" t="s">
        <v>90</v>
      </c>
      <c r="N3380">
        <v>0</v>
      </c>
      <c r="O3380">
        <v>0</v>
      </c>
    </row>
    <row r="3381" spans="1:15" x14ac:dyDescent="0.3">
      <c r="A3381">
        <v>3476</v>
      </c>
      <c r="B3381" s="34">
        <v>42797</v>
      </c>
      <c r="C3381">
        <v>1.0505899999999999</v>
      </c>
      <c r="D3381">
        <v>0</v>
      </c>
      <c r="F3381">
        <v>0.48854999999999799</v>
      </c>
      <c r="G3381">
        <v>13.653234358430501</v>
      </c>
      <c r="H3381">
        <v>0</v>
      </c>
      <c r="I3381">
        <v>0.52344650000000004</v>
      </c>
      <c r="J3381">
        <v>2017</v>
      </c>
      <c r="K3381">
        <v>3</v>
      </c>
      <c r="L3381">
        <v>3</v>
      </c>
      <c r="M3381" t="s">
        <v>91</v>
      </c>
      <c r="N3381">
        <v>0</v>
      </c>
      <c r="O3381">
        <v>0</v>
      </c>
    </row>
    <row r="3382" spans="1:15" x14ac:dyDescent="0.3">
      <c r="A3382">
        <v>3477</v>
      </c>
      <c r="B3382" s="34">
        <v>42800</v>
      </c>
      <c r="C3382">
        <v>1.06166</v>
      </c>
      <c r="D3382">
        <v>0</v>
      </c>
      <c r="F3382">
        <v>0.48854999999999799</v>
      </c>
      <c r="G3382">
        <v>13.653234358430501</v>
      </c>
      <c r="H3382">
        <v>1</v>
      </c>
      <c r="I3382">
        <v>0.52358349999999998</v>
      </c>
      <c r="J3382">
        <v>2017</v>
      </c>
      <c r="K3382">
        <v>3</v>
      </c>
      <c r="L3382">
        <v>6</v>
      </c>
      <c r="M3382" t="s">
        <v>92</v>
      </c>
      <c r="N3382">
        <v>0</v>
      </c>
      <c r="O3382">
        <v>0</v>
      </c>
    </row>
    <row r="3383" spans="1:15" x14ac:dyDescent="0.3">
      <c r="A3383">
        <v>3478</v>
      </c>
      <c r="B3383" s="34">
        <v>42801</v>
      </c>
      <c r="C3383">
        <v>1.05803</v>
      </c>
      <c r="D3383">
        <v>0</v>
      </c>
      <c r="F3383">
        <v>0.48854999999999799</v>
      </c>
      <c r="G3383">
        <v>13.653234358430501</v>
      </c>
      <c r="H3383">
        <v>1</v>
      </c>
      <c r="I3383">
        <v>0.52372050000000003</v>
      </c>
      <c r="J3383">
        <v>2017</v>
      </c>
      <c r="K3383">
        <v>3</v>
      </c>
      <c r="L3383">
        <v>7</v>
      </c>
      <c r="M3383" t="s">
        <v>93</v>
      </c>
      <c r="N3383">
        <v>0</v>
      </c>
      <c r="O3383">
        <v>0</v>
      </c>
    </row>
    <row r="3384" spans="1:15" x14ac:dyDescent="0.3">
      <c r="A3384">
        <v>3479</v>
      </c>
      <c r="B3384" s="34">
        <v>42802</v>
      </c>
      <c r="C3384">
        <v>1.0565500000000001</v>
      </c>
      <c r="D3384">
        <v>0</v>
      </c>
      <c r="F3384">
        <v>0.48854999999999799</v>
      </c>
      <c r="G3384">
        <v>13.653234358430501</v>
      </c>
      <c r="H3384">
        <v>1</v>
      </c>
      <c r="I3384">
        <v>0.52385740000000003</v>
      </c>
      <c r="J3384">
        <v>2017</v>
      </c>
      <c r="K3384">
        <v>3</v>
      </c>
      <c r="L3384">
        <v>8</v>
      </c>
      <c r="M3384" t="s">
        <v>89</v>
      </c>
      <c r="N3384">
        <v>0</v>
      </c>
      <c r="O3384">
        <v>0</v>
      </c>
    </row>
    <row r="3385" spans="1:15" x14ac:dyDescent="0.3">
      <c r="A3385">
        <v>3480</v>
      </c>
      <c r="B3385" s="34">
        <v>42803</v>
      </c>
      <c r="C3385">
        <v>1.05392</v>
      </c>
      <c r="D3385">
        <v>0</v>
      </c>
      <c r="F3385">
        <v>0.48854999999999799</v>
      </c>
      <c r="G3385">
        <v>13.653234358430501</v>
      </c>
      <c r="H3385">
        <v>1</v>
      </c>
      <c r="I3385">
        <v>0.52399430000000002</v>
      </c>
      <c r="J3385">
        <v>2017</v>
      </c>
      <c r="K3385">
        <v>3</v>
      </c>
      <c r="L3385">
        <v>9</v>
      </c>
      <c r="M3385" t="s">
        <v>90</v>
      </c>
      <c r="N3385">
        <v>0</v>
      </c>
      <c r="O3385">
        <v>0</v>
      </c>
    </row>
    <row r="3386" spans="1:15" x14ac:dyDescent="0.3">
      <c r="A3386">
        <v>3481</v>
      </c>
      <c r="B3386" s="34">
        <v>42804</v>
      </c>
      <c r="C3386">
        <v>1.0575600000000001</v>
      </c>
      <c r="D3386">
        <v>0</v>
      </c>
      <c r="F3386">
        <v>0.48854999999999799</v>
      </c>
      <c r="G3386">
        <v>13.653234358430501</v>
      </c>
      <c r="H3386">
        <v>1</v>
      </c>
      <c r="I3386">
        <v>0.52413100000000001</v>
      </c>
      <c r="J3386">
        <v>2017</v>
      </c>
      <c r="K3386">
        <v>3</v>
      </c>
      <c r="L3386">
        <v>10</v>
      </c>
      <c r="M3386" t="s">
        <v>91</v>
      </c>
      <c r="N3386">
        <v>0</v>
      </c>
      <c r="O3386">
        <v>0</v>
      </c>
    </row>
    <row r="3387" spans="1:15" x14ac:dyDescent="0.3">
      <c r="A3387">
        <v>3482</v>
      </c>
      <c r="B3387" s="34">
        <v>42807</v>
      </c>
      <c r="C3387">
        <v>1.0671200000000001</v>
      </c>
      <c r="D3387">
        <v>0</v>
      </c>
      <c r="F3387">
        <v>0.48854999999999799</v>
      </c>
      <c r="G3387">
        <v>13.653234358430501</v>
      </c>
      <c r="H3387">
        <v>0</v>
      </c>
      <c r="I3387">
        <v>0.52398049999999996</v>
      </c>
      <c r="J3387">
        <v>2017</v>
      </c>
      <c r="K3387">
        <v>3</v>
      </c>
      <c r="L3387">
        <v>13</v>
      </c>
      <c r="M3387" t="s">
        <v>92</v>
      </c>
      <c r="N3387">
        <v>0</v>
      </c>
      <c r="O3387">
        <v>0</v>
      </c>
    </row>
    <row r="3388" spans="1:15" x14ac:dyDescent="0.3">
      <c r="A3388">
        <v>3483</v>
      </c>
      <c r="B3388" s="34">
        <v>42808</v>
      </c>
      <c r="C3388">
        <v>1.06535</v>
      </c>
      <c r="D3388">
        <v>0</v>
      </c>
      <c r="F3388">
        <v>0.48854999999999799</v>
      </c>
      <c r="G3388">
        <v>13.653234358430501</v>
      </c>
      <c r="H3388">
        <v>1</v>
      </c>
      <c r="I3388">
        <v>0.5241171</v>
      </c>
      <c r="J3388">
        <v>2017</v>
      </c>
      <c r="K3388">
        <v>3</v>
      </c>
      <c r="L3388">
        <v>14</v>
      </c>
      <c r="M3388" t="s">
        <v>93</v>
      </c>
      <c r="N3388">
        <v>0</v>
      </c>
      <c r="O3388">
        <v>0</v>
      </c>
    </row>
    <row r="3389" spans="1:15" x14ac:dyDescent="0.3">
      <c r="A3389">
        <v>3484</v>
      </c>
      <c r="B3389" s="34">
        <v>42809</v>
      </c>
      <c r="C3389">
        <v>1.06077</v>
      </c>
      <c r="D3389">
        <v>0</v>
      </c>
      <c r="F3389">
        <v>0.48854999999999799</v>
      </c>
      <c r="G3389">
        <v>13.653234358430501</v>
      </c>
      <c r="H3389">
        <v>1</v>
      </c>
      <c r="I3389">
        <v>0.52425370000000004</v>
      </c>
      <c r="J3389">
        <v>2017</v>
      </c>
      <c r="K3389">
        <v>3</v>
      </c>
      <c r="L3389">
        <v>15</v>
      </c>
      <c r="M3389" t="s">
        <v>89</v>
      </c>
      <c r="N3389">
        <v>0</v>
      </c>
      <c r="O3389">
        <v>0</v>
      </c>
    </row>
    <row r="3390" spans="1:15" x14ac:dyDescent="0.3">
      <c r="A3390">
        <v>3485</v>
      </c>
      <c r="B3390" s="34">
        <v>42810</v>
      </c>
      <c r="C3390">
        <v>1.0736000000000001</v>
      </c>
      <c r="D3390">
        <v>0</v>
      </c>
      <c r="F3390">
        <v>0.48854999999999799</v>
      </c>
      <c r="G3390">
        <v>13.653234358430501</v>
      </c>
      <c r="H3390">
        <v>0</v>
      </c>
      <c r="I3390">
        <v>0.52410330000000005</v>
      </c>
      <c r="J3390">
        <v>2017</v>
      </c>
      <c r="K3390">
        <v>3</v>
      </c>
      <c r="L3390">
        <v>16</v>
      </c>
      <c r="M3390" t="s">
        <v>90</v>
      </c>
      <c r="N3390">
        <v>0</v>
      </c>
      <c r="O3390">
        <v>0</v>
      </c>
    </row>
    <row r="3391" spans="1:15" x14ac:dyDescent="0.3">
      <c r="A3391">
        <v>3486</v>
      </c>
      <c r="B3391" s="34">
        <v>42811</v>
      </c>
      <c r="C3391">
        <v>1.0771500000000001</v>
      </c>
      <c r="D3391">
        <v>0</v>
      </c>
      <c r="F3391">
        <v>0.48854999999999799</v>
      </c>
      <c r="G3391">
        <v>13.653234358430501</v>
      </c>
      <c r="H3391">
        <v>0</v>
      </c>
      <c r="I3391">
        <v>0.523953</v>
      </c>
      <c r="J3391">
        <v>2017</v>
      </c>
      <c r="K3391">
        <v>3</v>
      </c>
      <c r="L3391">
        <v>17</v>
      </c>
      <c r="M3391" t="s">
        <v>91</v>
      </c>
      <c r="N3391">
        <v>0</v>
      </c>
      <c r="O3391">
        <v>0</v>
      </c>
    </row>
    <row r="3392" spans="1:15" x14ac:dyDescent="0.3">
      <c r="A3392">
        <v>3487</v>
      </c>
      <c r="B3392" s="34">
        <v>42814</v>
      </c>
      <c r="C3392">
        <v>1.07362</v>
      </c>
      <c r="D3392">
        <v>0</v>
      </c>
      <c r="F3392">
        <v>0.48854999999999799</v>
      </c>
      <c r="G3392">
        <v>13.653234358430501</v>
      </c>
      <c r="H3392">
        <v>1</v>
      </c>
      <c r="I3392">
        <v>0.52408949999999999</v>
      </c>
      <c r="J3392">
        <v>2017</v>
      </c>
      <c r="K3392">
        <v>3</v>
      </c>
      <c r="L3392">
        <v>20</v>
      </c>
      <c r="M3392" t="s">
        <v>92</v>
      </c>
      <c r="N3392">
        <v>0</v>
      </c>
      <c r="O3392">
        <v>0</v>
      </c>
    </row>
    <row r="3393" spans="1:15" x14ac:dyDescent="0.3">
      <c r="A3393">
        <v>3488</v>
      </c>
      <c r="B3393" s="34">
        <v>42815</v>
      </c>
      <c r="C3393">
        <v>1.0736300000000001</v>
      </c>
      <c r="D3393">
        <v>0</v>
      </c>
      <c r="F3393">
        <v>0.48854999999999799</v>
      </c>
      <c r="G3393">
        <v>13.653234358430501</v>
      </c>
      <c r="H3393">
        <v>0</v>
      </c>
      <c r="I3393">
        <v>0.52393920000000005</v>
      </c>
      <c r="J3393">
        <v>2017</v>
      </c>
      <c r="K3393">
        <v>3</v>
      </c>
      <c r="L3393">
        <v>21</v>
      </c>
      <c r="M3393" t="s">
        <v>93</v>
      </c>
      <c r="N3393">
        <v>0</v>
      </c>
      <c r="O3393">
        <v>0</v>
      </c>
    </row>
    <row r="3394" spans="1:15" x14ac:dyDescent="0.3">
      <c r="A3394">
        <v>3489</v>
      </c>
      <c r="B3394" s="34">
        <v>42816</v>
      </c>
      <c r="C3394">
        <v>1.0806</v>
      </c>
      <c r="D3394">
        <v>0</v>
      </c>
      <c r="F3394">
        <v>0.48854999999999799</v>
      </c>
      <c r="G3394">
        <v>13.653234358430501</v>
      </c>
      <c r="H3394">
        <v>0</v>
      </c>
      <c r="I3394">
        <v>0.52378899999999995</v>
      </c>
      <c r="J3394">
        <v>2017</v>
      </c>
      <c r="K3394">
        <v>3</v>
      </c>
      <c r="L3394">
        <v>22</v>
      </c>
      <c r="M3394" t="s">
        <v>89</v>
      </c>
      <c r="N3394">
        <v>0</v>
      </c>
      <c r="O3394">
        <v>0</v>
      </c>
    </row>
    <row r="3395" spans="1:15" x14ac:dyDescent="0.3">
      <c r="A3395">
        <v>3490</v>
      </c>
      <c r="B3395" s="34">
        <v>42817</v>
      </c>
      <c r="C3395">
        <v>1.0791900000000001</v>
      </c>
      <c r="D3395">
        <v>0</v>
      </c>
      <c r="F3395">
        <v>0.48854999999999799</v>
      </c>
      <c r="G3395">
        <v>13.653234358430501</v>
      </c>
      <c r="H3395">
        <v>1</v>
      </c>
      <c r="I3395">
        <v>0.52392550000000004</v>
      </c>
      <c r="J3395">
        <v>2017</v>
      </c>
      <c r="K3395">
        <v>3</v>
      </c>
      <c r="L3395">
        <v>23</v>
      </c>
      <c r="M3395" t="s">
        <v>90</v>
      </c>
      <c r="N3395">
        <v>0</v>
      </c>
      <c r="O3395">
        <v>0</v>
      </c>
    </row>
    <row r="3396" spans="1:15" x14ac:dyDescent="0.3">
      <c r="A3396">
        <v>3491</v>
      </c>
      <c r="B3396" s="34">
        <v>42818</v>
      </c>
      <c r="C3396">
        <v>1.07822</v>
      </c>
      <c r="D3396">
        <v>0</v>
      </c>
      <c r="F3396">
        <v>0.48854999999999799</v>
      </c>
      <c r="G3396">
        <v>13.653234358430501</v>
      </c>
      <c r="H3396">
        <v>1</v>
      </c>
      <c r="I3396">
        <v>0.52406189999999997</v>
      </c>
      <c r="J3396">
        <v>2017</v>
      </c>
      <c r="K3396">
        <v>3</v>
      </c>
      <c r="L3396">
        <v>24</v>
      </c>
      <c r="M3396" t="s">
        <v>91</v>
      </c>
      <c r="N3396">
        <v>0</v>
      </c>
      <c r="O3396">
        <v>0</v>
      </c>
    </row>
    <row r="3397" spans="1:15" x14ac:dyDescent="0.3">
      <c r="A3397">
        <v>3492</v>
      </c>
      <c r="B3397" s="34">
        <v>42821</v>
      </c>
      <c r="C3397">
        <v>1.0795699999999999</v>
      </c>
      <c r="D3397">
        <v>0</v>
      </c>
      <c r="F3397">
        <v>0.48854999999999799</v>
      </c>
      <c r="G3397">
        <v>13.653234358430501</v>
      </c>
      <c r="H3397">
        <v>0</v>
      </c>
      <c r="I3397">
        <v>0.52391180000000004</v>
      </c>
      <c r="J3397">
        <v>2017</v>
      </c>
      <c r="K3397">
        <v>3</v>
      </c>
      <c r="L3397">
        <v>27</v>
      </c>
      <c r="M3397" t="s">
        <v>92</v>
      </c>
      <c r="N3397">
        <v>0</v>
      </c>
      <c r="O3397">
        <v>0</v>
      </c>
    </row>
    <row r="3398" spans="1:15" x14ac:dyDescent="0.3">
      <c r="A3398">
        <v>3493</v>
      </c>
      <c r="B3398" s="34">
        <v>42822</v>
      </c>
      <c r="C3398">
        <v>1.0863799999999999</v>
      </c>
      <c r="D3398">
        <v>0</v>
      </c>
      <c r="F3398">
        <v>0.48854999999999799</v>
      </c>
      <c r="G3398">
        <v>13.653234358430501</v>
      </c>
      <c r="H3398">
        <v>0</v>
      </c>
      <c r="I3398">
        <v>0.52376180000000006</v>
      </c>
      <c r="J3398">
        <v>2017</v>
      </c>
      <c r="K3398">
        <v>3</v>
      </c>
      <c r="L3398">
        <v>28</v>
      </c>
      <c r="M3398" t="s">
        <v>93</v>
      </c>
      <c r="N3398">
        <v>0</v>
      </c>
      <c r="O3398">
        <v>0</v>
      </c>
    </row>
    <row r="3399" spans="1:15" x14ac:dyDescent="0.3">
      <c r="A3399">
        <v>3494</v>
      </c>
      <c r="B3399" s="34">
        <v>42823</v>
      </c>
      <c r="C3399">
        <v>1.0812299999999999</v>
      </c>
      <c r="D3399">
        <v>0</v>
      </c>
      <c r="F3399">
        <v>0.48854999999999799</v>
      </c>
      <c r="G3399">
        <v>13.653234358430501</v>
      </c>
      <c r="H3399">
        <v>1</v>
      </c>
      <c r="I3399">
        <v>0.52389810000000003</v>
      </c>
      <c r="J3399">
        <v>2017</v>
      </c>
      <c r="K3399">
        <v>3</v>
      </c>
      <c r="L3399">
        <v>29</v>
      </c>
      <c r="M3399" t="s">
        <v>89</v>
      </c>
      <c r="N3399">
        <v>0</v>
      </c>
      <c r="O3399">
        <v>0</v>
      </c>
    </row>
    <row r="3400" spans="1:15" x14ac:dyDescent="0.3">
      <c r="A3400">
        <v>3495</v>
      </c>
      <c r="B3400" s="34">
        <v>42824</v>
      </c>
      <c r="C3400">
        <v>1.0764</v>
      </c>
      <c r="D3400">
        <v>0</v>
      </c>
      <c r="F3400">
        <v>0.48854999999999799</v>
      </c>
      <c r="G3400">
        <v>13.653234358430501</v>
      </c>
      <c r="H3400">
        <v>1</v>
      </c>
      <c r="I3400">
        <v>0.52403429999999995</v>
      </c>
      <c r="J3400">
        <v>2017</v>
      </c>
      <c r="K3400">
        <v>3</v>
      </c>
      <c r="L3400">
        <v>30</v>
      </c>
      <c r="M3400" t="s">
        <v>90</v>
      </c>
      <c r="N3400">
        <v>0</v>
      </c>
      <c r="O3400">
        <v>0</v>
      </c>
    </row>
    <row r="3401" spans="1:15" x14ac:dyDescent="0.3">
      <c r="A3401">
        <v>3496</v>
      </c>
      <c r="B3401" s="34">
        <v>42825</v>
      </c>
      <c r="C3401">
        <v>1.0673999999999999</v>
      </c>
      <c r="D3401">
        <v>0</v>
      </c>
      <c r="F3401">
        <v>0.48854999999999799</v>
      </c>
      <c r="G3401">
        <v>13.653234358430501</v>
      </c>
      <c r="H3401">
        <v>0</v>
      </c>
      <c r="I3401">
        <v>0.52388440000000003</v>
      </c>
      <c r="J3401">
        <v>2017</v>
      </c>
      <c r="K3401">
        <v>3</v>
      </c>
      <c r="L3401">
        <v>31</v>
      </c>
      <c r="M3401" t="s">
        <v>91</v>
      </c>
      <c r="N3401">
        <v>0</v>
      </c>
      <c r="O3401">
        <v>0</v>
      </c>
    </row>
    <row r="3402" spans="1:15" x14ac:dyDescent="0.3">
      <c r="A3402">
        <v>3497</v>
      </c>
      <c r="B3402" s="34">
        <v>42828</v>
      </c>
      <c r="C3402">
        <v>1.0646199999999999</v>
      </c>
      <c r="D3402">
        <v>0</v>
      </c>
      <c r="F3402">
        <v>0.48854999999999799</v>
      </c>
      <c r="G3402">
        <v>13.653234358430501</v>
      </c>
      <c r="H3402">
        <v>0</v>
      </c>
      <c r="I3402">
        <v>0.52373460000000005</v>
      </c>
      <c r="J3402">
        <v>2017</v>
      </c>
      <c r="K3402">
        <v>4</v>
      </c>
      <c r="L3402">
        <v>3</v>
      </c>
      <c r="M3402" t="s">
        <v>92</v>
      </c>
      <c r="N3402">
        <v>0</v>
      </c>
      <c r="O3402">
        <v>0</v>
      </c>
    </row>
    <row r="3403" spans="1:15" x14ac:dyDescent="0.3">
      <c r="A3403">
        <v>3498</v>
      </c>
      <c r="B3403" s="34">
        <v>42829</v>
      </c>
      <c r="C3403">
        <v>1.0668299999999999</v>
      </c>
      <c r="D3403">
        <v>0</v>
      </c>
      <c r="F3403">
        <v>0.48854999999999799</v>
      </c>
      <c r="G3403">
        <v>13.653234358430501</v>
      </c>
      <c r="H3403">
        <v>1</v>
      </c>
      <c r="I3403">
        <v>0.52387079999999997</v>
      </c>
      <c r="J3403">
        <v>2017</v>
      </c>
      <c r="K3403">
        <v>4</v>
      </c>
      <c r="L3403">
        <v>4</v>
      </c>
      <c r="M3403" t="s">
        <v>93</v>
      </c>
      <c r="N3403">
        <v>0</v>
      </c>
      <c r="O3403">
        <v>0</v>
      </c>
    </row>
    <row r="3404" spans="1:15" x14ac:dyDescent="0.3">
      <c r="A3404">
        <v>3499</v>
      </c>
      <c r="B3404" s="34">
        <v>42830</v>
      </c>
      <c r="C3404">
        <v>1.0671999999999999</v>
      </c>
      <c r="D3404">
        <v>0</v>
      </c>
      <c r="F3404">
        <v>0.48854999999999799</v>
      </c>
      <c r="G3404">
        <v>13.653234358430501</v>
      </c>
      <c r="H3404">
        <v>0</v>
      </c>
      <c r="I3404">
        <v>0.52372099999999999</v>
      </c>
      <c r="J3404">
        <v>2017</v>
      </c>
      <c r="K3404">
        <v>4</v>
      </c>
      <c r="L3404">
        <v>5</v>
      </c>
      <c r="M3404" t="s">
        <v>89</v>
      </c>
      <c r="N3404">
        <v>0</v>
      </c>
      <c r="O3404">
        <v>0</v>
      </c>
    </row>
    <row r="3405" spans="1:15" x14ac:dyDescent="0.3">
      <c r="A3405">
        <v>3500</v>
      </c>
      <c r="B3405" s="34">
        <v>42831</v>
      </c>
      <c r="C3405">
        <v>1.0662400000000001</v>
      </c>
      <c r="D3405">
        <v>5</v>
      </c>
      <c r="E3405" t="s">
        <v>432</v>
      </c>
      <c r="F3405">
        <v>0.48664999999999797</v>
      </c>
      <c r="G3405">
        <v>13.989042064333701</v>
      </c>
      <c r="H3405">
        <v>1</v>
      </c>
      <c r="I3405">
        <v>0.52385709999999996</v>
      </c>
      <c r="J3405">
        <v>2017</v>
      </c>
      <c r="K3405">
        <v>4</v>
      </c>
      <c r="L3405">
        <v>6</v>
      </c>
      <c r="M3405" t="s">
        <v>90</v>
      </c>
      <c r="N3405">
        <v>0</v>
      </c>
      <c r="O3405">
        <v>0</v>
      </c>
    </row>
    <row r="3406" spans="1:15" x14ac:dyDescent="0.3">
      <c r="A3406">
        <v>3501</v>
      </c>
      <c r="B3406" s="34">
        <v>42832</v>
      </c>
      <c r="C3406">
        <v>1.0643400000000001</v>
      </c>
      <c r="D3406">
        <v>0</v>
      </c>
      <c r="F3406">
        <v>0.48664999999999797</v>
      </c>
      <c r="G3406">
        <v>13.989042064333701</v>
      </c>
      <c r="H3406">
        <v>0</v>
      </c>
      <c r="I3406">
        <v>0.52370749999999999</v>
      </c>
      <c r="J3406">
        <v>2017</v>
      </c>
      <c r="K3406">
        <v>4</v>
      </c>
      <c r="L3406">
        <v>7</v>
      </c>
      <c r="M3406" t="s">
        <v>91</v>
      </c>
      <c r="N3406">
        <v>0</v>
      </c>
      <c r="O3406">
        <v>0</v>
      </c>
    </row>
    <row r="3407" spans="1:15" x14ac:dyDescent="0.3">
      <c r="A3407">
        <v>3502</v>
      </c>
      <c r="B3407" s="34">
        <v>42835</v>
      </c>
      <c r="C3407">
        <v>1.05884</v>
      </c>
      <c r="D3407">
        <v>0</v>
      </c>
      <c r="F3407">
        <v>0.48664999999999797</v>
      </c>
      <c r="G3407">
        <v>13.989042064333701</v>
      </c>
      <c r="H3407">
        <v>0</v>
      </c>
      <c r="I3407">
        <v>0.52355799999999997</v>
      </c>
      <c r="J3407">
        <v>2017</v>
      </c>
      <c r="K3407">
        <v>4</v>
      </c>
      <c r="L3407">
        <v>10</v>
      </c>
      <c r="M3407" t="s">
        <v>92</v>
      </c>
      <c r="N3407">
        <v>0</v>
      </c>
      <c r="O3407">
        <v>0</v>
      </c>
    </row>
    <row r="3408" spans="1:15" x14ac:dyDescent="0.3">
      <c r="A3408">
        <v>3503</v>
      </c>
      <c r="B3408" s="34">
        <v>42836</v>
      </c>
      <c r="C3408">
        <v>1.0594699999999999</v>
      </c>
      <c r="D3408">
        <v>0</v>
      </c>
      <c r="F3408">
        <v>0.48664999999999797</v>
      </c>
      <c r="G3408">
        <v>13.989042064333701</v>
      </c>
      <c r="H3408">
        <v>1</v>
      </c>
      <c r="I3408">
        <v>0.52369399999999999</v>
      </c>
      <c r="J3408">
        <v>2017</v>
      </c>
      <c r="K3408">
        <v>4</v>
      </c>
      <c r="L3408">
        <v>11</v>
      </c>
      <c r="M3408" t="s">
        <v>93</v>
      </c>
      <c r="N3408">
        <v>0</v>
      </c>
      <c r="O3408">
        <v>0</v>
      </c>
    </row>
    <row r="3409" spans="1:15" x14ac:dyDescent="0.3">
      <c r="A3409">
        <v>3504</v>
      </c>
      <c r="B3409" s="34">
        <v>42837</v>
      </c>
      <c r="C3409">
        <v>1.06037</v>
      </c>
      <c r="D3409">
        <v>0</v>
      </c>
      <c r="F3409">
        <v>0.48664999999999797</v>
      </c>
      <c r="G3409">
        <v>13.989042064333701</v>
      </c>
      <c r="H3409">
        <v>1</v>
      </c>
      <c r="I3409">
        <v>0.52382989999999996</v>
      </c>
      <c r="J3409">
        <v>2017</v>
      </c>
      <c r="K3409">
        <v>4</v>
      </c>
      <c r="L3409">
        <v>12</v>
      </c>
      <c r="M3409" t="s">
        <v>89</v>
      </c>
      <c r="N3409">
        <v>0</v>
      </c>
      <c r="O3409">
        <v>0</v>
      </c>
    </row>
    <row r="3410" spans="1:15" x14ac:dyDescent="0.3">
      <c r="A3410">
        <v>3505</v>
      </c>
      <c r="B3410" s="34">
        <v>42838</v>
      </c>
      <c r="C3410">
        <v>1.06633</v>
      </c>
      <c r="D3410">
        <v>0</v>
      </c>
      <c r="F3410">
        <v>0.48664999999999797</v>
      </c>
      <c r="G3410">
        <v>13.989042064333701</v>
      </c>
      <c r="H3410">
        <v>0</v>
      </c>
      <c r="I3410">
        <v>0.52368040000000005</v>
      </c>
      <c r="J3410">
        <v>2017</v>
      </c>
      <c r="K3410">
        <v>4</v>
      </c>
      <c r="L3410">
        <v>13</v>
      </c>
      <c r="M3410" t="s">
        <v>90</v>
      </c>
      <c r="N3410">
        <v>0</v>
      </c>
      <c r="O3410">
        <v>0</v>
      </c>
    </row>
    <row r="3411" spans="1:15" x14ac:dyDescent="0.3">
      <c r="A3411">
        <v>3506</v>
      </c>
      <c r="B3411" s="34">
        <v>42839</v>
      </c>
      <c r="C3411">
        <v>1.0612200000000001</v>
      </c>
      <c r="D3411">
        <v>0</v>
      </c>
      <c r="F3411">
        <v>0.48664999999999797</v>
      </c>
      <c r="G3411">
        <v>13.989042064333701</v>
      </c>
      <c r="H3411">
        <v>1</v>
      </c>
      <c r="I3411">
        <v>0.52381630000000001</v>
      </c>
      <c r="J3411">
        <v>2017</v>
      </c>
      <c r="K3411">
        <v>4</v>
      </c>
      <c r="L3411">
        <v>14</v>
      </c>
      <c r="M3411" t="s">
        <v>91</v>
      </c>
      <c r="N3411">
        <v>0</v>
      </c>
      <c r="O3411">
        <v>0</v>
      </c>
    </row>
    <row r="3412" spans="1:15" x14ac:dyDescent="0.3">
      <c r="A3412">
        <v>3507</v>
      </c>
      <c r="B3412" s="34">
        <v>42842</v>
      </c>
      <c r="C3412">
        <v>1.0609599999999999</v>
      </c>
      <c r="D3412">
        <v>0</v>
      </c>
      <c r="F3412">
        <v>0.48664999999999797</v>
      </c>
      <c r="G3412">
        <v>13.989042064333701</v>
      </c>
      <c r="H3412">
        <v>0</v>
      </c>
      <c r="I3412">
        <v>0.52366699999999999</v>
      </c>
      <c r="J3412">
        <v>2017</v>
      </c>
      <c r="K3412">
        <v>4</v>
      </c>
      <c r="L3412">
        <v>17</v>
      </c>
      <c r="M3412" t="s">
        <v>92</v>
      </c>
      <c r="N3412">
        <v>0</v>
      </c>
      <c r="O3412">
        <v>0</v>
      </c>
    </row>
    <row r="3413" spans="1:15" x14ac:dyDescent="0.3">
      <c r="A3413">
        <v>3508</v>
      </c>
      <c r="B3413" s="34">
        <v>42843</v>
      </c>
      <c r="C3413">
        <v>1.0641099999999999</v>
      </c>
      <c r="D3413">
        <v>0</v>
      </c>
      <c r="F3413">
        <v>0.48664999999999797</v>
      </c>
      <c r="G3413">
        <v>13.989042064333701</v>
      </c>
      <c r="H3413">
        <v>1</v>
      </c>
      <c r="I3413">
        <v>0.52380280000000001</v>
      </c>
      <c r="J3413">
        <v>2017</v>
      </c>
      <c r="K3413">
        <v>4</v>
      </c>
      <c r="L3413">
        <v>18</v>
      </c>
      <c r="M3413" t="s">
        <v>93</v>
      </c>
      <c r="N3413">
        <v>0</v>
      </c>
      <c r="O3413">
        <v>0</v>
      </c>
    </row>
    <row r="3414" spans="1:15" x14ac:dyDescent="0.3">
      <c r="A3414">
        <v>3509</v>
      </c>
      <c r="B3414" s="34">
        <v>42844</v>
      </c>
      <c r="C3414">
        <v>1.0730200000000001</v>
      </c>
      <c r="D3414">
        <v>0</v>
      </c>
      <c r="F3414">
        <v>0.48664999999999797</v>
      </c>
      <c r="G3414">
        <v>13.989042064333701</v>
      </c>
      <c r="H3414">
        <v>0</v>
      </c>
      <c r="I3414">
        <v>0.52365340000000005</v>
      </c>
      <c r="J3414">
        <v>2017</v>
      </c>
      <c r="K3414">
        <v>4</v>
      </c>
      <c r="L3414">
        <v>19</v>
      </c>
      <c r="M3414" t="s">
        <v>89</v>
      </c>
      <c r="N3414">
        <v>0</v>
      </c>
      <c r="O3414">
        <v>0</v>
      </c>
    </row>
    <row r="3415" spans="1:15" x14ac:dyDescent="0.3">
      <c r="A3415">
        <v>3510</v>
      </c>
      <c r="B3415" s="34">
        <v>42845</v>
      </c>
      <c r="C3415">
        <v>1.07094</v>
      </c>
      <c r="D3415">
        <v>0</v>
      </c>
      <c r="F3415">
        <v>0.48664999999999797</v>
      </c>
      <c r="G3415">
        <v>13.989042064333701</v>
      </c>
      <c r="H3415">
        <v>1</v>
      </c>
      <c r="I3415">
        <v>0.52378919999999995</v>
      </c>
      <c r="J3415">
        <v>2017</v>
      </c>
      <c r="K3415">
        <v>4</v>
      </c>
      <c r="L3415">
        <v>20</v>
      </c>
      <c r="M3415" t="s">
        <v>90</v>
      </c>
      <c r="N3415">
        <v>0</v>
      </c>
      <c r="O3415">
        <v>0</v>
      </c>
    </row>
    <row r="3416" spans="1:15" x14ac:dyDescent="0.3">
      <c r="A3416">
        <v>3511</v>
      </c>
      <c r="B3416" s="34">
        <v>42846</v>
      </c>
      <c r="C3416">
        <v>1.07161</v>
      </c>
      <c r="D3416">
        <v>0</v>
      </c>
      <c r="F3416">
        <v>0.48664999999999797</v>
      </c>
      <c r="G3416">
        <v>13.989042064333701</v>
      </c>
      <c r="H3416">
        <v>0</v>
      </c>
      <c r="I3416">
        <v>0.52363999999999999</v>
      </c>
      <c r="J3416">
        <v>2017</v>
      </c>
      <c r="K3416">
        <v>4</v>
      </c>
      <c r="L3416">
        <v>21</v>
      </c>
      <c r="M3416" t="s">
        <v>91</v>
      </c>
      <c r="N3416">
        <v>0</v>
      </c>
      <c r="O3416">
        <v>0</v>
      </c>
    </row>
    <row r="3417" spans="1:15" x14ac:dyDescent="0.3">
      <c r="A3417">
        <v>3512</v>
      </c>
      <c r="B3417" s="34">
        <v>42849</v>
      </c>
      <c r="C3417">
        <v>1.0726599999999999</v>
      </c>
      <c r="D3417">
        <v>0</v>
      </c>
      <c r="F3417">
        <v>0.48664999999999797</v>
      </c>
      <c r="G3417">
        <v>13.989042064333701</v>
      </c>
      <c r="H3417">
        <v>0</v>
      </c>
      <c r="I3417">
        <v>0.52349089999999998</v>
      </c>
      <c r="J3417">
        <v>2017</v>
      </c>
      <c r="K3417">
        <v>4</v>
      </c>
      <c r="L3417">
        <v>24</v>
      </c>
      <c r="M3417" t="s">
        <v>92</v>
      </c>
      <c r="N3417">
        <v>0</v>
      </c>
      <c r="O3417">
        <v>0</v>
      </c>
    </row>
    <row r="3418" spans="1:15" x14ac:dyDescent="0.3">
      <c r="A3418">
        <v>3513</v>
      </c>
      <c r="B3418" s="34">
        <v>42850</v>
      </c>
      <c r="C3418">
        <v>1.08667</v>
      </c>
      <c r="D3418">
        <v>0</v>
      </c>
      <c r="F3418">
        <v>0.48664999999999797</v>
      </c>
      <c r="G3418">
        <v>13.989042064333701</v>
      </c>
      <c r="H3418">
        <v>0</v>
      </c>
      <c r="I3418">
        <v>0.52334190000000003</v>
      </c>
      <c r="J3418">
        <v>2017</v>
      </c>
      <c r="K3418">
        <v>4</v>
      </c>
      <c r="L3418">
        <v>25</v>
      </c>
      <c r="M3418" t="s">
        <v>93</v>
      </c>
      <c r="N3418">
        <v>0</v>
      </c>
      <c r="O3418">
        <v>0</v>
      </c>
    </row>
    <row r="3419" spans="1:15" x14ac:dyDescent="0.3">
      <c r="A3419">
        <v>3514</v>
      </c>
      <c r="B3419" s="34">
        <v>42851</v>
      </c>
      <c r="C3419">
        <v>1.0924499999999999</v>
      </c>
      <c r="D3419">
        <v>0</v>
      </c>
      <c r="F3419">
        <v>0.48664999999999797</v>
      </c>
      <c r="G3419">
        <v>13.989042064333701</v>
      </c>
      <c r="H3419">
        <v>0</v>
      </c>
      <c r="I3419">
        <v>0.52319289999999996</v>
      </c>
      <c r="J3419">
        <v>2017</v>
      </c>
      <c r="K3419">
        <v>4</v>
      </c>
      <c r="L3419">
        <v>26</v>
      </c>
      <c r="M3419" t="s">
        <v>89</v>
      </c>
      <c r="N3419">
        <v>0</v>
      </c>
      <c r="O3419">
        <v>0</v>
      </c>
    </row>
    <row r="3420" spans="1:15" x14ac:dyDescent="0.3">
      <c r="A3420">
        <v>3515</v>
      </c>
      <c r="B3420" s="34">
        <v>42852</v>
      </c>
      <c r="C3420">
        <v>1.09033</v>
      </c>
      <c r="D3420">
        <v>0</v>
      </c>
      <c r="F3420">
        <v>0.48664999999999797</v>
      </c>
      <c r="G3420">
        <v>13.989042064333701</v>
      </c>
      <c r="H3420">
        <v>1</v>
      </c>
      <c r="I3420">
        <v>0.52332860000000003</v>
      </c>
      <c r="J3420">
        <v>2017</v>
      </c>
      <c r="K3420">
        <v>4</v>
      </c>
      <c r="L3420">
        <v>27</v>
      </c>
      <c r="M3420" t="s">
        <v>90</v>
      </c>
      <c r="N3420">
        <v>0</v>
      </c>
      <c r="O3420">
        <v>0</v>
      </c>
    </row>
    <row r="3421" spans="1:15" x14ac:dyDescent="0.3">
      <c r="A3421">
        <v>3516</v>
      </c>
      <c r="B3421" s="34">
        <v>42853</v>
      </c>
      <c r="C3421">
        <v>1.0871999999999999</v>
      </c>
      <c r="D3421">
        <v>0</v>
      </c>
      <c r="F3421">
        <v>0.48664999999999797</v>
      </c>
      <c r="G3421">
        <v>13.989042064333701</v>
      </c>
      <c r="H3421">
        <v>1</v>
      </c>
      <c r="I3421">
        <v>0.52346409999999999</v>
      </c>
      <c r="J3421">
        <v>2017</v>
      </c>
      <c r="K3421">
        <v>4</v>
      </c>
      <c r="L3421">
        <v>28</v>
      </c>
      <c r="M3421" t="s">
        <v>91</v>
      </c>
      <c r="N3421">
        <v>0</v>
      </c>
      <c r="O3421">
        <v>0</v>
      </c>
    </row>
    <row r="3422" spans="1:15" x14ac:dyDescent="0.3">
      <c r="A3422">
        <v>3517</v>
      </c>
      <c r="B3422" s="34">
        <v>42856</v>
      </c>
      <c r="C3422">
        <v>1.08921</v>
      </c>
      <c r="D3422">
        <v>-3</v>
      </c>
      <c r="F3422">
        <v>0.486009999999998</v>
      </c>
      <c r="G3422">
        <v>14.1021562389537</v>
      </c>
      <c r="H3422">
        <v>1</v>
      </c>
      <c r="I3422">
        <v>0.5235997</v>
      </c>
      <c r="J3422">
        <v>2017</v>
      </c>
      <c r="K3422">
        <v>5</v>
      </c>
      <c r="L3422">
        <v>1</v>
      </c>
      <c r="M3422" t="s">
        <v>92</v>
      </c>
      <c r="N3422">
        <v>0</v>
      </c>
      <c r="O3422">
        <v>0</v>
      </c>
    </row>
    <row r="3423" spans="1:15" x14ac:dyDescent="0.3">
      <c r="A3423">
        <v>3518</v>
      </c>
      <c r="B3423" s="34">
        <v>42857</v>
      </c>
      <c r="C3423">
        <v>1.08985</v>
      </c>
      <c r="D3423">
        <v>0</v>
      </c>
      <c r="F3423">
        <v>0.486009999999998</v>
      </c>
      <c r="G3423">
        <v>14.1021562389537</v>
      </c>
      <c r="H3423">
        <v>0</v>
      </c>
      <c r="I3423">
        <v>0.52345090000000005</v>
      </c>
      <c r="J3423">
        <v>2017</v>
      </c>
      <c r="K3423">
        <v>5</v>
      </c>
      <c r="L3423">
        <v>2</v>
      </c>
      <c r="M3423" t="s">
        <v>93</v>
      </c>
      <c r="N3423">
        <v>0</v>
      </c>
      <c r="O3423">
        <v>0</v>
      </c>
    </row>
    <row r="3424" spans="1:15" x14ac:dyDescent="0.3">
      <c r="A3424">
        <v>3519</v>
      </c>
      <c r="B3424" s="34">
        <v>42858</v>
      </c>
      <c r="C3424">
        <v>1.09317</v>
      </c>
      <c r="D3424">
        <v>0</v>
      </c>
      <c r="F3424">
        <v>0.486009999999998</v>
      </c>
      <c r="G3424">
        <v>14.1021562389537</v>
      </c>
      <c r="H3424">
        <v>0</v>
      </c>
      <c r="I3424">
        <v>0.52330209999999999</v>
      </c>
      <c r="J3424">
        <v>2017</v>
      </c>
      <c r="K3424">
        <v>5</v>
      </c>
      <c r="L3424">
        <v>3</v>
      </c>
      <c r="M3424" t="s">
        <v>89</v>
      </c>
      <c r="N3424">
        <v>0</v>
      </c>
      <c r="O3424">
        <v>0</v>
      </c>
    </row>
    <row r="3425" spans="1:15" x14ac:dyDescent="0.3">
      <c r="A3425">
        <v>3520</v>
      </c>
      <c r="B3425" s="34">
        <v>42859</v>
      </c>
      <c r="C3425">
        <v>1.08839</v>
      </c>
      <c r="D3425">
        <v>0</v>
      </c>
      <c r="F3425">
        <v>0.486009999999998</v>
      </c>
      <c r="G3425">
        <v>14.1021562389537</v>
      </c>
      <c r="H3425">
        <v>1</v>
      </c>
      <c r="I3425">
        <v>0.5234375</v>
      </c>
      <c r="J3425">
        <v>2017</v>
      </c>
      <c r="K3425">
        <v>5</v>
      </c>
      <c r="L3425">
        <v>4</v>
      </c>
      <c r="M3425" t="s">
        <v>90</v>
      </c>
      <c r="N3425">
        <v>0</v>
      </c>
      <c r="O3425">
        <v>0</v>
      </c>
    </row>
    <row r="3426" spans="1:15" x14ac:dyDescent="0.3">
      <c r="A3426">
        <v>3521</v>
      </c>
      <c r="B3426" s="34">
        <v>42860</v>
      </c>
      <c r="C3426">
        <v>1.0983700000000001</v>
      </c>
      <c r="D3426">
        <v>0</v>
      </c>
      <c r="F3426">
        <v>0.486009999999998</v>
      </c>
      <c r="G3426">
        <v>14.1021562389537</v>
      </c>
      <c r="H3426">
        <v>1</v>
      </c>
      <c r="I3426">
        <v>0.52357290000000001</v>
      </c>
      <c r="J3426">
        <v>2017</v>
      </c>
      <c r="K3426">
        <v>5</v>
      </c>
      <c r="L3426">
        <v>5</v>
      </c>
      <c r="M3426" t="s">
        <v>91</v>
      </c>
      <c r="N3426">
        <v>0</v>
      </c>
      <c r="O3426">
        <v>0</v>
      </c>
    </row>
    <row r="3427" spans="1:15" x14ac:dyDescent="0.3">
      <c r="A3427">
        <v>3522</v>
      </c>
      <c r="B3427" s="34">
        <v>42863</v>
      </c>
      <c r="C3427">
        <v>1.09863</v>
      </c>
      <c r="D3427">
        <v>0</v>
      </c>
      <c r="F3427">
        <v>0.486009999999998</v>
      </c>
      <c r="G3427">
        <v>14.1021562389537</v>
      </c>
      <c r="H3427">
        <v>0</v>
      </c>
      <c r="I3427">
        <v>0.52342420000000001</v>
      </c>
      <c r="J3427">
        <v>2017</v>
      </c>
      <c r="K3427">
        <v>5</v>
      </c>
      <c r="L3427">
        <v>8</v>
      </c>
      <c r="M3427" t="s">
        <v>92</v>
      </c>
      <c r="N3427">
        <v>0</v>
      </c>
      <c r="O3427">
        <v>0</v>
      </c>
    </row>
    <row r="3428" spans="1:15" x14ac:dyDescent="0.3">
      <c r="A3428">
        <v>3523</v>
      </c>
      <c r="B3428" s="34">
        <v>42864</v>
      </c>
      <c r="C3428">
        <v>1.09236</v>
      </c>
      <c r="D3428">
        <v>0</v>
      </c>
      <c r="F3428">
        <v>0.486009999999998</v>
      </c>
      <c r="G3428">
        <v>14.1021562389537</v>
      </c>
      <c r="H3428">
        <v>1</v>
      </c>
      <c r="I3428">
        <v>0.52355949999999996</v>
      </c>
      <c r="J3428">
        <v>2017</v>
      </c>
      <c r="K3428">
        <v>5</v>
      </c>
      <c r="L3428">
        <v>9</v>
      </c>
      <c r="M3428" t="s">
        <v>93</v>
      </c>
      <c r="N3428">
        <v>0</v>
      </c>
      <c r="O3428">
        <v>0</v>
      </c>
    </row>
    <row r="3429" spans="1:15" x14ac:dyDescent="0.3">
      <c r="A3429">
        <v>3524</v>
      </c>
      <c r="B3429" s="34">
        <v>42865</v>
      </c>
      <c r="C3429">
        <v>1.0872900000000001</v>
      </c>
      <c r="D3429">
        <v>0</v>
      </c>
      <c r="F3429">
        <v>0.486009999999998</v>
      </c>
      <c r="G3429">
        <v>14.1021562389537</v>
      </c>
      <c r="H3429">
        <v>1</v>
      </c>
      <c r="I3429">
        <v>0.52369469999999996</v>
      </c>
      <c r="J3429">
        <v>2017</v>
      </c>
      <c r="K3429">
        <v>5</v>
      </c>
      <c r="L3429">
        <v>10</v>
      </c>
      <c r="M3429" t="s">
        <v>89</v>
      </c>
      <c r="N3429">
        <v>0</v>
      </c>
      <c r="O3429">
        <v>0</v>
      </c>
    </row>
    <row r="3430" spans="1:15" x14ac:dyDescent="0.3">
      <c r="A3430">
        <v>3525</v>
      </c>
      <c r="B3430" s="34">
        <v>42866</v>
      </c>
      <c r="C3430">
        <v>1.0867199999999999</v>
      </c>
      <c r="D3430">
        <v>0</v>
      </c>
      <c r="F3430">
        <v>0.486009999999998</v>
      </c>
      <c r="G3430">
        <v>14.1021562389537</v>
      </c>
      <c r="H3430">
        <v>0</v>
      </c>
      <c r="I3430">
        <v>0.52354610000000001</v>
      </c>
      <c r="J3430">
        <v>2017</v>
      </c>
      <c r="K3430">
        <v>5</v>
      </c>
      <c r="L3430">
        <v>11</v>
      </c>
      <c r="M3430" t="s">
        <v>90</v>
      </c>
      <c r="N3430">
        <v>0</v>
      </c>
      <c r="O3430">
        <v>0</v>
      </c>
    </row>
    <row r="3431" spans="1:15" x14ac:dyDescent="0.3">
      <c r="A3431">
        <v>3526</v>
      </c>
      <c r="B3431" s="34">
        <v>42867</v>
      </c>
      <c r="C3431">
        <v>1.0861099999999999</v>
      </c>
      <c r="D3431">
        <v>0</v>
      </c>
      <c r="F3431">
        <v>0.486009999999998</v>
      </c>
      <c r="G3431">
        <v>14.1021562389537</v>
      </c>
      <c r="H3431">
        <v>0</v>
      </c>
      <c r="I3431">
        <v>0.52339760000000002</v>
      </c>
      <c r="J3431">
        <v>2017</v>
      </c>
      <c r="K3431">
        <v>5</v>
      </c>
      <c r="L3431">
        <v>12</v>
      </c>
      <c r="M3431" t="s">
        <v>91</v>
      </c>
      <c r="N3431">
        <v>0</v>
      </c>
      <c r="O3431">
        <v>0</v>
      </c>
    </row>
    <row r="3432" spans="1:15" x14ac:dyDescent="0.3">
      <c r="A3432">
        <v>3527</v>
      </c>
      <c r="B3432" s="34">
        <v>42870</v>
      </c>
      <c r="C3432">
        <v>1.0926800000000001</v>
      </c>
      <c r="D3432">
        <v>0</v>
      </c>
      <c r="F3432">
        <v>0.486009999999998</v>
      </c>
      <c r="G3432">
        <v>14.1021562389537</v>
      </c>
      <c r="H3432">
        <v>1</v>
      </c>
      <c r="I3432">
        <v>0.52353269999999996</v>
      </c>
      <c r="J3432">
        <v>2017</v>
      </c>
      <c r="K3432">
        <v>5</v>
      </c>
      <c r="L3432">
        <v>15</v>
      </c>
      <c r="M3432" t="s">
        <v>92</v>
      </c>
      <c r="N3432">
        <v>0</v>
      </c>
      <c r="O3432">
        <v>0</v>
      </c>
    </row>
    <row r="3433" spans="1:15" x14ac:dyDescent="0.3">
      <c r="A3433">
        <v>3528</v>
      </c>
      <c r="B3433" s="34">
        <v>42871</v>
      </c>
      <c r="C3433">
        <v>1.09748</v>
      </c>
      <c r="D3433">
        <v>0</v>
      </c>
      <c r="F3433">
        <v>0.486009999999998</v>
      </c>
      <c r="G3433">
        <v>14.1021562389537</v>
      </c>
      <c r="H3433">
        <v>0</v>
      </c>
      <c r="I3433">
        <v>0.52338430000000002</v>
      </c>
      <c r="J3433">
        <v>2017</v>
      </c>
      <c r="K3433">
        <v>5</v>
      </c>
      <c r="L3433">
        <v>16</v>
      </c>
      <c r="M3433" t="s">
        <v>93</v>
      </c>
      <c r="N3433">
        <v>0</v>
      </c>
      <c r="O3433">
        <v>0</v>
      </c>
    </row>
    <row r="3434" spans="1:15" x14ac:dyDescent="0.3">
      <c r="A3434">
        <v>3529</v>
      </c>
      <c r="B3434" s="34">
        <v>42872</v>
      </c>
      <c r="C3434">
        <v>1.10825</v>
      </c>
      <c r="D3434">
        <v>0</v>
      </c>
      <c r="F3434">
        <v>0.486009999999998</v>
      </c>
      <c r="G3434">
        <v>14.1021562389537</v>
      </c>
      <c r="H3434">
        <v>0</v>
      </c>
      <c r="I3434">
        <v>0.52323600000000003</v>
      </c>
      <c r="J3434">
        <v>2017</v>
      </c>
      <c r="K3434">
        <v>5</v>
      </c>
      <c r="L3434">
        <v>17</v>
      </c>
      <c r="M3434" t="s">
        <v>89</v>
      </c>
      <c r="N3434">
        <v>0</v>
      </c>
      <c r="O3434">
        <v>0</v>
      </c>
    </row>
    <row r="3435" spans="1:15" x14ac:dyDescent="0.3">
      <c r="A3435">
        <v>3530</v>
      </c>
      <c r="B3435" s="34">
        <v>42873</v>
      </c>
      <c r="C3435">
        <v>1.1158300000000001</v>
      </c>
      <c r="D3435">
        <v>0</v>
      </c>
      <c r="F3435">
        <v>0.486009999999998</v>
      </c>
      <c r="G3435">
        <v>14.1021562389537</v>
      </c>
      <c r="H3435">
        <v>0</v>
      </c>
      <c r="I3435">
        <v>0.52308779999999999</v>
      </c>
      <c r="J3435">
        <v>2017</v>
      </c>
      <c r="K3435">
        <v>5</v>
      </c>
      <c r="L3435">
        <v>18</v>
      </c>
      <c r="M3435" t="s">
        <v>90</v>
      </c>
      <c r="N3435">
        <v>0</v>
      </c>
      <c r="O3435">
        <v>0</v>
      </c>
    </row>
    <row r="3436" spans="1:15" x14ac:dyDescent="0.3">
      <c r="A3436">
        <v>3531</v>
      </c>
      <c r="B3436" s="34">
        <v>42874</v>
      </c>
      <c r="C3436">
        <v>1.1102700000000001</v>
      </c>
      <c r="D3436">
        <v>0</v>
      </c>
      <c r="F3436">
        <v>0.486009999999998</v>
      </c>
      <c r="G3436">
        <v>14.1021562389537</v>
      </c>
      <c r="H3436">
        <v>1</v>
      </c>
      <c r="I3436">
        <v>0.52322290000000005</v>
      </c>
      <c r="J3436">
        <v>2017</v>
      </c>
      <c r="K3436">
        <v>5</v>
      </c>
      <c r="L3436">
        <v>19</v>
      </c>
      <c r="M3436" t="s">
        <v>91</v>
      </c>
      <c r="N3436">
        <v>0</v>
      </c>
      <c r="O3436">
        <v>0</v>
      </c>
    </row>
    <row r="3437" spans="1:15" x14ac:dyDescent="0.3">
      <c r="A3437">
        <v>3532</v>
      </c>
      <c r="B3437" s="34">
        <v>42877</v>
      </c>
      <c r="C3437">
        <v>1.1173999999999999</v>
      </c>
      <c r="D3437">
        <v>0</v>
      </c>
      <c r="F3437">
        <v>0.486009999999998</v>
      </c>
      <c r="G3437">
        <v>14.1021562389537</v>
      </c>
      <c r="H3437">
        <v>0</v>
      </c>
      <c r="I3437">
        <v>0.5230747</v>
      </c>
      <c r="J3437">
        <v>2017</v>
      </c>
      <c r="K3437">
        <v>5</v>
      </c>
      <c r="L3437">
        <v>22</v>
      </c>
      <c r="M3437" t="s">
        <v>92</v>
      </c>
      <c r="N3437">
        <v>0</v>
      </c>
      <c r="O3437">
        <v>0</v>
      </c>
    </row>
    <row r="3438" spans="1:15" x14ac:dyDescent="0.3">
      <c r="A3438">
        <v>3533</v>
      </c>
      <c r="B3438" s="34">
        <v>42878</v>
      </c>
      <c r="C3438">
        <v>1.12371</v>
      </c>
      <c r="D3438">
        <v>0</v>
      </c>
      <c r="F3438">
        <v>0.486009999999998</v>
      </c>
      <c r="G3438">
        <v>14.1021562389537</v>
      </c>
      <c r="H3438">
        <v>0</v>
      </c>
      <c r="I3438">
        <v>0.52292669999999997</v>
      </c>
      <c r="J3438">
        <v>2017</v>
      </c>
      <c r="K3438">
        <v>5</v>
      </c>
      <c r="L3438">
        <v>23</v>
      </c>
      <c r="M3438" t="s">
        <v>93</v>
      </c>
      <c r="N3438">
        <v>0</v>
      </c>
      <c r="O3438">
        <v>0</v>
      </c>
    </row>
    <row r="3439" spans="1:15" x14ac:dyDescent="0.3">
      <c r="A3439">
        <v>3534</v>
      </c>
      <c r="B3439" s="34">
        <v>42879</v>
      </c>
      <c r="C3439">
        <v>1.11825</v>
      </c>
      <c r="D3439">
        <v>0</v>
      </c>
      <c r="F3439">
        <v>0.486009999999998</v>
      </c>
      <c r="G3439">
        <v>14.1021562389537</v>
      </c>
      <c r="H3439">
        <v>1</v>
      </c>
      <c r="I3439">
        <v>0.52306169999999996</v>
      </c>
      <c r="J3439">
        <v>2017</v>
      </c>
      <c r="K3439">
        <v>5</v>
      </c>
      <c r="L3439">
        <v>24</v>
      </c>
      <c r="M3439" t="s">
        <v>89</v>
      </c>
      <c r="N3439">
        <v>0</v>
      </c>
      <c r="O3439">
        <v>0</v>
      </c>
    </row>
    <row r="3440" spans="1:15" x14ac:dyDescent="0.3">
      <c r="A3440">
        <v>3535</v>
      </c>
      <c r="B3440" s="34">
        <v>42880</v>
      </c>
      <c r="C3440">
        <v>1.1218399999999999</v>
      </c>
      <c r="D3440">
        <v>0</v>
      </c>
      <c r="F3440">
        <v>0.486009999999998</v>
      </c>
      <c r="G3440">
        <v>14.1021562389537</v>
      </c>
      <c r="H3440">
        <v>1</v>
      </c>
      <c r="I3440">
        <v>0.52319660000000001</v>
      </c>
      <c r="J3440">
        <v>2017</v>
      </c>
      <c r="K3440">
        <v>5</v>
      </c>
      <c r="L3440">
        <v>25</v>
      </c>
      <c r="M3440" t="s">
        <v>90</v>
      </c>
      <c r="N3440">
        <v>0</v>
      </c>
      <c r="O3440">
        <v>0</v>
      </c>
    </row>
    <row r="3441" spans="1:15" x14ac:dyDescent="0.3">
      <c r="A3441">
        <v>3536</v>
      </c>
      <c r="B3441" s="34">
        <v>42881</v>
      </c>
      <c r="C3441">
        <v>1.1210100000000001</v>
      </c>
      <c r="D3441">
        <v>0</v>
      </c>
      <c r="F3441">
        <v>0.486009999999998</v>
      </c>
      <c r="G3441">
        <v>14.1021562389537</v>
      </c>
      <c r="H3441">
        <v>1</v>
      </c>
      <c r="I3441">
        <v>0.52333149999999995</v>
      </c>
      <c r="J3441">
        <v>2017</v>
      </c>
      <c r="K3441">
        <v>5</v>
      </c>
      <c r="L3441">
        <v>26</v>
      </c>
      <c r="M3441" t="s">
        <v>91</v>
      </c>
      <c r="N3441">
        <v>0</v>
      </c>
      <c r="O3441">
        <v>0</v>
      </c>
    </row>
    <row r="3442" spans="1:15" x14ac:dyDescent="0.3">
      <c r="A3442">
        <v>3537</v>
      </c>
      <c r="B3442" s="34">
        <v>42884</v>
      </c>
      <c r="C3442">
        <v>1.1173299999999999</v>
      </c>
      <c r="D3442">
        <v>0</v>
      </c>
      <c r="F3442">
        <v>0.486009999999998</v>
      </c>
      <c r="G3442">
        <v>14.1021562389537</v>
      </c>
      <c r="H3442">
        <v>1</v>
      </c>
      <c r="I3442">
        <v>0.52346619999999999</v>
      </c>
      <c r="J3442">
        <v>2017</v>
      </c>
      <c r="K3442">
        <v>5</v>
      </c>
      <c r="L3442">
        <v>29</v>
      </c>
      <c r="M3442" t="s">
        <v>92</v>
      </c>
      <c r="N3442">
        <v>0</v>
      </c>
      <c r="O3442">
        <v>0</v>
      </c>
    </row>
    <row r="3443" spans="1:15" x14ac:dyDescent="0.3">
      <c r="A3443">
        <v>3538</v>
      </c>
      <c r="B3443" s="34">
        <v>42885</v>
      </c>
      <c r="C3443">
        <v>1.1162700000000001</v>
      </c>
      <c r="D3443">
        <v>0</v>
      </c>
      <c r="F3443">
        <v>0.486009999999998</v>
      </c>
      <c r="G3443">
        <v>14.1021562389537</v>
      </c>
      <c r="H3443">
        <v>0</v>
      </c>
      <c r="I3443">
        <v>0.52331819999999996</v>
      </c>
      <c r="J3443">
        <v>2017</v>
      </c>
      <c r="K3443">
        <v>5</v>
      </c>
      <c r="L3443">
        <v>30</v>
      </c>
      <c r="M3443" t="s">
        <v>93</v>
      </c>
      <c r="N3443">
        <v>0</v>
      </c>
      <c r="O3443">
        <v>0</v>
      </c>
    </row>
    <row r="3444" spans="1:15" x14ac:dyDescent="0.3">
      <c r="A3444">
        <v>3539</v>
      </c>
      <c r="B3444" s="34">
        <v>42886</v>
      </c>
      <c r="C3444">
        <v>1.1185499999999999</v>
      </c>
      <c r="D3444">
        <v>0</v>
      </c>
      <c r="F3444">
        <v>0.486009999999998</v>
      </c>
      <c r="G3444">
        <v>14.1021562389537</v>
      </c>
      <c r="H3444">
        <v>1</v>
      </c>
      <c r="I3444">
        <v>0.5234529</v>
      </c>
      <c r="J3444">
        <v>2017</v>
      </c>
      <c r="K3444">
        <v>5</v>
      </c>
      <c r="L3444">
        <v>31</v>
      </c>
      <c r="M3444" t="s">
        <v>89</v>
      </c>
      <c r="N3444">
        <v>0</v>
      </c>
      <c r="O3444">
        <v>0</v>
      </c>
    </row>
    <row r="3445" spans="1:15" x14ac:dyDescent="0.3">
      <c r="A3445">
        <v>3540</v>
      </c>
      <c r="B3445" s="34">
        <v>42887</v>
      </c>
      <c r="C3445">
        <v>1.1243000000000001</v>
      </c>
      <c r="D3445">
        <v>0</v>
      </c>
      <c r="F3445">
        <v>0.486009999999998</v>
      </c>
      <c r="G3445">
        <v>14.1021562389537</v>
      </c>
      <c r="H3445">
        <v>0</v>
      </c>
      <c r="I3445">
        <v>0.52330509999999997</v>
      </c>
      <c r="J3445">
        <v>2017</v>
      </c>
      <c r="K3445">
        <v>6</v>
      </c>
      <c r="L3445">
        <v>1</v>
      </c>
      <c r="M3445" t="s">
        <v>90</v>
      </c>
      <c r="N3445">
        <v>0</v>
      </c>
      <c r="O3445">
        <v>0</v>
      </c>
    </row>
    <row r="3446" spans="1:15" x14ac:dyDescent="0.3">
      <c r="A3446">
        <v>3541</v>
      </c>
      <c r="B3446" s="34">
        <v>42888</v>
      </c>
      <c r="C3446">
        <v>1.12121</v>
      </c>
      <c r="D3446">
        <v>0</v>
      </c>
      <c r="F3446">
        <v>0.486009999999998</v>
      </c>
      <c r="G3446">
        <v>14.1021562389537</v>
      </c>
      <c r="H3446">
        <v>1</v>
      </c>
      <c r="I3446">
        <v>0.52343969999999995</v>
      </c>
      <c r="J3446">
        <v>2017</v>
      </c>
      <c r="K3446">
        <v>6</v>
      </c>
      <c r="L3446">
        <v>2</v>
      </c>
      <c r="M3446" t="s">
        <v>91</v>
      </c>
      <c r="N3446">
        <v>0</v>
      </c>
      <c r="O3446">
        <v>0</v>
      </c>
    </row>
    <row r="3447" spans="1:15" x14ac:dyDescent="0.3">
      <c r="A3447">
        <v>3542</v>
      </c>
      <c r="B3447" s="34">
        <v>42891</v>
      </c>
      <c r="C3447">
        <v>1.12784</v>
      </c>
      <c r="D3447">
        <v>0</v>
      </c>
      <c r="F3447">
        <v>0.486009999999998</v>
      </c>
      <c r="G3447">
        <v>14.1021562389537</v>
      </c>
      <c r="H3447">
        <v>0</v>
      </c>
      <c r="I3447">
        <v>0.52329190000000003</v>
      </c>
      <c r="J3447">
        <v>2017</v>
      </c>
      <c r="K3447">
        <v>6</v>
      </c>
      <c r="L3447">
        <v>5</v>
      </c>
      <c r="M3447" t="s">
        <v>92</v>
      </c>
      <c r="N3447">
        <v>0</v>
      </c>
      <c r="O3447">
        <v>0</v>
      </c>
    </row>
    <row r="3448" spans="1:15" x14ac:dyDescent="0.3">
      <c r="A3448">
        <v>3543</v>
      </c>
      <c r="B3448" s="34">
        <v>42892</v>
      </c>
      <c r="C3448">
        <v>1.1253599999999999</v>
      </c>
      <c r="D3448">
        <v>0</v>
      </c>
      <c r="F3448">
        <v>0.486009999999998</v>
      </c>
      <c r="G3448">
        <v>14.1021562389537</v>
      </c>
      <c r="H3448">
        <v>1</v>
      </c>
      <c r="I3448">
        <v>0.52342650000000002</v>
      </c>
      <c r="J3448">
        <v>2017</v>
      </c>
      <c r="K3448">
        <v>6</v>
      </c>
      <c r="L3448">
        <v>6</v>
      </c>
      <c r="M3448" t="s">
        <v>93</v>
      </c>
      <c r="N3448">
        <v>0</v>
      </c>
      <c r="O3448">
        <v>0</v>
      </c>
    </row>
    <row r="3449" spans="1:15" x14ac:dyDescent="0.3">
      <c r="A3449">
        <v>3544</v>
      </c>
      <c r="B3449" s="34">
        <v>42893</v>
      </c>
      <c r="C3449">
        <v>1.12764</v>
      </c>
      <c r="D3449">
        <v>0</v>
      </c>
      <c r="F3449">
        <v>0.486009999999998</v>
      </c>
      <c r="G3449">
        <v>14.1021562389537</v>
      </c>
      <c r="H3449">
        <v>0</v>
      </c>
      <c r="I3449">
        <v>0.52327880000000004</v>
      </c>
      <c r="J3449">
        <v>2017</v>
      </c>
      <c r="K3449">
        <v>6</v>
      </c>
      <c r="L3449">
        <v>7</v>
      </c>
      <c r="M3449" t="s">
        <v>89</v>
      </c>
      <c r="N3449">
        <v>0</v>
      </c>
      <c r="O3449">
        <v>0</v>
      </c>
    </row>
    <row r="3450" spans="1:15" x14ac:dyDescent="0.3">
      <c r="A3450">
        <v>3545</v>
      </c>
      <c r="B3450" s="34">
        <v>42894</v>
      </c>
      <c r="C3450">
        <v>1.1256299999999999</v>
      </c>
      <c r="D3450">
        <v>0</v>
      </c>
      <c r="F3450">
        <v>0.486009999999998</v>
      </c>
      <c r="G3450">
        <v>14.1021562389537</v>
      </c>
      <c r="H3450">
        <v>1</v>
      </c>
      <c r="I3450">
        <v>0.52341320000000002</v>
      </c>
      <c r="J3450">
        <v>2017</v>
      </c>
      <c r="K3450">
        <v>6</v>
      </c>
      <c r="L3450">
        <v>8</v>
      </c>
      <c r="M3450" t="s">
        <v>90</v>
      </c>
      <c r="N3450">
        <v>0</v>
      </c>
      <c r="O3450">
        <v>0</v>
      </c>
    </row>
    <row r="3451" spans="1:15" x14ac:dyDescent="0.3">
      <c r="A3451">
        <v>3546</v>
      </c>
      <c r="B3451" s="34">
        <v>42895</v>
      </c>
      <c r="C3451">
        <v>1.1212200000000001</v>
      </c>
      <c r="D3451">
        <v>0</v>
      </c>
      <c r="F3451">
        <v>0.486009999999998</v>
      </c>
      <c r="G3451">
        <v>14.1021562389537</v>
      </c>
      <c r="H3451">
        <v>1</v>
      </c>
      <c r="I3451">
        <v>0.5235476</v>
      </c>
      <c r="J3451">
        <v>2017</v>
      </c>
      <c r="K3451">
        <v>6</v>
      </c>
      <c r="L3451">
        <v>9</v>
      </c>
      <c r="M3451" t="s">
        <v>91</v>
      </c>
      <c r="N3451">
        <v>0</v>
      </c>
      <c r="O3451">
        <v>0</v>
      </c>
    </row>
    <row r="3452" spans="1:15" x14ac:dyDescent="0.3">
      <c r="A3452">
        <v>3547</v>
      </c>
      <c r="B3452" s="34">
        <v>42898</v>
      </c>
      <c r="C3452">
        <v>1.1193500000000001</v>
      </c>
      <c r="D3452">
        <v>0</v>
      </c>
      <c r="F3452">
        <v>0.486009999999998</v>
      </c>
      <c r="G3452">
        <v>14.1021562389537</v>
      </c>
      <c r="H3452">
        <v>0</v>
      </c>
      <c r="I3452">
        <v>0.52340010000000003</v>
      </c>
      <c r="J3452">
        <v>2017</v>
      </c>
      <c r="K3452">
        <v>6</v>
      </c>
      <c r="L3452">
        <v>12</v>
      </c>
      <c r="M3452" t="s">
        <v>92</v>
      </c>
      <c r="N3452">
        <v>0</v>
      </c>
      <c r="O3452">
        <v>0</v>
      </c>
    </row>
    <row r="3453" spans="1:15" x14ac:dyDescent="0.3">
      <c r="A3453">
        <v>3548</v>
      </c>
      <c r="B3453" s="34">
        <v>42899</v>
      </c>
      <c r="C3453">
        <v>1.12039</v>
      </c>
      <c r="D3453">
        <v>0</v>
      </c>
      <c r="F3453">
        <v>0.486009999999998</v>
      </c>
      <c r="G3453">
        <v>14.1021562389537</v>
      </c>
      <c r="H3453">
        <v>1</v>
      </c>
      <c r="I3453">
        <v>0.52353439999999996</v>
      </c>
      <c r="J3453">
        <v>2017</v>
      </c>
      <c r="K3453">
        <v>6</v>
      </c>
      <c r="L3453">
        <v>13</v>
      </c>
      <c r="M3453" t="s">
        <v>93</v>
      </c>
      <c r="N3453">
        <v>0</v>
      </c>
      <c r="O3453">
        <v>0</v>
      </c>
    </row>
    <row r="3454" spans="1:15" x14ac:dyDescent="0.3">
      <c r="A3454">
        <v>3549</v>
      </c>
      <c r="B3454" s="34">
        <v>42900</v>
      </c>
      <c r="C3454">
        <v>1.121</v>
      </c>
      <c r="D3454">
        <v>0</v>
      </c>
      <c r="F3454">
        <v>0.486009999999998</v>
      </c>
      <c r="G3454">
        <v>14.1021562389537</v>
      </c>
      <c r="H3454">
        <v>1</v>
      </c>
      <c r="I3454">
        <v>0.52366860000000004</v>
      </c>
      <c r="J3454">
        <v>2017</v>
      </c>
      <c r="K3454">
        <v>6</v>
      </c>
      <c r="L3454">
        <v>14</v>
      </c>
      <c r="M3454" t="s">
        <v>89</v>
      </c>
      <c r="N3454">
        <v>0</v>
      </c>
      <c r="O3454">
        <v>0</v>
      </c>
    </row>
    <row r="3455" spans="1:15" x14ac:dyDescent="0.3">
      <c r="A3455">
        <v>3550</v>
      </c>
      <c r="B3455" s="34">
        <v>42901</v>
      </c>
      <c r="C3455">
        <v>1.1217299999999999</v>
      </c>
      <c r="D3455">
        <v>-7</v>
      </c>
      <c r="F3455">
        <v>0.49324999999999702</v>
      </c>
      <c r="G3455">
        <v>12.8225521385649</v>
      </c>
      <c r="H3455">
        <v>0</v>
      </c>
      <c r="I3455">
        <v>0.52352109999999996</v>
      </c>
      <c r="J3455">
        <v>2017</v>
      </c>
      <c r="K3455">
        <v>6</v>
      </c>
      <c r="L3455">
        <v>15</v>
      </c>
      <c r="M3455" t="s">
        <v>90</v>
      </c>
      <c r="N3455">
        <v>0</v>
      </c>
      <c r="O3455">
        <v>0</v>
      </c>
    </row>
    <row r="3456" spans="1:15" x14ac:dyDescent="0.3">
      <c r="A3456">
        <v>3551</v>
      </c>
      <c r="B3456" s="34">
        <v>42902</v>
      </c>
      <c r="C3456">
        <v>1.11449</v>
      </c>
      <c r="D3456">
        <v>0</v>
      </c>
      <c r="F3456">
        <v>0.49324999999999702</v>
      </c>
      <c r="G3456">
        <v>12.8225521385649</v>
      </c>
      <c r="H3456">
        <v>1</v>
      </c>
      <c r="I3456">
        <v>0.52365530000000005</v>
      </c>
      <c r="J3456">
        <v>2017</v>
      </c>
      <c r="K3456">
        <v>6</v>
      </c>
      <c r="L3456">
        <v>16</v>
      </c>
      <c r="M3456" t="s">
        <v>91</v>
      </c>
      <c r="N3456">
        <v>0</v>
      </c>
      <c r="O3456">
        <v>0</v>
      </c>
    </row>
    <row r="3457" spans="1:15" x14ac:dyDescent="0.3">
      <c r="A3457">
        <v>3552</v>
      </c>
      <c r="B3457" s="34">
        <v>42905</v>
      </c>
      <c r="C3457">
        <v>1.11961</v>
      </c>
      <c r="D3457">
        <v>0</v>
      </c>
      <c r="F3457">
        <v>0.49324999999999702</v>
      </c>
      <c r="G3457">
        <v>12.8225521385649</v>
      </c>
      <c r="H3457">
        <v>1</v>
      </c>
      <c r="I3457">
        <v>0.52378939999999996</v>
      </c>
      <c r="J3457">
        <v>2017</v>
      </c>
      <c r="K3457">
        <v>6</v>
      </c>
      <c r="L3457">
        <v>19</v>
      </c>
      <c r="M3457" t="s">
        <v>92</v>
      </c>
      <c r="N3457">
        <v>0</v>
      </c>
      <c r="O3457">
        <v>0</v>
      </c>
    </row>
    <row r="3458" spans="1:15" x14ac:dyDescent="0.3">
      <c r="A3458">
        <v>3553</v>
      </c>
      <c r="B3458" s="34">
        <v>42906</v>
      </c>
      <c r="C3458">
        <v>1.11476</v>
      </c>
      <c r="D3458">
        <v>0</v>
      </c>
      <c r="F3458">
        <v>0.49324999999999702</v>
      </c>
      <c r="G3458">
        <v>12.8225521385649</v>
      </c>
      <c r="H3458">
        <v>0</v>
      </c>
      <c r="I3458">
        <v>0.52364200000000005</v>
      </c>
      <c r="J3458">
        <v>2017</v>
      </c>
      <c r="K3458">
        <v>6</v>
      </c>
      <c r="L3458">
        <v>20</v>
      </c>
      <c r="M3458" t="s">
        <v>93</v>
      </c>
      <c r="N3458">
        <v>0</v>
      </c>
      <c r="O3458">
        <v>0</v>
      </c>
    </row>
    <row r="3459" spans="1:15" x14ac:dyDescent="0.3">
      <c r="A3459">
        <v>3554</v>
      </c>
      <c r="B3459" s="34">
        <v>42907</v>
      </c>
      <c r="C3459">
        <v>1.11337</v>
      </c>
      <c r="D3459">
        <v>0</v>
      </c>
      <c r="F3459">
        <v>0.49324999999999702</v>
      </c>
      <c r="G3459">
        <v>12.8225521385649</v>
      </c>
      <c r="H3459">
        <v>0</v>
      </c>
      <c r="I3459">
        <v>0.52349469999999998</v>
      </c>
      <c r="J3459">
        <v>2017</v>
      </c>
      <c r="K3459">
        <v>6</v>
      </c>
      <c r="L3459">
        <v>21</v>
      </c>
      <c r="M3459" t="s">
        <v>89</v>
      </c>
      <c r="N3459">
        <v>0</v>
      </c>
      <c r="O3459">
        <v>0</v>
      </c>
    </row>
    <row r="3460" spans="1:15" x14ac:dyDescent="0.3">
      <c r="A3460">
        <v>3555</v>
      </c>
      <c r="B3460" s="34">
        <v>42908</v>
      </c>
      <c r="C3460">
        <v>1.1168199999999999</v>
      </c>
      <c r="D3460">
        <v>0</v>
      </c>
      <c r="F3460">
        <v>0.49324999999999702</v>
      </c>
      <c r="G3460">
        <v>12.8225521385649</v>
      </c>
      <c r="H3460">
        <v>1</v>
      </c>
      <c r="I3460">
        <v>0.52362869999999995</v>
      </c>
      <c r="J3460">
        <v>2017</v>
      </c>
      <c r="K3460">
        <v>6</v>
      </c>
      <c r="L3460">
        <v>22</v>
      </c>
      <c r="M3460" t="s">
        <v>90</v>
      </c>
      <c r="N3460">
        <v>0</v>
      </c>
      <c r="O3460">
        <v>0</v>
      </c>
    </row>
    <row r="3461" spans="1:15" x14ac:dyDescent="0.3">
      <c r="A3461">
        <v>3556</v>
      </c>
      <c r="B3461" s="34">
        <v>42909</v>
      </c>
      <c r="C3461">
        <v>1.1150899999999999</v>
      </c>
      <c r="D3461">
        <v>0</v>
      </c>
      <c r="F3461">
        <v>0.49324999999999702</v>
      </c>
      <c r="G3461">
        <v>12.8225521385649</v>
      </c>
      <c r="H3461">
        <v>1</v>
      </c>
      <c r="I3461">
        <v>0.52376259999999997</v>
      </c>
      <c r="J3461">
        <v>2017</v>
      </c>
      <c r="K3461">
        <v>6</v>
      </c>
      <c r="L3461">
        <v>23</v>
      </c>
      <c r="M3461" t="s">
        <v>91</v>
      </c>
      <c r="N3461">
        <v>0</v>
      </c>
      <c r="O3461">
        <v>0</v>
      </c>
    </row>
    <row r="3462" spans="1:15" x14ac:dyDescent="0.3">
      <c r="A3462">
        <v>3557</v>
      </c>
      <c r="B3462" s="34">
        <v>42912</v>
      </c>
      <c r="C3462">
        <v>1.1192800000000001</v>
      </c>
      <c r="D3462">
        <v>0</v>
      </c>
      <c r="F3462">
        <v>0.49324999999999702</v>
      </c>
      <c r="G3462">
        <v>12.8225521385649</v>
      </c>
      <c r="H3462">
        <v>1</v>
      </c>
      <c r="I3462">
        <v>0.52389649999999999</v>
      </c>
      <c r="J3462">
        <v>2017</v>
      </c>
      <c r="K3462">
        <v>6</v>
      </c>
      <c r="L3462">
        <v>26</v>
      </c>
      <c r="M3462" t="s">
        <v>92</v>
      </c>
      <c r="N3462">
        <v>0</v>
      </c>
      <c r="O3462">
        <v>0</v>
      </c>
    </row>
    <row r="3463" spans="1:15" x14ac:dyDescent="0.3">
      <c r="A3463">
        <v>3558</v>
      </c>
      <c r="B3463" s="34">
        <v>42913</v>
      </c>
      <c r="C3463">
        <v>1.1181000000000001</v>
      </c>
      <c r="D3463">
        <v>0</v>
      </c>
      <c r="F3463">
        <v>0.49324999999999702</v>
      </c>
      <c r="G3463">
        <v>12.8225521385649</v>
      </c>
      <c r="H3463">
        <v>1</v>
      </c>
      <c r="I3463">
        <v>0.52403029999999995</v>
      </c>
      <c r="J3463">
        <v>2017</v>
      </c>
      <c r="K3463">
        <v>6</v>
      </c>
      <c r="L3463">
        <v>27</v>
      </c>
      <c r="M3463" t="s">
        <v>93</v>
      </c>
      <c r="N3463">
        <v>0</v>
      </c>
      <c r="O3463">
        <v>0</v>
      </c>
    </row>
    <row r="3464" spans="1:15" x14ac:dyDescent="0.3">
      <c r="A3464">
        <v>3559</v>
      </c>
      <c r="B3464" s="34">
        <v>42914</v>
      </c>
      <c r="C3464">
        <v>1.1337900000000001</v>
      </c>
      <c r="D3464">
        <v>-1</v>
      </c>
      <c r="F3464">
        <v>0.48941999999999702</v>
      </c>
      <c r="G3464">
        <v>13.4994697773065</v>
      </c>
      <c r="H3464">
        <v>0</v>
      </c>
      <c r="I3464">
        <v>0.52388310000000005</v>
      </c>
      <c r="J3464">
        <v>2017</v>
      </c>
      <c r="K3464">
        <v>6</v>
      </c>
      <c r="L3464">
        <v>28</v>
      </c>
      <c r="M3464" t="s">
        <v>89</v>
      </c>
      <c r="N3464">
        <v>0</v>
      </c>
      <c r="O3464">
        <v>0</v>
      </c>
    </row>
    <row r="3465" spans="1:15" x14ac:dyDescent="0.3">
      <c r="A3465">
        <v>3560</v>
      </c>
      <c r="B3465" s="34">
        <v>42915</v>
      </c>
      <c r="C3465">
        <v>1.1376200000000001</v>
      </c>
      <c r="D3465">
        <v>0</v>
      </c>
      <c r="F3465">
        <v>0.48941999999999702</v>
      </c>
      <c r="G3465">
        <v>13.4994697773065</v>
      </c>
      <c r="H3465">
        <v>0</v>
      </c>
      <c r="I3465">
        <v>0.52373590000000003</v>
      </c>
      <c r="J3465">
        <v>2017</v>
      </c>
      <c r="K3465">
        <v>6</v>
      </c>
      <c r="L3465">
        <v>29</v>
      </c>
      <c r="M3465" t="s">
        <v>90</v>
      </c>
      <c r="N3465">
        <v>0</v>
      </c>
      <c r="O3465">
        <v>0</v>
      </c>
    </row>
    <row r="3466" spans="1:15" x14ac:dyDescent="0.3">
      <c r="A3466">
        <v>3561</v>
      </c>
      <c r="B3466" s="34">
        <v>42916</v>
      </c>
      <c r="C3466">
        <v>1.1439600000000001</v>
      </c>
      <c r="D3466">
        <v>0</v>
      </c>
      <c r="F3466">
        <v>0.48941999999999702</v>
      </c>
      <c r="G3466">
        <v>13.4994697773065</v>
      </c>
      <c r="H3466">
        <v>0</v>
      </c>
      <c r="I3466">
        <v>0.52358890000000002</v>
      </c>
      <c r="J3466">
        <v>2017</v>
      </c>
      <c r="K3466">
        <v>6</v>
      </c>
      <c r="L3466">
        <v>30</v>
      </c>
      <c r="M3466" t="s">
        <v>91</v>
      </c>
      <c r="N3466">
        <v>0</v>
      </c>
      <c r="O3466">
        <v>0</v>
      </c>
    </row>
    <row r="3467" spans="1:15" x14ac:dyDescent="0.3">
      <c r="A3467">
        <v>3562</v>
      </c>
      <c r="B3467" s="34">
        <v>42919</v>
      </c>
      <c r="C3467">
        <v>1.1425399999999999</v>
      </c>
      <c r="D3467">
        <v>0</v>
      </c>
      <c r="F3467">
        <v>0.48941999999999702</v>
      </c>
      <c r="G3467">
        <v>13.4994697773065</v>
      </c>
      <c r="H3467">
        <v>1</v>
      </c>
      <c r="I3467">
        <v>0.52372260000000004</v>
      </c>
      <c r="J3467">
        <v>2017</v>
      </c>
      <c r="K3467">
        <v>7</v>
      </c>
      <c r="L3467">
        <v>3</v>
      </c>
      <c r="M3467" t="s">
        <v>92</v>
      </c>
      <c r="N3467">
        <v>0</v>
      </c>
      <c r="O3467">
        <v>0</v>
      </c>
    </row>
    <row r="3468" spans="1:15" x14ac:dyDescent="0.3">
      <c r="A3468">
        <v>3563</v>
      </c>
      <c r="B3468" s="34">
        <v>42920</v>
      </c>
      <c r="C3468">
        <v>1.1364099999999999</v>
      </c>
      <c r="D3468">
        <v>0</v>
      </c>
      <c r="F3468">
        <v>0.48941999999999702</v>
      </c>
      <c r="G3468">
        <v>13.4994697773065</v>
      </c>
      <c r="H3468">
        <v>1</v>
      </c>
      <c r="I3468">
        <v>0.52385630000000005</v>
      </c>
      <c r="J3468">
        <v>2017</v>
      </c>
      <c r="K3468">
        <v>7</v>
      </c>
      <c r="L3468">
        <v>4</v>
      </c>
      <c r="M3468" t="s">
        <v>93</v>
      </c>
      <c r="N3468">
        <v>0</v>
      </c>
      <c r="O3468">
        <v>0</v>
      </c>
    </row>
    <row r="3469" spans="1:15" x14ac:dyDescent="0.3">
      <c r="A3469">
        <v>3564</v>
      </c>
      <c r="B3469" s="34">
        <v>42921</v>
      </c>
      <c r="C3469">
        <v>1.1343799999999999</v>
      </c>
      <c r="D3469">
        <v>0</v>
      </c>
      <c r="F3469">
        <v>0.48941999999999702</v>
      </c>
      <c r="G3469">
        <v>13.4994697773065</v>
      </c>
      <c r="H3469">
        <v>1</v>
      </c>
      <c r="I3469">
        <v>0.52398990000000001</v>
      </c>
      <c r="J3469">
        <v>2017</v>
      </c>
      <c r="K3469">
        <v>7</v>
      </c>
      <c r="L3469">
        <v>5</v>
      </c>
      <c r="M3469" t="s">
        <v>89</v>
      </c>
      <c r="N3469">
        <v>0</v>
      </c>
      <c r="O3469">
        <v>0</v>
      </c>
    </row>
    <row r="3470" spans="1:15" x14ac:dyDescent="0.3">
      <c r="A3470">
        <v>3565</v>
      </c>
      <c r="B3470" s="34">
        <v>42922</v>
      </c>
      <c r="C3470">
        <v>1.1349499999999999</v>
      </c>
      <c r="D3470">
        <v>0</v>
      </c>
      <c r="F3470">
        <v>0.48941999999999702</v>
      </c>
      <c r="G3470">
        <v>13.4994697773065</v>
      </c>
      <c r="H3470">
        <v>0</v>
      </c>
      <c r="I3470">
        <v>0.5238429</v>
      </c>
      <c r="J3470">
        <v>2017</v>
      </c>
      <c r="K3470">
        <v>7</v>
      </c>
      <c r="L3470">
        <v>6</v>
      </c>
      <c r="M3470" t="s">
        <v>90</v>
      </c>
      <c r="N3470">
        <v>0</v>
      </c>
      <c r="O3470">
        <v>0</v>
      </c>
    </row>
    <row r="3471" spans="1:15" x14ac:dyDescent="0.3">
      <c r="A3471">
        <v>3566</v>
      </c>
      <c r="B3471" s="34">
        <v>42923</v>
      </c>
      <c r="C3471">
        <v>1.1421600000000001</v>
      </c>
      <c r="D3471">
        <v>0</v>
      </c>
      <c r="F3471">
        <v>0.48941999999999702</v>
      </c>
      <c r="G3471">
        <v>13.4994697773065</v>
      </c>
      <c r="H3471">
        <v>0</v>
      </c>
      <c r="I3471">
        <v>0.52369600000000005</v>
      </c>
      <c r="J3471">
        <v>2017</v>
      </c>
      <c r="K3471">
        <v>7</v>
      </c>
      <c r="L3471">
        <v>7</v>
      </c>
      <c r="M3471" t="s">
        <v>91</v>
      </c>
      <c r="N3471">
        <v>0</v>
      </c>
      <c r="O3471">
        <v>0</v>
      </c>
    </row>
    <row r="3472" spans="1:15" x14ac:dyDescent="0.3">
      <c r="A3472">
        <v>3567</v>
      </c>
      <c r="B3472" s="34">
        <v>42926</v>
      </c>
      <c r="C3472">
        <v>1.13954</v>
      </c>
      <c r="D3472">
        <v>0</v>
      </c>
      <c r="F3472">
        <v>0.48941999999999702</v>
      </c>
      <c r="G3472">
        <v>13.4994697773065</v>
      </c>
      <c r="H3472">
        <v>1</v>
      </c>
      <c r="I3472">
        <v>0.52382949999999995</v>
      </c>
      <c r="J3472">
        <v>2017</v>
      </c>
      <c r="K3472">
        <v>7</v>
      </c>
      <c r="L3472">
        <v>10</v>
      </c>
      <c r="M3472" t="s">
        <v>92</v>
      </c>
      <c r="N3472">
        <v>0</v>
      </c>
      <c r="O3472">
        <v>0</v>
      </c>
    </row>
    <row r="3473" spans="1:15" x14ac:dyDescent="0.3">
      <c r="A3473">
        <v>3568</v>
      </c>
      <c r="B3473" s="34">
        <v>42927</v>
      </c>
      <c r="C3473">
        <v>1.13985</v>
      </c>
      <c r="D3473">
        <v>0</v>
      </c>
      <c r="F3473">
        <v>0.48941999999999702</v>
      </c>
      <c r="G3473">
        <v>13.4994697773065</v>
      </c>
      <c r="H3473">
        <v>0</v>
      </c>
      <c r="I3473">
        <v>0.52368269999999995</v>
      </c>
      <c r="J3473">
        <v>2017</v>
      </c>
      <c r="K3473">
        <v>7</v>
      </c>
      <c r="L3473">
        <v>11</v>
      </c>
      <c r="M3473" t="s">
        <v>93</v>
      </c>
      <c r="N3473">
        <v>0</v>
      </c>
      <c r="O3473">
        <v>0</v>
      </c>
    </row>
    <row r="3474" spans="1:15" x14ac:dyDescent="0.3">
      <c r="A3474">
        <v>3569</v>
      </c>
      <c r="B3474" s="34">
        <v>42928</v>
      </c>
      <c r="C3474">
        <v>1.14659</v>
      </c>
      <c r="D3474">
        <v>0</v>
      </c>
      <c r="F3474">
        <v>0.48941999999999702</v>
      </c>
      <c r="G3474">
        <v>13.4994697773065</v>
      </c>
      <c r="H3474">
        <v>0</v>
      </c>
      <c r="I3474">
        <v>0.523536</v>
      </c>
      <c r="J3474">
        <v>2017</v>
      </c>
      <c r="K3474">
        <v>7</v>
      </c>
      <c r="L3474">
        <v>12</v>
      </c>
      <c r="M3474" t="s">
        <v>89</v>
      </c>
      <c r="N3474">
        <v>0</v>
      </c>
      <c r="O3474">
        <v>0</v>
      </c>
    </row>
    <row r="3475" spans="1:15" x14ac:dyDescent="0.3">
      <c r="A3475">
        <v>3570</v>
      </c>
      <c r="B3475" s="34">
        <v>42929</v>
      </c>
      <c r="C3475">
        <v>1.14127</v>
      </c>
      <c r="D3475">
        <v>0</v>
      </c>
      <c r="F3475">
        <v>0.48941999999999702</v>
      </c>
      <c r="G3475">
        <v>13.4994697773065</v>
      </c>
      <c r="H3475">
        <v>1</v>
      </c>
      <c r="I3475">
        <v>0.52366950000000001</v>
      </c>
      <c r="J3475">
        <v>2017</v>
      </c>
      <c r="K3475">
        <v>7</v>
      </c>
      <c r="L3475">
        <v>13</v>
      </c>
      <c r="M3475" t="s">
        <v>90</v>
      </c>
      <c r="N3475">
        <v>0</v>
      </c>
      <c r="O3475">
        <v>0</v>
      </c>
    </row>
    <row r="3476" spans="1:15" x14ac:dyDescent="0.3">
      <c r="A3476">
        <v>3571</v>
      </c>
      <c r="B3476" s="34">
        <v>42930</v>
      </c>
      <c r="C3476">
        <v>1.1396599999999999</v>
      </c>
      <c r="D3476">
        <v>0</v>
      </c>
      <c r="F3476">
        <v>0.48941999999999702</v>
      </c>
      <c r="G3476">
        <v>13.4994697773065</v>
      </c>
      <c r="H3476">
        <v>0</v>
      </c>
      <c r="I3476">
        <v>0.52352279999999995</v>
      </c>
      <c r="J3476">
        <v>2017</v>
      </c>
      <c r="K3476">
        <v>7</v>
      </c>
      <c r="L3476">
        <v>14</v>
      </c>
      <c r="M3476" t="s">
        <v>91</v>
      </c>
      <c r="N3476">
        <v>0</v>
      </c>
      <c r="O3476">
        <v>0</v>
      </c>
    </row>
    <row r="3477" spans="1:15" x14ac:dyDescent="0.3">
      <c r="A3477">
        <v>3572</v>
      </c>
      <c r="B3477" s="34">
        <v>42933</v>
      </c>
      <c r="C3477">
        <v>1.14666</v>
      </c>
      <c r="D3477">
        <v>0</v>
      </c>
      <c r="F3477">
        <v>0.48941999999999702</v>
      </c>
      <c r="G3477">
        <v>13.4994697773065</v>
      </c>
      <c r="H3477">
        <v>1</v>
      </c>
      <c r="I3477">
        <v>0.52365620000000002</v>
      </c>
      <c r="J3477">
        <v>2017</v>
      </c>
      <c r="K3477">
        <v>7</v>
      </c>
      <c r="L3477">
        <v>17</v>
      </c>
      <c r="M3477" t="s">
        <v>92</v>
      </c>
      <c r="N3477">
        <v>0</v>
      </c>
      <c r="O3477">
        <v>0</v>
      </c>
    </row>
    <row r="3478" spans="1:15" x14ac:dyDescent="0.3">
      <c r="A3478">
        <v>3573</v>
      </c>
      <c r="B3478" s="34">
        <v>42934</v>
      </c>
      <c r="C3478">
        <v>1.14777</v>
      </c>
      <c r="D3478">
        <v>0</v>
      </c>
      <c r="F3478">
        <v>0.48941999999999702</v>
      </c>
      <c r="G3478">
        <v>13.4994697773065</v>
      </c>
      <c r="H3478">
        <v>0</v>
      </c>
      <c r="I3478">
        <v>0.52350969999999997</v>
      </c>
      <c r="J3478">
        <v>2017</v>
      </c>
      <c r="K3478">
        <v>7</v>
      </c>
      <c r="L3478">
        <v>18</v>
      </c>
      <c r="M3478" t="s">
        <v>93</v>
      </c>
      <c r="N3478">
        <v>0</v>
      </c>
      <c r="O3478">
        <v>0</v>
      </c>
    </row>
    <row r="3479" spans="1:15" x14ac:dyDescent="0.3">
      <c r="A3479">
        <v>3574</v>
      </c>
      <c r="B3479" s="34">
        <v>42935</v>
      </c>
      <c r="C3479">
        <v>1.1553800000000001</v>
      </c>
      <c r="D3479">
        <v>0</v>
      </c>
      <c r="F3479">
        <v>0.48941999999999702</v>
      </c>
      <c r="G3479">
        <v>13.4994697773065</v>
      </c>
      <c r="H3479">
        <v>0</v>
      </c>
      <c r="I3479">
        <v>0.52336320000000003</v>
      </c>
      <c r="J3479">
        <v>2017</v>
      </c>
      <c r="K3479">
        <v>7</v>
      </c>
      <c r="L3479">
        <v>19</v>
      </c>
      <c r="M3479" t="s">
        <v>89</v>
      </c>
      <c r="N3479">
        <v>0</v>
      </c>
      <c r="O3479">
        <v>0</v>
      </c>
    </row>
    <row r="3480" spans="1:15" x14ac:dyDescent="0.3">
      <c r="A3480">
        <v>3575</v>
      </c>
      <c r="B3480" s="34">
        <v>42936</v>
      </c>
      <c r="C3480">
        <v>1.1515200000000001</v>
      </c>
      <c r="D3480">
        <v>0</v>
      </c>
      <c r="F3480">
        <v>0.48941999999999702</v>
      </c>
      <c r="G3480">
        <v>13.4994697773065</v>
      </c>
      <c r="H3480">
        <v>1</v>
      </c>
      <c r="I3480">
        <v>0.52349650000000003</v>
      </c>
      <c r="J3480">
        <v>2017</v>
      </c>
      <c r="K3480">
        <v>7</v>
      </c>
      <c r="L3480">
        <v>20</v>
      </c>
      <c r="M3480" t="s">
        <v>90</v>
      </c>
      <c r="N3480">
        <v>0</v>
      </c>
      <c r="O3480">
        <v>0</v>
      </c>
    </row>
    <row r="3481" spans="1:15" x14ac:dyDescent="0.3">
      <c r="A3481">
        <v>3576</v>
      </c>
      <c r="B3481" s="34">
        <v>42937</v>
      </c>
      <c r="C3481">
        <v>1.16303</v>
      </c>
      <c r="D3481">
        <v>0</v>
      </c>
      <c r="F3481">
        <v>0.48941999999999702</v>
      </c>
      <c r="G3481">
        <v>13.4994697773065</v>
      </c>
      <c r="H3481">
        <v>0</v>
      </c>
      <c r="I3481">
        <v>0.52335010000000004</v>
      </c>
      <c r="J3481">
        <v>2017</v>
      </c>
      <c r="K3481">
        <v>7</v>
      </c>
      <c r="L3481">
        <v>21</v>
      </c>
      <c r="M3481" t="s">
        <v>91</v>
      </c>
      <c r="N3481">
        <v>0</v>
      </c>
      <c r="O3481">
        <v>0</v>
      </c>
    </row>
    <row r="3482" spans="1:15" x14ac:dyDescent="0.3">
      <c r="A3482">
        <v>3577</v>
      </c>
      <c r="B3482" s="34">
        <v>42940</v>
      </c>
      <c r="C3482">
        <v>1.1662300000000001</v>
      </c>
      <c r="D3482">
        <v>0</v>
      </c>
      <c r="F3482">
        <v>0.48941999999999702</v>
      </c>
      <c r="G3482">
        <v>13.4994697773065</v>
      </c>
      <c r="H3482">
        <v>0</v>
      </c>
      <c r="I3482">
        <v>0.5232038</v>
      </c>
      <c r="J3482">
        <v>2017</v>
      </c>
      <c r="K3482">
        <v>7</v>
      </c>
      <c r="L3482">
        <v>24</v>
      </c>
      <c r="M3482" t="s">
        <v>92</v>
      </c>
      <c r="N3482">
        <v>0</v>
      </c>
      <c r="O3482">
        <v>0</v>
      </c>
    </row>
    <row r="3483" spans="1:15" x14ac:dyDescent="0.3">
      <c r="A3483">
        <v>3578</v>
      </c>
      <c r="B3483" s="34">
        <v>42941</v>
      </c>
      <c r="C3483">
        <v>1.1641699999999999</v>
      </c>
      <c r="D3483">
        <v>0</v>
      </c>
      <c r="F3483">
        <v>0.48941999999999702</v>
      </c>
      <c r="G3483">
        <v>13.4994697773065</v>
      </c>
      <c r="H3483">
        <v>1</v>
      </c>
      <c r="I3483">
        <v>0.5233371</v>
      </c>
      <c r="J3483">
        <v>2017</v>
      </c>
      <c r="K3483">
        <v>7</v>
      </c>
      <c r="L3483">
        <v>25</v>
      </c>
      <c r="M3483" t="s">
        <v>93</v>
      </c>
      <c r="N3483">
        <v>0</v>
      </c>
      <c r="O3483">
        <v>0</v>
      </c>
    </row>
    <row r="3484" spans="1:15" x14ac:dyDescent="0.3">
      <c r="A3484">
        <v>3579</v>
      </c>
      <c r="B3484" s="34">
        <v>42942</v>
      </c>
      <c r="C3484">
        <v>1.1646399999999999</v>
      </c>
      <c r="D3484">
        <v>0</v>
      </c>
      <c r="F3484">
        <v>0.48941999999999702</v>
      </c>
      <c r="G3484">
        <v>13.4994697773065</v>
      </c>
      <c r="H3484">
        <v>0</v>
      </c>
      <c r="I3484">
        <v>0.52319090000000001</v>
      </c>
      <c r="J3484">
        <v>2017</v>
      </c>
      <c r="K3484">
        <v>7</v>
      </c>
      <c r="L3484">
        <v>26</v>
      </c>
      <c r="M3484" t="s">
        <v>89</v>
      </c>
      <c r="N3484">
        <v>0</v>
      </c>
      <c r="O3484">
        <v>0</v>
      </c>
    </row>
    <row r="3485" spans="1:15" x14ac:dyDescent="0.3">
      <c r="A3485">
        <v>3580</v>
      </c>
      <c r="B3485" s="34">
        <v>42943</v>
      </c>
      <c r="C3485">
        <v>1.17262</v>
      </c>
      <c r="D3485">
        <v>0</v>
      </c>
      <c r="F3485">
        <v>0.48941999999999702</v>
      </c>
      <c r="G3485">
        <v>13.4994697773065</v>
      </c>
      <c r="H3485">
        <v>0</v>
      </c>
      <c r="I3485">
        <v>0.52304470000000003</v>
      </c>
      <c r="J3485">
        <v>2017</v>
      </c>
      <c r="K3485">
        <v>7</v>
      </c>
      <c r="L3485">
        <v>27</v>
      </c>
      <c r="M3485" t="s">
        <v>90</v>
      </c>
      <c r="N3485">
        <v>0</v>
      </c>
      <c r="O3485">
        <v>0</v>
      </c>
    </row>
    <row r="3486" spans="1:15" x14ac:dyDescent="0.3">
      <c r="A3486">
        <v>3581</v>
      </c>
      <c r="B3486" s="34">
        <v>42944</v>
      </c>
      <c r="C3486">
        <v>1.16757</v>
      </c>
      <c r="D3486">
        <v>0</v>
      </c>
      <c r="F3486">
        <v>0.48941999999999702</v>
      </c>
      <c r="G3486">
        <v>13.4994697773065</v>
      </c>
      <c r="H3486">
        <v>1</v>
      </c>
      <c r="I3486">
        <v>0.52317789999999997</v>
      </c>
      <c r="J3486">
        <v>2017</v>
      </c>
      <c r="K3486">
        <v>7</v>
      </c>
      <c r="L3486">
        <v>28</v>
      </c>
      <c r="M3486" t="s">
        <v>91</v>
      </c>
      <c r="N3486">
        <v>0</v>
      </c>
      <c r="O3486">
        <v>0</v>
      </c>
    </row>
    <row r="3487" spans="1:15" x14ac:dyDescent="0.3">
      <c r="A3487">
        <v>3582</v>
      </c>
      <c r="B3487" s="34">
        <v>42947</v>
      </c>
      <c r="C3487">
        <v>1.1749400000000001</v>
      </c>
      <c r="D3487">
        <v>0</v>
      </c>
      <c r="F3487">
        <v>0.48941999999999702</v>
      </c>
      <c r="G3487">
        <v>13.4994697773065</v>
      </c>
      <c r="H3487">
        <v>0</v>
      </c>
      <c r="I3487">
        <v>0.52303180000000005</v>
      </c>
      <c r="J3487">
        <v>2017</v>
      </c>
      <c r="K3487">
        <v>7</v>
      </c>
      <c r="L3487">
        <v>31</v>
      </c>
      <c r="M3487" t="s">
        <v>92</v>
      </c>
      <c r="N3487">
        <v>0</v>
      </c>
      <c r="O3487">
        <v>0</v>
      </c>
    </row>
    <row r="3488" spans="1:15" x14ac:dyDescent="0.3">
      <c r="A3488">
        <v>3583</v>
      </c>
      <c r="B3488" s="34">
        <v>42948</v>
      </c>
      <c r="C3488">
        <v>1.18397</v>
      </c>
      <c r="D3488">
        <v>0</v>
      </c>
      <c r="F3488">
        <v>0.48941999999999702</v>
      </c>
      <c r="G3488">
        <v>13.4994697773065</v>
      </c>
      <c r="H3488">
        <v>0</v>
      </c>
      <c r="I3488">
        <v>0.52288590000000001</v>
      </c>
      <c r="J3488">
        <v>2017</v>
      </c>
      <c r="K3488">
        <v>8</v>
      </c>
      <c r="L3488">
        <v>1</v>
      </c>
      <c r="M3488" t="s">
        <v>93</v>
      </c>
      <c r="N3488">
        <v>0</v>
      </c>
      <c r="O3488">
        <v>0</v>
      </c>
    </row>
    <row r="3489" spans="1:15" x14ac:dyDescent="0.3">
      <c r="A3489">
        <v>3584</v>
      </c>
      <c r="B3489" s="34">
        <v>42949</v>
      </c>
      <c r="C3489">
        <v>1.18021</v>
      </c>
      <c r="D3489">
        <v>0</v>
      </c>
      <c r="F3489">
        <v>0.48941999999999702</v>
      </c>
      <c r="G3489">
        <v>13.4994697773065</v>
      </c>
      <c r="H3489">
        <v>1</v>
      </c>
      <c r="I3489">
        <v>0.52301900000000001</v>
      </c>
      <c r="J3489">
        <v>2017</v>
      </c>
      <c r="K3489">
        <v>8</v>
      </c>
      <c r="L3489">
        <v>2</v>
      </c>
      <c r="M3489" t="s">
        <v>89</v>
      </c>
      <c r="N3489">
        <v>0</v>
      </c>
      <c r="O3489">
        <v>0</v>
      </c>
    </row>
    <row r="3490" spans="1:15" x14ac:dyDescent="0.3">
      <c r="A3490">
        <v>3585</v>
      </c>
      <c r="B3490" s="34">
        <v>42950</v>
      </c>
      <c r="C3490">
        <v>1.1854499999999999</v>
      </c>
      <c r="D3490">
        <v>0</v>
      </c>
      <c r="F3490">
        <v>0.48941999999999702</v>
      </c>
      <c r="G3490">
        <v>13.4994697773065</v>
      </c>
      <c r="H3490">
        <v>0</v>
      </c>
      <c r="I3490">
        <v>0.52287309999999998</v>
      </c>
      <c r="J3490">
        <v>2017</v>
      </c>
      <c r="K3490">
        <v>8</v>
      </c>
      <c r="L3490">
        <v>3</v>
      </c>
      <c r="M3490" t="s">
        <v>90</v>
      </c>
      <c r="N3490">
        <v>0</v>
      </c>
      <c r="O3490">
        <v>0</v>
      </c>
    </row>
    <row r="3491" spans="1:15" x14ac:dyDescent="0.3">
      <c r="A3491">
        <v>3586</v>
      </c>
      <c r="B3491" s="34">
        <v>42951</v>
      </c>
      <c r="C3491">
        <v>1.18706</v>
      </c>
      <c r="D3491">
        <v>0</v>
      </c>
      <c r="F3491">
        <v>0.48941999999999702</v>
      </c>
      <c r="G3491">
        <v>13.4994697773065</v>
      </c>
      <c r="H3491">
        <v>0</v>
      </c>
      <c r="I3491">
        <v>0.52272730000000001</v>
      </c>
      <c r="J3491">
        <v>2017</v>
      </c>
      <c r="K3491">
        <v>8</v>
      </c>
      <c r="L3491">
        <v>4</v>
      </c>
      <c r="M3491" t="s">
        <v>91</v>
      </c>
      <c r="N3491">
        <v>0</v>
      </c>
      <c r="O3491">
        <v>0</v>
      </c>
    </row>
    <row r="3492" spans="1:15" x14ac:dyDescent="0.3">
      <c r="A3492">
        <v>3587</v>
      </c>
      <c r="B3492" s="34">
        <v>42954</v>
      </c>
      <c r="C3492">
        <v>1.17719</v>
      </c>
      <c r="D3492">
        <v>0</v>
      </c>
      <c r="F3492">
        <v>0.48941999999999702</v>
      </c>
      <c r="G3492">
        <v>13.4994697773065</v>
      </c>
      <c r="H3492">
        <v>1</v>
      </c>
      <c r="I3492">
        <v>0.52286029999999994</v>
      </c>
      <c r="J3492">
        <v>2017</v>
      </c>
      <c r="K3492">
        <v>8</v>
      </c>
      <c r="L3492">
        <v>7</v>
      </c>
      <c r="M3492" t="s">
        <v>92</v>
      </c>
      <c r="N3492">
        <v>0</v>
      </c>
      <c r="O3492">
        <v>0</v>
      </c>
    </row>
    <row r="3493" spans="1:15" x14ac:dyDescent="0.3">
      <c r="A3493">
        <v>3588</v>
      </c>
      <c r="B3493" s="34">
        <v>42955</v>
      </c>
      <c r="C3493">
        <v>1.1794899999999999</v>
      </c>
      <c r="D3493">
        <v>0</v>
      </c>
      <c r="F3493">
        <v>0.48941999999999702</v>
      </c>
      <c r="G3493">
        <v>13.4994697773065</v>
      </c>
      <c r="H3493">
        <v>1</v>
      </c>
      <c r="I3493">
        <v>0.52299329999999999</v>
      </c>
      <c r="J3493">
        <v>2017</v>
      </c>
      <c r="K3493">
        <v>8</v>
      </c>
      <c r="L3493">
        <v>8</v>
      </c>
      <c r="M3493" t="s">
        <v>93</v>
      </c>
      <c r="N3493">
        <v>0</v>
      </c>
      <c r="O3493">
        <v>0</v>
      </c>
    </row>
    <row r="3494" spans="1:15" x14ac:dyDescent="0.3">
      <c r="A3494">
        <v>3589</v>
      </c>
      <c r="B3494" s="34">
        <v>42956</v>
      </c>
      <c r="C3494">
        <v>1.17527</v>
      </c>
      <c r="D3494">
        <v>0</v>
      </c>
      <c r="F3494">
        <v>0.48941999999999702</v>
      </c>
      <c r="G3494">
        <v>13.4994697773065</v>
      </c>
      <c r="H3494">
        <v>0</v>
      </c>
      <c r="I3494">
        <v>0.52284759999999997</v>
      </c>
      <c r="J3494">
        <v>2017</v>
      </c>
      <c r="K3494">
        <v>8</v>
      </c>
      <c r="L3494">
        <v>9</v>
      </c>
      <c r="M3494" t="s">
        <v>89</v>
      </c>
      <c r="N3494">
        <v>0</v>
      </c>
      <c r="O3494">
        <v>0</v>
      </c>
    </row>
    <row r="3495" spans="1:15" x14ac:dyDescent="0.3">
      <c r="A3495">
        <v>3590</v>
      </c>
      <c r="B3495" s="34">
        <v>42957</v>
      </c>
      <c r="C3495">
        <v>1.17578</v>
      </c>
      <c r="D3495">
        <v>0</v>
      </c>
      <c r="F3495">
        <v>0.48941999999999702</v>
      </c>
      <c r="G3495">
        <v>13.4994697773065</v>
      </c>
      <c r="H3495">
        <v>1</v>
      </c>
      <c r="I3495">
        <v>0.52298049999999996</v>
      </c>
      <c r="J3495">
        <v>2017</v>
      </c>
      <c r="K3495">
        <v>8</v>
      </c>
      <c r="L3495">
        <v>10</v>
      </c>
      <c r="M3495" t="s">
        <v>90</v>
      </c>
      <c r="N3495">
        <v>0</v>
      </c>
      <c r="O3495">
        <v>0</v>
      </c>
    </row>
    <row r="3496" spans="1:15" x14ac:dyDescent="0.3">
      <c r="A3496">
        <v>3591</v>
      </c>
      <c r="B3496" s="34">
        <v>42958</v>
      </c>
      <c r="C3496">
        <v>1.1772499999999999</v>
      </c>
      <c r="D3496">
        <v>0</v>
      </c>
      <c r="F3496">
        <v>0.48941999999999702</v>
      </c>
      <c r="G3496">
        <v>13.4994697773065</v>
      </c>
      <c r="H3496">
        <v>1</v>
      </c>
      <c r="I3496">
        <v>0.5231133</v>
      </c>
      <c r="J3496">
        <v>2017</v>
      </c>
      <c r="K3496">
        <v>8</v>
      </c>
      <c r="L3496">
        <v>11</v>
      </c>
      <c r="M3496" t="s">
        <v>91</v>
      </c>
      <c r="N3496">
        <v>0</v>
      </c>
      <c r="O3496">
        <v>0</v>
      </c>
    </row>
    <row r="3497" spans="1:15" x14ac:dyDescent="0.3">
      <c r="A3497">
        <v>3592</v>
      </c>
      <c r="B3497" s="34">
        <v>42961</v>
      </c>
      <c r="C3497">
        <v>1.1818900000000001</v>
      </c>
      <c r="D3497">
        <v>0</v>
      </c>
      <c r="F3497">
        <v>0.48941999999999702</v>
      </c>
      <c r="G3497">
        <v>13.4994697773065</v>
      </c>
      <c r="H3497">
        <v>0</v>
      </c>
      <c r="I3497">
        <v>0.52296770000000004</v>
      </c>
      <c r="J3497">
        <v>2017</v>
      </c>
      <c r="K3497">
        <v>8</v>
      </c>
      <c r="L3497">
        <v>14</v>
      </c>
      <c r="M3497" t="s">
        <v>92</v>
      </c>
      <c r="N3497">
        <v>0</v>
      </c>
      <c r="O3497">
        <v>0</v>
      </c>
    </row>
    <row r="3498" spans="1:15" x14ac:dyDescent="0.3">
      <c r="A3498">
        <v>3593</v>
      </c>
      <c r="B3498" s="34">
        <v>42962</v>
      </c>
      <c r="C3498">
        <v>1.17811</v>
      </c>
      <c r="D3498">
        <v>0</v>
      </c>
      <c r="F3498">
        <v>0.48941999999999702</v>
      </c>
      <c r="G3498">
        <v>13.4994697773065</v>
      </c>
      <c r="H3498">
        <v>1</v>
      </c>
      <c r="I3498">
        <v>0.52310049999999997</v>
      </c>
      <c r="J3498">
        <v>2017</v>
      </c>
      <c r="K3498">
        <v>8</v>
      </c>
      <c r="L3498">
        <v>15</v>
      </c>
      <c r="M3498" t="s">
        <v>93</v>
      </c>
      <c r="N3498">
        <v>0</v>
      </c>
      <c r="O3498">
        <v>0</v>
      </c>
    </row>
    <row r="3499" spans="1:15" x14ac:dyDescent="0.3">
      <c r="A3499">
        <v>3594</v>
      </c>
      <c r="B3499" s="34">
        <v>42963</v>
      </c>
      <c r="C3499">
        <v>1.1734100000000001</v>
      </c>
      <c r="D3499">
        <v>0</v>
      </c>
      <c r="F3499">
        <v>0.48941999999999702</v>
      </c>
      <c r="G3499">
        <v>13.4994697773065</v>
      </c>
      <c r="H3499">
        <v>1</v>
      </c>
      <c r="I3499">
        <v>0.52323319999999995</v>
      </c>
      <c r="J3499">
        <v>2017</v>
      </c>
      <c r="K3499">
        <v>8</v>
      </c>
      <c r="L3499">
        <v>16</v>
      </c>
      <c r="M3499" t="s">
        <v>89</v>
      </c>
      <c r="N3499">
        <v>0</v>
      </c>
      <c r="O3499">
        <v>0</v>
      </c>
    </row>
    <row r="3500" spans="1:15" x14ac:dyDescent="0.3">
      <c r="A3500">
        <v>3595</v>
      </c>
      <c r="B3500" s="34">
        <v>42964</v>
      </c>
      <c r="C3500">
        <v>1.1766700000000001</v>
      </c>
      <c r="D3500">
        <v>0</v>
      </c>
      <c r="F3500">
        <v>0.48941999999999702</v>
      </c>
      <c r="G3500">
        <v>13.4994697773065</v>
      </c>
      <c r="H3500">
        <v>1</v>
      </c>
      <c r="I3500">
        <v>0.52336579999999999</v>
      </c>
      <c r="J3500">
        <v>2017</v>
      </c>
      <c r="K3500">
        <v>8</v>
      </c>
      <c r="L3500">
        <v>17</v>
      </c>
      <c r="M3500" t="s">
        <v>90</v>
      </c>
      <c r="N3500">
        <v>0</v>
      </c>
      <c r="O3500">
        <v>0</v>
      </c>
    </row>
    <row r="3501" spans="1:15" x14ac:dyDescent="0.3">
      <c r="A3501">
        <v>3596</v>
      </c>
      <c r="B3501" s="34">
        <v>42965</v>
      </c>
      <c r="C3501">
        <v>1.17228</v>
      </c>
      <c r="D3501">
        <v>0</v>
      </c>
      <c r="F3501">
        <v>0.48941999999999702</v>
      </c>
      <c r="G3501">
        <v>13.4994697773065</v>
      </c>
      <c r="H3501">
        <v>0</v>
      </c>
      <c r="I3501">
        <v>0.52322020000000002</v>
      </c>
      <c r="J3501">
        <v>2017</v>
      </c>
      <c r="K3501">
        <v>8</v>
      </c>
      <c r="L3501">
        <v>18</v>
      </c>
      <c r="M3501" t="s">
        <v>91</v>
      </c>
      <c r="N3501">
        <v>0</v>
      </c>
      <c r="O3501">
        <v>0</v>
      </c>
    </row>
    <row r="3502" spans="1:15" x14ac:dyDescent="0.3">
      <c r="A3502">
        <v>3597</v>
      </c>
      <c r="B3502" s="34">
        <v>42968</v>
      </c>
      <c r="C3502">
        <v>1.17578</v>
      </c>
      <c r="D3502">
        <v>0</v>
      </c>
      <c r="F3502">
        <v>0.48941999999999702</v>
      </c>
      <c r="G3502">
        <v>13.4994697773065</v>
      </c>
      <c r="H3502">
        <v>1</v>
      </c>
      <c r="I3502">
        <v>0.52335279999999995</v>
      </c>
      <c r="J3502">
        <v>2017</v>
      </c>
      <c r="K3502">
        <v>8</v>
      </c>
      <c r="L3502">
        <v>21</v>
      </c>
      <c r="M3502" t="s">
        <v>92</v>
      </c>
      <c r="N3502">
        <v>0</v>
      </c>
      <c r="O3502">
        <v>0</v>
      </c>
    </row>
    <row r="3503" spans="1:15" x14ac:dyDescent="0.3">
      <c r="A3503">
        <v>3598</v>
      </c>
      <c r="B3503" s="34">
        <v>42969</v>
      </c>
      <c r="C3503">
        <v>1.1815100000000001</v>
      </c>
      <c r="D3503">
        <v>0</v>
      </c>
      <c r="F3503">
        <v>0.48941999999999702</v>
      </c>
      <c r="G3503">
        <v>13.4994697773065</v>
      </c>
      <c r="H3503">
        <v>1</v>
      </c>
      <c r="I3503">
        <v>0.52348519999999998</v>
      </c>
      <c r="J3503">
        <v>2017</v>
      </c>
      <c r="K3503">
        <v>8</v>
      </c>
      <c r="L3503">
        <v>22</v>
      </c>
      <c r="M3503" t="s">
        <v>93</v>
      </c>
      <c r="N3503">
        <v>0</v>
      </c>
      <c r="O3503">
        <v>0</v>
      </c>
    </row>
    <row r="3504" spans="1:15" x14ac:dyDescent="0.3">
      <c r="A3504">
        <v>3599</v>
      </c>
      <c r="B3504" s="34">
        <v>42970</v>
      </c>
      <c r="C3504">
        <v>1.17611</v>
      </c>
      <c r="D3504">
        <v>0</v>
      </c>
      <c r="F3504">
        <v>0.48941999999999702</v>
      </c>
      <c r="G3504">
        <v>13.4994697773065</v>
      </c>
      <c r="H3504">
        <v>1</v>
      </c>
      <c r="I3504">
        <v>0.52361769999999996</v>
      </c>
      <c r="J3504">
        <v>2017</v>
      </c>
      <c r="K3504">
        <v>8</v>
      </c>
      <c r="L3504">
        <v>23</v>
      </c>
      <c r="M3504" t="s">
        <v>89</v>
      </c>
      <c r="N3504">
        <v>0</v>
      </c>
      <c r="O3504">
        <v>0</v>
      </c>
    </row>
    <row r="3505" spans="1:15" x14ac:dyDescent="0.3">
      <c r="A3505">
        <v>3600</v>
      </c>
      <c r="B3505" s="34">
        <v>42971</v>
      </c>
      <c r="C3505">
        <v>1.18086</v>
      </c>
      <c r="D3505">
        <v>0</v>
      </c>
      <c r="F3505">
        <v>0.48941999999999702</v>
      </c>
      <c r="G3505">
        <v>13.4994697773065</v>
      </c>
      <c r="H3505">
        <v>1</v>
      </c>
      <c r="I3505">
        <v>0.52375000000000005</v>
      </c>
      <c r="J3505">
        <v>2017</v>
      </c>
      <c r="K3505">
        <v>8</v>
      </c>
      <c r="L3505">
        <v>24</v>
      </c>
      <c r="M3505" t="s">
        <v>90</v>
      </c>
      <c r="N3505">
        <v>0</v>
      </c>
      <c r="O3505">
        <v>0</v>
      </c>
    </row>
    <row r="3506" spans="1:15" x14ac:dyDescent="0.3">
      <c r="A3506">
        <v>3601</v>
      </c>
      <c r="B3506" s="34">
        <v>42972</v>
      </c>
      <c r="C3506">
        <v>1.1799299999999999</v>
      </c>
      <c r="D3506">
        <v>0</v>
      </c>
      <c r="F3506">
        <v>0.48941999999999702</v>
      </c>
      <c r="G3506">
        <v>13.4994697773065</v>
      </c>
      <c r="H3506">
        <v>1</v>
      </c>
      <c r="I3506">
        <v>0.52388230000000002</v>
      </c>
      <c r="J3506">
        <v>2017</v>
      </c>
      <c r="K3506">
        <v>8</v>
      </c>
      <c r="L3506">
        <v>25</v>
      </c>
      <c r="M3506" t="s">
        <v>91</v>
      </c>
      <c r="N3506">
        <v>0</v>
      </c>
      <c r="O3506">
        <v>0</v>
      </c>
    </row>
    <row r="3507" spans="1:15" x14ac:dyDescent="0.3">
      <c r="A3507">
        <v>3602</v>
      </c>
      <c r="B3507" s="34">
        <v>42975</v>
      </c>
      <c r="C3507">
        <v>1.1920900000000001</v>
      </c>
      <c r="D3507">
        <v>0</v>
      </c>
      <c r="F3507">
        <v>0.48941999999999702</v>
      </c>
      <c r="G3507">
        <v>13.4994697773065</v>
      </c>
      <c r="H3507">
        <v>0</v>
      </c>
      <c r="I3507">
        <v>0.5237368</v>
      </c>
      <c r="J3507">
        <v>2017</v>
      </c>
      <c r="K3507">
        <v>8</v>
      </c>
      <c r="L3507">
        <v>28</v>
      </c>
      <c r="M3507" t="s">
        <v>92</v>
      </c>
      <c r="N3507">
        <v>0</v>
      </c>
      <c r="O3507">
        <v>0</v>
      </c>
    </row>
    <row r="3508" spans="1:15" x14ac:dyDescent="0.3">
      <c r="A3508">
        <v>3603</v>
      </c>
      <c r="B3508" s="34">
        <v>42976</v>
      </c>
      <c r="C3508">
        <v>1.1977500000000001</v>
      </c>
      <c r="D3508">
        <v>0</v>
      </c>
      <c r="F3508">
        <v>0.48941999999999702</v>
      </c>
      <c r="G3508">
        <v>13.4994697773065</v>
      </c>
      <c r="H3508">
        <v>0</v>
      </c>
      <c r="I3508">
        <v>0.52359149999999999</v>
      </c>
      <c r="J3508">
        <v>2017</v>
      </c>
      <c r="K3508">
        <v>8</v>
      </c>
      <c r="L3508">
        <v>29</v>
      </c>
      <c r="M3508" t="s">
        <v>93</v>
      </c>
      <c r="N3508">
        <v>0</v>
      </c>
      <c r="O3508">
        <v>0</v>
      </c>
    </row>
    <row r="3509" spans="1:15" x14ac:dyDescent="0.3">
      <c r="A3509">
        <v>3604</v>
      </c>
      <c r="B3509" s="34">
        <v>42977</v>
      </c>
      <c r="C3509">
        <v>1.1978599999999999</v>
      </c>
      <c r="D3509">
        <v>0</v>
      </c>
      <c r="F3509">
        <v>0.48941999999999702</v>
      </c>
      <c r="G3509">
        <v>13.4994697773065</v>
      </c>
      <c r="H3509">
        <v>0</v>
      </c>
      <c r="I3509">
        <v>0.52344610000000003</v>
      </c>
      <c r="J3509">
        <v>2017</v>
      </c>
      <c r="K3509">
        <v>8</v>
      </c>
      <c r="L3509">
        <v>30</v>
      </c>
      <c r="M3509" t="s">
        <v>89</v>
      </c>
      <c r="N3509">
        <v>0</v>
      </c>
      <c r="O3509">
        <v>0</v>
      </c>
    </row>
    <row r="3510" spans="1:15" x14ac:dyDescent="0.3">
      <c r="A3510">
        <v>3605</v>
      </c>
      <c r="B3510" s="34">
        <v>42978</v>
      </c>
      <c r="C3510">
        <v>1.1881900000000001</v>
      </c>
      <c r="D3510">
        <v>0</v>
      </c>
      <c r="F3510">
        <v>0.48941999999999702</v>
      </c>
      <c r="G3510">
        <v>13.4994697773065</v>
      </c>
      <c r="H3510">
        <v>1</v>
      </c>
      <c r="I3510">
        <v>0.52357830000000005</v>
      </c>
      <c r="J3510">
        <v>2017</v>
      </c>
      <c r="K3510">
        <v>8</v>
      </c>
      <c r="L3510">
        <v>31</v>
      </c>
      <c r="M3510" t="s">
        <v>90</v>
      </c>
      <c r="N3510">
        <v>0</v>
      </c>
      <c r="O3510">
        <v>0</v>
      </c>
    </row>
    <row r="3511" spans="1:15" x14ac:dyDescent="0.3">
      <c r="A3511">
        <v>3606</v>
      </c>
      <c r="B3511" s="34">
        <v>42979</v>
      </c>
      <c r="C3511">
        <v>1.1903900000000001</v>
      </c>
      <c r="D3511">
        <v>0</v>
      </c>
      <c r="F3511">
        <v>0.48941999999999702</v>
      </c>
      <c r="G3511">
        <v>13.4994697773065</v>
      </c>
      <c r="H3511">
        <v>0</v>
      </c>
      <c r="I3511">
        <v>0.52343309999999998</v>
      </c>
      <c r="J3511">
        <v>2017</v>
      </c>
      <c r="K3511">
        <v>9</v>
      </c>
      <c r="L3511">
        <v>1</v>
      </c>
      <c r="M3511" t="s">
        <v>91</v>
      </c>
      <c r="N3511">
        <v>0</v>
      </c>
      <c r="O3511">
        <v>0</v>
      </c>
    </row>
    <row r="3512" spans="1:15" x14ac:dyDescent="0.3">
      <c r="A3512">
        <v>3607</v>
      </c>
      <c r="B3512" s="34">
        <v>42982</v>
      </c>
      <c r="C3512">
        <v>1.1862699999999999</v>
      </c>
      <c r="D3512">
        <v>0</v>
      </c>
      <c r="F3512">
        <v>0.48941999999999702</v>
      </c>
      <c r="G3512">
        <v>13.4994697773065</v>
      </c>
      <c r="H3512">
        <v>1</v>
      </c>
      <c r="I3512">
        <v>0.52356530000000001</v>
      </c>
      <c r="J3512">
        <v>2017</v>
      </c>
      <c r="K3512">
        <v>9</v>
      </c>
      <c r="L3512">
        <v>4</v>
      </c>
      <c r="M3512" t="s">
        <v>92</v>
      </c>
      <c r="N3512">
        <v>0</v>
      </c>
      <c r="O3512">
        <v>0</v>
      </c>
    </row>
    <row r="3513" spans="1:15" x14ac:dyDescent="0.3">
      <c r="A3513">
        <v>3608</v>
      </c>
      <c r="B3513" s="34">
        <v>42983</v>
      </c>
      <c r="C3513">
        <v>1.1893400000000001</v>
      </c>
      <c r="D3513">
        <v>0</v>
      </c>
      <c r="F3513">
        <v>0.48941999999999702</v>
      </c>
      <c r="G3513">
        <v>13.4994697773065</v>
      </c>
      <c r="H3513">
        <v>0</v>
      </c>
      <c r="I3513">
        <v>0.5234202</v>
      </c>
      <c r="J3513">
        <v>2017</v>
      </c>
      <c r="K3513">
        <v>9</v>
      </c>
      <c r="L3513">
        <v>5</v>
      </c>
      <c r="M3513" t="s">
        <v>93</v>
      </c>
      <c r="N3513">
        <v>0</v>
      </c>
      <c r="O3513">
        <v>0</v>
      </c>
    </row>
    <row r="3514" spans="1:15" x14ac:dyDescent="0.3">
      <c r="A3514">
        <v>3609</v>
      </c>
      <c r="B3514" s="34">
        <v>42984</v>
      </c>
      <c r="C3514">
        <v>1.1916500000000001</v>
      </c>
      <c r="D3514">
        <v>0</v>
      </c>
      <c r="F3514">
        <v>0.48941999999999702</v>
      </c>
      <c r="G3514">
        <v>13.4994697773065</v>
      </c>
      <c r="H3514">
        <v>0</v>
      </c>
      <c r="I3514">
        <v>0.52327509999999999</v>
      </c>
      <c r="J3514">
        <v>2017</v>
      </c>
      <c r="K3514">
        <v>9</v>
      </c>
      <c r="L3514">
        <v>6</v>
      </c>
      <c r="M3514" t="s">
        <v>89</v>
      </c>
      <c r="N3514">
        <v>0</v>
      </c>
      <c r="O3514">
        <v>0</v>
      </c>
    </row>
    <row r="3515" spans="1:15" x14ac:dyDescent="0.3">
      <c r="A3515">
        <v>3610</v>
      </c>
      <c r="B3515" s="34">
        <v>42985</v>
      </c>
      <c r="C3515">
        <v>1.19187</v>
      </c>
      <c r="D3515">
        <v>0</v>
      </c>
      <c r="F3515">
        <v>0.48941999999999702</v>
      </c>
      <c r="G3515">
        <v>13.4994697773065</v>
      </c>
      <c r="H3515">
        <v>0</v>
      </c>
      <c r="I3515">
        <v>0.52313019999999999</v>
      </c>
      <c r="J3515">
        <v>2017</v>
      </c>
      <c r="K3515">
        <v>9</v>
      </c>
      <c r="L3515">
        <v>7</v>
      </c>
      <c r="M3515" t="s">
        <v>90</v>
      </c>
      <c r="N3515">
        <v>0</v>
      </c>
      <c r="O3515">
        <v>0</v>
      </c>
    </row>
    <row r="3516" spans="1:15" x14ac:dyDescent="0.3">
      <c r="A3516">
        <v>3611</v>
      </c>
      <c r="B3516" s="34">
        <v>42986</v>
      </c>
      <c r="C3516">
        <v>1.2023299999999999</v>
      </c>
      <c r="D3516">
        <v>0</v>
      </c>
      <c r="F3516">
        <v>0.48941999999999702</v>
      </c>
      <c r="G3516">
        <v>13.4994697773065</v>
      </c>
      <c r="H3516">
        <v>0</v>
      </c>
      <c r="I3516">
        <v>0.52298529999999999</v>
      </c>
      <c r="J3516">
        <v>2017</v>
      </c>
      <c r="K3516">
        <v>9</v>
      </c>
      <c r="L3516">
        <v>8</v>
      </c>
      <c r="M3516" t="s">
        <v>91</v>
      </c>
      <c r="N3516">
        <v>0</v>
      </c>
      <c r="O3516">
        <v>0</v>
      </c>
    </row>
    <row r="3517" spans="1:15" x14ac:dyDescent="0.3">
      <c r="A3517">
        <v>3612</v>
      </c>
      <c r="B3517" s="34">
        <v>42989</v>
      </c>
      <c r="C3517">
        <v>1.2033700000000001</v>
      </c>
      <c r="D3517">
        <v>0</v>
      </c>
      <c r="F3517">
        <v>0.48941999999999702</v>
      </c>
      <c r="G3517">
        <v>13.4994697773065</v>
      </c>
      <c r="H3517">
        <v>0</v>
      </c>
      <c r="I3517">
        <v>0.52284059999999999</v>
      </c>
      <c r="J3517">
        <v>2017</v>
      </c>
      <c r="K3517">
        <v>9</v>
      </c>
      <c r="L3517">
        <v>11</v>
      </c>
      <c r="M3517" t="s">
        <v>92</v>
      </c>
      <c r="N3517">
        <v>0</v>
      </c>
      <c r="O3517">
        <v>0</v>
      </c>
    </row>
    <row r="3518" spans="1:15" x14ac:dyDescent="0.3">
      <c r="A3518">
        <v>3613</v>
      </c>
      <c r="B3518" s="34">
        <v>42990</v>
      </c>
      <c r="C3518">
        <v>1.1952400000000001</v>
      </c>
      <c r="D3518">
        <v>0</v>
      </c>
      <c r="F3518">
        <v>0.48941999999999702</v>
      </c>
      <c r="G3518">
        <v>13.4994697773065</v>
      </c>
      <c r="H3518">
        <v>1</v>
      </c>
      <c r="I3518">
        <v>0.52297260000000001</v>
      </c>
      <c r="J3518">
        <v>2017</v>
      </c>
      <c r="K3518">
        <v>9</v>
      </c>
      <c r="L3518">
        <v>12</v>
      </c>
      <c r="M3518" t="s">
        <v>93</v>
      </c>
      <c r="N3518">
        <v>0</v>
      </c>
      <c r="O3518">
        <v>0</v>
      </c>
    </row>
    <row r="3519" spans="1:15" x14ac:dyDescent="0.3">
      <c r="A3519">
        <v>3614</v>
      </c>
      <c r="B3519" s="34">
        <v>42991</v>
      </c>
      <c r="C3519">
        <v>1.19662</v>
      </c>
      <c r="D3519">
        <v>0</v>
      </c>
      <c r="F3519">
        <v>0.48941999999999702</v>
      </c>
      <c r="G3519">
        <v>13.4994697773065</v>
      </c>
      <c r="H3519">
        <v>0</v>
      </c>
      <c r="I3519">
        <v>0.52282790000000001</v>
      </c>
      <c r="J3519">
        <v>2017</v>
      </c>
      <c r="K3519">
        <v>9</v>
      </c>
      <c r="L3519">
        <v>13</v>
      </c>
      <c r="M3519" t="s">
        <v>89</v>
      </c>
      <c r="N3519">
        <v>0</v>
      </c>
      <c r="O3519">
        <v>0</v>
      </c>
    </row>
    <row r="3520" spans="1:15" x14ac:dyDescent="0.3">
      <c r="A3520">
        <v>3615</v>
      </c>
      <c r="B3520" s="34">
        <v>42992</v>
      </c>
      <c r="C3520">
        <v>1.18848</v>
      </c>
      <c r="D3520">
        <v>0</v>
      </c>
      <c r="F3520">
        <v>0.48941999999999702</v>
      </c>
      <c r="G3520">
        <v>13.4994697773065</v>
      </c>
      <c r="H3520">
        <v>1</v>
      </c>
      <c r="I3520">
        <v>0.52295990000000003</v>
      </c>
      <c r="J3520">
        <v>2017</v>
      </c>
      <c r="K3520">
        <v>9</v>
      </c>
      <c r="L3520">
        <v>14</v>
      </c>
      <c r="M3520" t="s">
        <v>90</v>
      </c>
      <c r="N3520">
        <v>0</v>
      </c>
      <c r="O3520">
        <v>0</v>
      </c>
    </row>
    <row r="3521" spans="1:15" x14ac:dyDescent="0.3">
      <c r="A3521">
        <v>3616</v>
      </c>
      <c r="B3521" s="34">
        <v>42993</v>
      </c>
      <c r="C3521">
        <v>1.19187</v>
      </c>
      <c r="D3521">
        <v>0</v>
      </c>
      <c r="F3521">
        <v>0.48941999999999702</v>
      </c>
      <c r="G3521">
        <v>13.4994697773065</v>
      </c>
      <c r="H3521">
        <v>1</v>
      </c>
      <c r="I3521">
        <v>0.5230918</v>
      </c>
      <c r="J3521">
        <v>2017</v>
      </c>
      <c r="K3521">
        <v>9</v>
      </c>
      <c r="L3521">
        <v>15</v>
      </c>
      <c r="M3521" t="s">
        <v>91</v>
      </c>
      <c r="N3521">
        <v>0</v>
      </c>
      <c r="O3521">
        <v>0</v>
      </c>
    </row>
    <row r="3522" spans="1:15" x14ac:dyDescent="0.3">
      <c r="A3522">
        <v>3617</v>
      </c>
      <c r="B3522" s="34">
        <v>42996</v>
      </c>
      <c r="C3522">
        <v>1.1944699999999999</v>
      </c>
      <c r="D3522">
        <v>0</v>
      </c>
      <c r="F3522">
        <v>0.48941999999999702</v>
      </c>
      <c r="G3522">
        <v>13.4994697773065</v>
      </c>
      <c r="H3522">
        <v>1</v>
      </c>
      <c r="I3522">
        <v>0.52322360000000001</v>
      </c>
      <c r="J3522">
        <v>2017</v>
      </c>
      <c r="K3522">
        <v>9</v>
      </c>
      <c r="L3522">
        <v>18</v>
      </c>
      <c r="M3522" t="s">
        <v>92</v>
      </c>
      <c r="N3522">
        <v>0</v>
      </c>
      <c r="O3522">
        <v>0</v>
      </c>
    </row>
    <row r="3523" spans="1:15" x14ac:dyDescent="0.3">
      <c r="A3523">
        <v>3618</v>
      </c>
      <c r="B3523" s="34">
        <v>42997</v>
      </c>
      <c r="C3523">
        <v>1.1952100000000001</v>
      </c>
      <c r="D3523">
        <v>0</v>
      </c>
      <c r="F3523">
        <v>0.48941999999999702</v>
      </c>
      <c r="G3523">
        <v>13.4994697773065</v>
      </c>
      <c r="H3523">
        <v>0</v>
      </c>
      <c r="I3523">
        <v>0.52307899999999996</v>
      </c>
      <c r="J3523">
        <v>2017</v>
      </c>
      <c r="K3523">
        <v>9</v>
      </c>
      <c r="L3523">
        <v>19</v>
      </c>
      <c r="M3523" t="s">
        <v>93</v>
      </c>
      <c r="N3523">
        <v>0</v>
      </c>
      <c r="O3523">
        <v>0</v>
      </c>
    </row>
    <row r="3524" spans="1:15" x14ac:dyDescent="0.3">
      <c r="A3524">
        <v>3619</v>
      </c>
      <c r="B3524" s="34">
        <v>42998</v>
      </c>
      <c r="C3524">
        <v>1.1993499999999999</v>
      </c>
      <c r="D3524">
        <v>0</v>
      </c>
      <c r="F3524">
        <v>0.48941999999999702</v>
      </c>
      <c r="G3524">
        <v>13.4994697773065</v>
      </c>
      <c r="H3524">
        <v>0</v>
      </c>
      <c r="I3524">
        <v>0.52293449999999997</v>
      </c>
      <c r="J3524">
        <v>2017</v>
      </c>
      <c r="K3524">
        <v>9</v>
      </c>
      <c r="L3524">
        <v>20</v>
      </c>
      <c r="M3524" t="s">
        <v>89</v>
      </c>
      <c r="N3524">
        <v>0</v>
      </c>
      <c r="O3524">
        <v>0</v>
      </c>
    </row>
    <row r="3525" spans="1:15" x14ac:dyDescent="0.3">
      <c r="A3525">
        <v>3620</v>
      </c>
      <c r="B3525" s="34">
        <v>42999</v>
      </c>
      <c r="C3525">
        <v>1.18926</v>
      </c>
      <c r="D3525">
        <v>0</v>
      </c>
      <c r="F3525">
        <v>0.48941999999999702</v>
      </c>
      <c r="G3525">
        <v>13.4994697773065</v>
      </c>
      <c r="H3525">
        <v>1</v>
      </c>
      <c r="I3525">
        <v>0.52306629999999998</v>
      </c>
      <c r="J3525">
        <v>2017</v>
      </c>
      <c r="K3525">
        <v>9</v>
      </c>
      <c r="L3525">
        <v>21</v>
      </c>
      <c r="M3525" t="s">
        <v>90</v>
      </c>
      <c r="N3525">
        <v>0</v>
      </c>
      <c r="O3525">
        <v>0</v>
      </c>
    </row>
    <row r="3526" spans="1:15" x14ac:dyDescent="0.3">
      <c r="A3526">
        <v>3621</v>
      </c>
      <c r="B3526" s="34">
        <v>43000</v>
      </c>
      <c r="C3526">
        <v>1.19407</v>
      </c>
      <c r="D3526">
        <v>0</v>
      </c>
      <c r="F3526">
        <v>0.48941999999999702</v>
      </c>
      <c r="G3526">
        <v>13.4994697773065</v>
      </c>
      <c r="H3526">
        <v>1</v>
      </c>
      <c r="I3526">
        <v>0.52319800000000005</v>
      </c>
      <c r="J3526">
        <v>2017</v>
      </c>
      <c r="K3526">
        <v>9</v>
      </c>
      <c r="L3526">
        <v>22</v>
      </c>
      <c r="M3526" t="s">
        <v>91</v>
      </c>
      <c r="N3526">
        <v>0</v>
      </c>
      <c r="O3526">
        <v>0</v>
      </c>
    </row>
    <row r="3527" spans="1:15" x14ac:dyDescent="0.3">
      <c r="A3527">
        <v>3622</v>
      </c>
      <c r="B3527" s="34">
        <v>43003</v>
      </c>
      <c r="C3527">
        <v>1.19465</v>
      </c>
      <c r="D3527">
        <v>0</v>
      </c>
      <c r="F3527">
        <v>0.48941999999999702</v>
      </c>
      <c r="G3527">
        <v>13.4994697773065</v>
      </c>
      <c r="H3527">
        <v>0</v>
      </c>
      <c r="I3527">
        <v>0.52305360000000001</v>
      </c>
      <c r="J3527">
        <v>2017</v>
      </c>
      <c r="K3527">
        <v>9</v>
      </c>
      <c r="L3527">
        <v>25</v>
      </c>
      <c r="M3527" t="s">
        <v>92</v>
      </c>
      <c r="N3527">
        <v>0</v>
      </c>
      <c r="O3527">
        <v>0</v>
      </c>
    </row>
    <row r="3528" spans="1:15" x14ac:dyDescent="0.3">
      <c r="A3528">
        <v>3623</v>
      </c>
      <c r="B3528" s="34">
        <v>43004</v>
      </c>
      <c r="C3528">
        <v>1.18472</v>
      </c>
      <c r="D3528">
        <v>0</v>
      </c>
      <c r="F3528">
        <v>0.48941999999999702</v>
      </c>
      <c r="G3528">
        <v>13.4994697773065</v>
      </c>
      <c r="H3528">
        <v>1</v>
      </c>
      <c r="I3528">
        <v>0.52318520000000002</v>
      </c>
      <c r="J3528">
        <v>2017</v>
      </c>
      <c r="K3528">
        <v>9</v>
      </c>
      <c r="L3528">
        <v>26</v>
      </c>
      <c r="M3528" t="s">
        <v>93</v>
      </c>
      <c r="N3528">
        <v>0</v>
      </c>
      <c r="O3528">
        <v>0</v>
      </c>
    </row>
    <row r="3529" spans="1:15" x14ac:dyDescent="0.3">
      <c r="A3529">
        <v>3624</v>
      </c>
      <c r="B3529" s="34">
        <v>43005</v>
      </c>
      <c r="C3529">
        <v>1.1792499999999999</v>
      </c>
      <c r="D3529">
        <v>0</v>
      </c>
      <c r="F3529">
        <v>0.48941999999999702</v>
      </c>
      <c r="G3529">
        <v>13.4994697773065</v>
      </c>
      <c r="H3529">
        <v>0</v>
      </c>
      <c r="I3529">
        <v>0.52304079999999997</v>
      </c>
      <c r="J3529">
        <v>2017</v>
      </c>
      <c r="K3529">
        <v>9</v>
      </c>
      <c r="L3529">
        <v>27</v>
      </c>
      <c r="M3529" t="s">
        <v>89</v>
      </c>
      <c r="N3529">
        <v>0</v>
      </c>
      <c r="O3529">
        <v>0</v>
      </c>
    </row>
    <row r="3530" spans="1:15" x14ac:dyDescent="0.3">
      <c r="A3530">
        <v>3625</v>
      </c>
      <c r="B3530" s="34">
        <v>43006</v>
      </c>
      <c r="C3530">
        <v>1.1744399999999999</v>
      </c>
      <c r="D3530">
        <v>0</v>
      </c>
      <c r="F3530">
        <v>0.48941999999999702</v>
      </c>
      <c r="G3530">
        <v>13.4994697773065</v>
      </c>
      <c r="H3530">
        <v>0</v>
      </c>
      <c r="I3530">
        <v>0.52289649999999999</v>
      </c>
      <c r="J3530">
        <v>2017</v>
      </c>
      <c r="K3530">
        <v>9</v>
      </c>
      <c r="L3530">
        <v>28</v>
      </c>
      <c r="M3530" t="s">
        <v>90</v>
      </c>
      <c r="N3530">
        <v>0</v>
      </c>
      <c r="O3530">
        <v>0</v>
      </c>
    </row>
    <row r="3531" spans="1:15" x14ac:dyDescent="0.3">
      <c r="A3531">
        <v>3626</v>
      </c>
      <c r="B3531" s="34">
        <v>43007</v>
      </c>
      <c r="C3531">
        <v>1.17858</v>
      </c>
      <c r="D3531">
        <v>0</v>
      </c>
      <c r="F3531">
        <v>0.48941999999999702</v>
      </c>
      <c r="G3531">
        <v>13.4994697773065</v>
      </c>
      <c r="H3531">
        <v>1</v>
      </c>
      <c r="I3531">
        <v>0.5230281</v>
      </c>
      <c r="J3531">
        <v>2017</v>
      </c>
      <c r="K3531">
        <v>9</v>
      </c>
      <c r="L3531">
        <v>29</v>
      </c>
      <c r="M3531" t="s">
        <v>91</v>
      </c>
      <c r="N3531">
        <v>0</v>
      </c>
      <c r="O3531">
        <v>0</v>
      </c>
    </row>
    <row r="3532" spans="1:15" x14ac:dyDescent="0.3">
      <c r="A3532">
        <v>3627</v>
      </c>
      <c r="B3532" s="34">
        <v>43010</v>
      </c>
      <c r="C3532">
        <v>1.1813100000000001</v>
      </c>
      <c r="D3532">
        <v>0</v>
      </c>
      <c r="F3532">
        <v>0.48941999999999702</v>
      </c>
      <c r="G3532">
        <v>13.4994697773065</v>
      </c>
      <c r="H3532">
        <v>1</v>
      </c>
      <c r="I3532">
        <v>0.52315959999999995</v>
      </c>
      <c r="J3532">
        <v>2017</v>
      </c>
      <c r="K3532">
        <v>10</v>
      </c>
      <c r="L3532">
        <v>2</v>
      </c>
      <c r="M3532" t="s">
        <v>92</v>
      </c>
      <c r="N3532">
        <v>0</v>
      </c>
      <c r="O3532">
        <v>0</v>
      </c>
    </row>
    <row r="3533" spans="1:15" x14ac:dyDescent="0.3">
      <c r="A3533">
        <v>3628</v>
      </c>
      <c r="B3533" s="34">
        <v>43011</v>
      </c>
      <c r="C3533">
        <v>1.17326</v>
      </c>
      <c r="D3533">
        <v>0</v>
      </c>
      <c r="F3533">
        <v>0.48941999999999702</v>
      </c>
      <c r="G3533">
        <v>13.4994697773065</v>
      </c>
      <c r="H3533">
        <v>1</v>
      </c>
      <c r="I3533">
        <v>0.52329110000000001</v>
      </c>
      <c r="J3533">
        <v>2017</v>
      </c>
      <c r="K3533">
        <v>10</v>
      </c>
      <c r="L3533">
        <v>3</v>
      </c>
      <c r="M3533" t="s">
        <v>93</v>
      </c>
      <c r="N3533">
        <v>0</v>
      </c>
      <c r="O3533">
        <v>0</v>
      </c>
    </row>
    <row r="3534" spans="1:15" x14ac:dyDescent="0.3">
      <c r="A3534">
        <v>3629</v>
      </c>
      <c r="B3534" s="34">
        <v>43012</v>
      </c>
      <c r="C3534">
        <v>1.1743399999999999</v>
      </c>
      <c r="D3534">
        <v>0</v>
      </c>
      <c r="F3534">
        <v>0.48941999999999702</v>
      </c>
      <c r="G3534">
        <v>13.4994697773065</v>
      </c>
      <c r="H3534">
        <v>1</v>
      </c>
      <c r="I3534">
        <v>0.52342239999999995</v>
      </c>
      <c r="J3534">
        <v>2017</v>
      </c>
      <c r="K3534">
        <v>10</v>
      </c>
      <c r="L3534">
        <v>4</v>
      </c>
      <c r="M3534" t="s">
        <v>89</v>
      </c>
      <c r="N3534">
        <v>0</v>
      </c>
      <c r="O3534">
        <v>0</v>
      </c>
    </row>
    <row r="3535" spans="1:15" x14ac:dyDescent="0.3">
      <c r="A3535">
        <v>3630</v>
      </c>
      <c r="B3535" s="34">
        <v>43013</v>
      </c>
      <c r="C3535">
        <v>1.1758900000000001</v>
      </c>
      <c r="D3535">
        <v>0</v>
      </c>
      <c r="F3535">
        <v>0.48941999999999702</v>
      </c>
      <c r="G3535">
        <v>13.4994697773065</v>
      </c>
      <c r="H3535">
        <v>1</v>
      </c>
      <c r="I3535">
        <v>0.52355370000000001</v>
      </c>
      <c r="J3535">
        <v>2017</v>
      </c>
      <c r="K3535">
        <v>10</v>
      </c>
      <c r="L3535">
        <v>5</v>
      </c>
      <c r="M3535" t="s">
        <v>90</v>
      </c>
      <c r="N3535">
        <v>0</v>
      </c>
      <c r="O3535">
        <v>0</v>
      </c>
    </row>
    <row r="3536" spans="1:15" x14ac:dyDescent="0.3">
      <c r="A3536">
        <v>3631</v>
      </c>
      <c r="B3536" s="34">
        <v>43014</v>
      </c>
      <c r="C3536">
        <v>1.17106</v>
      </c>
      <c r="D3536">
        <v>0</v>
      </c>
      <c r="F3536">
        <v>0.48941999999999702</v>
      </c>
      <c r="G3536">
        <v>13.4994697773065</v>
      </c>
      <c r="H3536">
        <v>1</v>
      </c>
      <c r="I3536">
        <v>0.52368490000000001</v>
      </c>
      <c r="J3536">
        <v>2017</v>
      </c>
      <c r="K3536">
        <v>10</v>
      </c>
      <c r="L3536">
        <v>6</v>
      </c>
      <c r="M3536" t="s">
        <v>91</v>
      </c>
      <c r="N3536">
        <v>0</v>
      </c>
      <c r="O3536">
        <v>0</v>
      </c>
    </row>
    <row r="3537" spans="1:15" x14ac:dyDescent="0.3">
      <c r="A3537">
        <v>3632</v>
      </c>
      <c r="B3537" s="34">
        <v>43017</v>
      </c>
      <c r="C3537">
        <v>1.1729000000000001</v>
      </c>
      <c r="D3537">
        <v>0</v>
      </c>
      <c r="F3537">
        <v>0.48941999999999702</v>
      </c>
      <c r="G3537">
        <v>13.4994697773065</v>
      </c>
      <c r="H3537">
        <v>1</v>
      </c>
      <c r="I3537">
        <v>0.52381610000000001</v>
      </c>
      <c r="J3537">
        <v>2017</v>
      </c>
      <c r="K3537">
        <v>10</v>
      </c>
      <c r="L3537">
        <v>9</v>
      </c>
      <c r="M3537" t="s">
        <v>92</v>
      </c>
      <c r="N3537">
        <v>0</v>
      </c>
      <c r="O3537">
        <v>0</v>
      </c>
    </row>
    <row r="3538" spans="1:15" x14ac:dyDescent="0.3">
      <c r="A3538">
        <v>3633</v>
      </c>
      <c r="B3538" s="34">
        <v>43018</v>
      </c>
      <c r="C3538">
        <v>1.1740200000000001</v>
      </c>
      <c r="D3538">
        <v>-2</v>
      </c>
      <c r="F3538">
        <v>0.48266999999999699</v>
      </c>
      <c r="G3538">
        <v>14.6924708377519</v>
      </c>
      <c r="H3538">
        <v>0.5</v>
      </c>
      <c r="I3538">
        <v>0.52380959999999999</v>
      </c>
      <c r="J3538">
        <v>2017</v>
      </c>
      <c r="K3538">
        <v>10</v>
      </c>
      <c r="L3538">
        <v>10</v>
      </c>
      <c r="M3538" t="s">
        <v>93</v>
      </c>
      <c r="N3538">
        <v>0</v>
      </c>
      <c r="O3538">
        <v>0</v>
      </c>
    </row>
    <row r="3539" spans="1:15" x14ac:dyDescent="0.3">
      <c r="A3539">
        <v>3634</v>
      </c>
      <c r="B3539" s="34">
        <v>43019</v>
      </c>
      <c r="C3539">
        <v>1.1807700000000001</v>
      </c>
      <c r="D3539">
        <v>0</v>
      </c>
      <c r="F3539">
        <v>0.48266999999999699</v>
      </c>
      <c r="G3539">
        <v>14.6924708377519</v>
      </c>
      <c r="H3539">
        <v>0</v>
      </c>
      <c r="I3539">
        <v>0.52366539999999995</v>
      </c>
      <c r="J3539">
        <v>2017</v>
      </c>
      <c r="K3539">
        <v>10</v>
      </c>
      <c r="L3539">
        <v>11</v>
      </c>
      <c r="M3539" t="s">
        <v>89</v>
      </c>
      <c r="N3539">
        <v>0</v>
      </c>
      <c r="O3539">
        <v>0</v>
      </c>
    </row>
    <row r="3540" spans="1:15" x14ac:dyDescent="0.3">
      <c r="A3540">
        <v>3635</v>
      </c>
      <c r="B3540" s="34">
        <v>43020</v>
      </c>
      <c r="C3540">
        <v>1.18581</v>
      </c>
      <c r="D3540">
        <v>0</v>
      </c>
      <c r="F3540">
        <v>0.48266999999999699</v>
      </c>
      <c r="G3540">
        <v>14.6924708377519</v>
      </c>
      <c r="H3540">
        <v>0</v>
      </c>
      <c r="I3540">
        <v>0.52352129999999997</v>
      </c>
      <c r="J3540">
        <v>2017</v>
      </c>
      <c r="K3540">
        <v>10</v>
      </c>
      <c r="L3540">
        <v>12</v>
      </c>
      <c r="M3540" t="s">
        <v>90</v>
      </c>
      <c r="N3540">
        <v>0</v>
      </c>
      <c r="O3540">
        <v>0</v>
      </c>
    </row>
    <row r="3541" spans="1:15" x14ac:dyDescent="0.3">
      <c r="A3541">
        <v>3636</v>
      </c>
      <c r="B3541" s="34">
        <v>43021</v>
      </c>
      <c r="C3541">
        <v>1.1829400000000001</v>
      </c>
      <c r="D3541">
        <v>0</v>
      </c>
      <c r="F3541">
        <v>0.48266999999999699</v>
      </c>
      <c r="G3541">
        <v>14.6924708377519</v>
      </c>
      <c r="H3541">
        <v>1</v>
      </c>
      <c r="I3541">
        <v>0.52365240000000002</v>
      </c>
      <c r="J3541">
        <v>2017</v>
      </c>
      <c r="K3541">
        <v>10</v>
      </c>
      <c r="L3541">
        <v>13</v>
      </c>
      <c r="M3541" t="s">
        <v>91</v>
      </c>
      <c r="N3541">
        <v>0</v>
      </c>
      <c r="O3541">
        <v>0</v>
      </c>
    </row>
    <row r="3542" spans="1:15" x14ac:dyDescent="0.3">
      <c r="A3542">
        <v>3637</v>
      </c>
      <c r="B3542" s="34">
        <v>43024</v>
      </c>
      <c r="C3542">
        <v>1.1819500000000001</v>
      </c>
      <c r="D3542">
        <v>0</v>
      </c>
      <c r="F3542">
        <v>0.48266999999999699</v>
      </c>
      <c r="G3542">
        <v>14.6924708377519</v>
      </c>
      <c r="H3542">
        <v>1</v>
      </c>
      <c r="I3542">
        <v>0.52378329999999995</v>
      </c>
      <c r="J3542">
        <v>2017</v>
      </c>
      <c r="K3542">
        <v>10</v>
      </c>
      <c r="L3542">
        <v>16</v>
      </c>
      <c r="M3542" t="s">
        <v>92</v>
      </c>
      <c r="N3542">
        <v>0</v>
      </c>
      <c r="O3542">
        <v>0</v>
      </c>
    </row>
    <row r="3543" spans="1:15" x14ac:dyDescent="0.3">
      <c r="A3543">
        <v>3638</v>
      </c>
      <c r="B3543" s="34">
        <v>43025</v>
      </c>
      <c r="C3543">
        <v>1.1795199999999999</v>
      </c>
      <c r="D3543">
        <v>0</v>
      </c>
      <c r="F3543">
        <v>0.48266999999999699</v>
      </c>
      <c r="G3543">
        <v>14.6924708377519</v>
      </c>
      <c r="H3543">
        <v>0</v>
      </c>
      <c r="I3543">
        <v>0.52363939999999998</v>
      </c>
      <c r="J3543">
        <v>2017</v>
      </c>
      <c r="K3543">
        <v>10</v>
      </c>
      <c r="L3543">
        <v>17</v>
      </c>
      <c r="M3543" t="s">
        <v>93</v>
      </c>
      <c r="N3543">
        <v>0</v>
      </c>
      <c r="O3543">
        <v>0</v>
      </c>
    </row>
    <row r="3544" spans="1:15" x14ac:dyDescent="0.3">
      <c r="A3544">
        <v>3639</v>
      </c>
      <c r="B3544" s="34">
        <v>43026</v>
      </c>
      <c r="C3544">
        <v>1.17659</v>
      </c>
      <c r="D3544">
        <v>0</v>
      </c>
      <c r="F3544">
        <v>0.48266999999999699</v>
      </c>
      <c r="G3544">
        <v>14.6924708377519</v>
      </c>
      <c r="H3544">
        <v>0</v>
      </c>
      <c r="I3544">
        <v>0.5234955</v>
      </c>
      <c r="J3544">
        <v>2017</v>
      </c>
      <c r="K3544">
        <v>10</v>
      </c>
      <c r="L3544">
        <v>18</v>
      </c>
      <c r="M3544" t="s">
        <v>89</v>
      </c>
      <c r="N3544">
        <v>0</v>
      </c>
      <c r="O3544">
        <v>0</v>
      </c>
    </row>
    <row r="3545" spans="1:15" x14ac:dyDescent="0.3">
      <c r="A3545">
        <v>3640</v>
      </c>
      <c r="B3545" s="34">
        <v>43027</v>
      </c>
      <c r="C3545">
        <v>1.17872</v>
      </c>
      <c r="D3545">
        <v>0</v>
      </c>
      <c r="F3545">
        <v>0.48266999999999699</v>
      </c>
      <c r="G3545">
        <v>14.6924708377519</v>
      </c>
      <c r="H3545">
        <v>1</v>
      </c>
      <c r="I3545">
        <v>0.52362640000000005</v>
      </c>
      <c r="J3545">
        <v>2017</v>
      </c>
      <c r="K3545">
        <v>10</v>
      </c>
      <c r="L3545">
        <v>19</v>
      </c>
      <c r="M3545" t="s">
        <v>90</v>
      </c>
      <c r="N3545">
        <v>0</v>
      </c>
      <c r="O3545">
        <v>0</v>
      </c>
    </row>
    <row r="3546" spans="1:15" x14ac:dyDescent="0.3">
      <c r="A3546">
        <v>3641</v>
      </c>
      <c r="B3546" s="34">
        <v>43028</v>
      </c>
      <c r="C3546">
        <v>1.1850799999999999</v>
      </c>
      <c r="D3546">
        <v>0</v>
      </c>
      <c r="F3546">
        <v>0.48266999999999699</v>
      </c>
      <c r="G3546">
        <v>14.6924708377519</v>
      </c>
      <c r="H3546">
        <v>0</v>
      </c>
      <c r="I3546">
        <v>0.52348260000000002</v>
      </c>
      <c r="J3546">
        <v>2017</v>
      </c>
      <c r="K3546">
        <v>10</v>
      </c>
      <c r="L3546">
        <v>20</v>
      </c>
      <c r="M3546" t="s">
        <v>91</v>
      </c>
      <c r="N3546">
        <v>0</v>
      </c>
      <c r="O3546">
        <v>0</v>
      </c>
    </row>
    <row r="3547" spans="1:15" x14ac:dyDescent="0.3">
      <c r="A3547">
        <v>3642</v>
      </c>
      <c r="B3547" s="34">
        <v>43031</v>
      </c>
      <c r="C3547">
        <v>1.17811</v>
      </c>
      <c r="D3547">
        <v>0</v>
      </c>
      <c r="F3547">
        <v>0.48266999999999699</v>
      </c>
      <c r="G3547">
        <v>14.6924708377519</v>
      </c>
      <c r="H3547">
        <v>1</v>
      </c>
      <c r="I3547">
        <v>0.52361340000000001</v>
      </c>
      <c r="J3547">
        <v>2017</v>
      </c>
      <c r="K3547">
        <v>10</v>
      </c>
      <c r="L3547">
        <v>23</v>
      </c>
      <c r="M3547" t="s">
        <v>92</v>
      </c>
      <c r="N3547">
        <v>0</v>
      </c>
      <c r="O3547">
        <v>0</v>
      </c>
    </row>
    <row r="3548" spans="1:15" x14ac:dyDescent="0.3">
      <c r="A3548">
        <v>3643</v>
      </c>
      <c r="B3548" s="34">
        <v>43032</v>
      </c>
      <c r="C3548">
        <v>1.1748700000000001</v>
      </c>
      <c r="D3548">
        <v>0</v>
      </c>
      <c r="F3548">
        <v>0.48266999999999699</v>
      </c>
      <c r="G3548">
        <v>14.6924708377519</v>
      </c>
      <c r="H3548">
        <v>0</v>
      </c>
      <c r="I3548">
        <v>0.52346970000000004</v>
      </c>
      <c r="J3548">
        <v>2017</v>
      </c>
      <c r="K3548">
        <v>10</v>
      </c>
      <c r="L3548">
        <v>24</v>
      </c>
      <c r="M3548" t="s">
        <v>93</v>
      </c>
      <c r="N3548">
        <v>0</v>
      </c>
      <c r="O3548">
        <v>0</v>
      </c>
    </row>
    <row r="3549" spans="1:15" x14ac:dyDescent="0.3">
      <c r="A3549">
        <v>3644</v>
      </c>
      <c r="B3549" s="34">
        <v>43033</v>
      </c>
      <c r="C3549">
        <v>1.1760600000000001</v>
      </c>
      <c r="D3549">
        <v>0</v>
      </c>
      <c r="F3549">
        <v>0.48266999999999699</v>
      </c>
      <c r="G3549">
        <v>14.6924708377519</v>
      </c>
      <c r="H3549">
        <v>1</v>
      </c>
      <c r="I3549">
        <v>0.52360050000000002</v>
      </c>
      <c r="J3549">
        <v>2017</v>
      </c>
      <c r="K3549">
        <v>10</v>
      </c>
      <c r="L3549">
        <v>25</v>
      </c>
      <c r="M3549" t="s">
        <v>89</v>
      </c>
      <c r="N3549">
        <v>0</v>
      </c>
      <c r="O3549">
        <v>0</v>
      </c>
    </row>
    <row r="3550" spans="1:15" x14ac:dyDescent="0.3">
      <c r="A3550">
        <v>3645</v>
      </c>
      <c r="B3550" s="34">
        <v>43034</v>
      </c>
      <c r="C3550">
        <v>1.18126</v>
      </c>
      <c r="D3550">
        <v>0</v>
      </c>
      <c r="F3550">
        <v>0.48266999999999699</v>
      </c>
      <c r="G3550">
        <v>14.6924708377519</v>
      </c>
      <c r="H3550">
        <v>1</v>
      </c>
      <c r="I3550">
        <v>0.5237311</v>
      </c>
      <c r="J3550">
        <v>2017</v>
      </c>
      <c r="K3550">
        <v>10</v>
      </c>
      <c r="L3550">
        <v>26</v>
      </c>
      <c r="M3550" t="s">
        <v>90</v>
      </c>
      <c r="N3550">
        <v>0</v>
      </c>
      <c r="O3550">
        <v>0</v>
      </c>
    </row>
    <row r="3551" spans="1:15" x14ac:dyDescent="0.3">
      <c r="A3551">
        <v>3646</v>
      </c>
      <c r="B3551" s="34">
        <v>43035</v>
      </c>
      <c r="C3551">
        <v>1.16503</v>
      </c>
      <c r="D3551">
        <v>0</v>
      </c>
      <c r="F3551">
        <v>0.48266999999999699</v>
      </c>
      <c r="G3551">
        <v>14.6924708377519</v>
      </c>
      <c r="H3551">
        <v>1</v>
      </c>
      <c r="I3551">
        <v>0.52386180000000004</v>
      </c>
      <c r="J3551">
        <v>2017</v>
      </c>
      <c r="K3551">
        <v>10</v>
      </c>
      <c r="L3551">
        <v>27</v>
      </c>
      <c r="M3551" t="s">
        <v>91</v>
      </c>
      <c r="N3551">
        <v>0</v>
      </c>
      <c r="O3551">
        <v>0</v>
      </c>
    </row>
    <row r="3552" spans="1:15" x14ac:dyDescent="0.3">
      <c r="A3552">
        <v>3647</v>
      </c>
      <c r="B3552" s="34">
        <v>43038</v>
      </c>
      <c r="C3552">
        <v>1.1607499999999999</v>
      </c>
      <c r="D3552">
        <v>0</v>
      </c>
      <c r="F3552">
        <v>0.48266999999999699</v>
      </c>
      <c r="G3552">
        <v>14.6924708377519</v>
      </c>
      <c r="H3552">
        <v>0</v>
      </c>
      <c r="I3552">
        <v>0.52371809999999996</v>
      </c>
      <c r="J3552">
        <v>2017</v>
      </c>
      <c r="K3552">
        <v>10</v>
      </c>
      <c r="L3552">
        <v>30</v>
      </c>
      <c r="M3552" t="s">
        <v>92</v>
      </c>
      <c r="N3552">
        <v>0</v>
      </c>
      <c r="O3552">
        <v>0</v>
      </c>
    </row>
    <row r="3553" spans="1:15" x14ac:dyDescent="0.3">
      <c r="A3553">
        <v>3648</v>
      </c>
      <c r="B3553" s="34">
        <v>43039</v>
      </c>
      <c r="C3553">
        <v>1.1650499999999999</v>
      </c>
      <c r="D3553">
        <v>0</v>
      </c>
      <c r="F3553">
        <v>0.48266999999999699</v>
      </c>
      <c r="G3553">
        <v>14.6924708377519</v>
      </c>
      <c r="H3553">
        <v>1</v>
      </c>
      <c r="I3553">
        <v>0.52384869999999994</v>
      </c>
      <c r="J3553">
        <v>2017</v>
      </c>
      <c r="K3553">
        <v>10</v>
      </c>
      <c r="L3553">
        <v>31</v>
      </c>
      <c r="M3553" t="s">
        <v>93</v>
      </c>
      <c r="N3553">
        <v>0</v>
      </c>
      <c r="O3553">
        <v>0</v>
      </c>
    </row>
    <row r="3554" spans="1:15" x14ac:dyDescent="0.3">
      <c r="A3554">
        <v>3649</v>
      </c>
      <c r="B3554" s="34">
        <v>43040</v>
      </c>
      <c r="C3554">
        <v>1.1645700000000001</v>
      </c>
      <c r="D3554">
        <v>0</v>
      </c>
      <c r="F3554">
        <v>0.48266999999999699</v>
      </c>
      <c r="G3554">
        <v>14.6924708377519</v>
      </c>
      <c r="H3554">
        <v>1</v>
      </c>
      <c r="I3554">
        <v>0.52397919999999998</v>
      </c>
      <c r="J3554">
        <v>2017</v>
      </c>
      <c r="K3554">
        <v>11</v>
      </c>
      <c r="L3554">
        <v>1</v>
      </c>
      <c r="M3554" t="s">
        <v>89</v>
      </c>
      <c r="N3554">
        <v>0</v>
      </c>
      <c r="O3554">
        <v>0</v>
      </c>
    </row>
    <row r="3555" spans="1:15" x14ac:dyDescent="0.3">
      <c r="A3555">
        <v>3650</v>
      </c>
      <c r="B3555" s="34">
        <v>43041</v>
      </c>
      <c r="C3555">
        <v>1.16184</v>
      </c>
      <c r="D3555">
        <v>0</v>
      </c>
      <c r="F3555">
        <v>0.48266999999999699</v>
      </c>
      <c r="G3555">
        <v>14.6924708377519</v>
      </c>
      <c r="H3555">
        <v>1</v>
      </c>
      <c r="I3555">
        <v>0.52410959999999995</v>
      </c>
      <c r="J3555">
        <v>2017</v>
      </c>
      <c r="K3555">
        <v>11</v>
      </c>
      <c r="L3555">
        <v>2</v>
      </c>
      <c r="M3555" t="s">
        <v>90</v>
      </c>
      <c r="N3555">
        <v>0</v>
      </c>
      <c r="O3555">
        <v>0</v>
      </c>
    </row>
    <row r="3556" spans="1:15" x14ac:dyDescent="0.3">
      <c r="A3556">
        <v>3651</v>
      </c>
      <c r="B3556" s="34">
        <v>43042</v>
      </c>
      <c r="C3556">
        <v>1.1655899999999999</v>
      </c>
      <c r="D3556">
        <v>0</v>
      </c>
      <c r="F3556">
        <v>0.48266999999999699</v>
      </c>
      <c r="G3556">
        <v>14.6924708377519</v>
      </c>
      <c r="H3556">
        <v>1</v>
      </c>
      <c r="I3556">
        <v>0.52424000000000004</v>
      </c>
      <c r="J3556">
        <v>2017</v>
      </c>
      <c r="K3556">
        <v>11</v>
      </c>
      <c r="L3556">
        <v>3</v>
      </c>
      <c r="M3556" t="s">
        <v>91</v>
      </c>
      <c r="N3556">
        <v>0</v>
      </c>
      <c r="O3556">
        <v>0</v>
      </c>
    </row>
    <row r="3557" spans="1:15" x14ac:dyDescent="0.3">
      <c r="A3557">
        <v>3652</v>
      </c>
      <c r="B3557" s="34">
        <v>43045</v>
      </c>
      <c r="C3557">
        <v>1.16066</v>
      </c>
      <c r="D3557">
        <v>0</v>
      </c>
      <c r="F3557">
        <v>0.48266999999999699</v>
      </c>
      <c r="G3557">
        <v>14.6924708377519</v>
      </c>
      <c r="H3557">
        <v>1</v>
      </c>
      <c r="I3557">
        <v>0.52437020000000001</v>
      </c>
      <c r="J3557">
        <v>2017</v>
      </c>
      <c r="K3557">
        <v>11</v>
      </c>
      <c r="L3557">
        <v>6</v>
      </c>
      <c r="M3557" t="s">
        <v>92</v>
      </c>
      <c r="N3557">
        <v>0</v>
      </c>
      <c r="O3557">
        <v>0</v>
      </c>
    </row>
    <row r="3558" spans="1:15" x14ac:dyDescent="0.3">
      <c r="A3558">
        <v>3653</v>
      </c>
      <c r="B3558" s="34">
        <v>43046</v>
      </c>
      <c r="C3558">
        <v>1.16089</v>
      </c>
      <c r="D3558">
        <v>0</v>
      </c>
      <c r="F3558">
        <v>0.48266999999999699</v>
      </c>
      <c r="G3558">
        <v>14.6924708377519</v>
      </c>
      <c r="H3558">
        <v>1</v>
      </c>
      <c r="I3558">
        <v>0.52450039999999998</v>
      </c>
      <c r="J3558">
        <v>2017</v>
      </c>
      <c r="K3558">
        <v>11</v>
      </c>
      <c r="L3558">
        <v>7</v>
      </c>
      <c r="M3558" t="s">
        <v>93</v>
      </c>
      <c r="N3558">
        <v>0</v>
      </c>
      <c r="O3558">
        <v>0</v>
      </c>
    </row>
    <row r="3559" spans="1:15" x14ac:dyDescent="0.3">
      <c r="A3559">
        <v>3654</v>
      </c>
      <c r="B3559" s="34">
        <v>43047</v>
      </c>
      <c r="C3559">
        <v>1.1585399999999999</v>
      </c>
      <c r="D3559">
        <v>0</v>
      </c>
      <c r="F3559">
        <v>0.48266999999999699</v>
      </c>
      <c r="G3559">
        <v>14.6924708377519</v>
      </c>
      <c r="H3559">
        <v>0</v>
      </c>
      <c r="I3559">
        <v>0.52435679999999996</v>
      </c>
      <c r="J3559">
        <v>2017</v>
      </c>
      <c r="K3559">
        <v>11</v>
      </c>
      <c r="L3559">
        <v>8</v>
      </c>
      <c r="M3559" t="s">
        <v>89</v>
      </c>
      <c r="N3559">
        <v>0</v>
      </c>
      <c r="O3559">
        <v>0</v>
      </c>
    </row>
    <row r="3560" spans="1:15" x14ac:dyDescent="0.3">
      <c r="A3560">
        <v>3655</v>
      </c>
      <c r="B3560" s="34">
        <v>43048</v>
      </c>
      <c r="C3560">
        <v>1.15943</v>
      </c>
      <c r="D3560">
        <v>0</v>
      </c>
      <c r="F3560">
        <v>0.48266999999999699</v>
      </c>
      <c r="G3560">
        <v>14.6924708377519</v>
      </c>
      <c r="H3560">
        <v>1</v>
      </c>
      <c r="I3560">
        <v>0.52448700000000004</v>
      </c>
      <c r="J3560">
        <v>2017</v>
      </c>
      <c r="K3560">
        <v>11</v>
      </c>
      <c r="L3560">
        <v>9</v>
      </c>
      <c r="M3560" t="s">
        <v>90</v>
      </c>
      <c r="N3560">
        <v>0</v>
      </c>
      <c r="O3560">
        <v>0</v>
      </c>
    </row>
    <row r="3561" spans="1:15" x14ac:dyDescent="0.3">
      <c r="A3561">
        <v>3656</v>
      </c>
      <c r="B3561" s="34">
        <v>43049</v>
      </c>
      <c r="C3561">
        <v>1.16411</v>
      </c>
      <c r="D3561">
        <v>0</v>
      </c>
      <c r="F3561">
        <v>0.48266999999999699</v>
      </c>
      <c r="G3561">
        <v>14.6924708377519</v>
      </c>
      <c r="H3561">
        <v>0</v>
      </c>
      <c r="I3561">
        <v>0.52434360000000002</v>
      </c>
      <c r="J3561">
        <v>2017</v>
      </c>
      <c r="K3561">
        <v>11</v>
      </c>
      <c r="L3561">
        <v>10</v>
      </c>
      <c r="M3561" t="s">
        <v>91</v>
      </c>
      <c r="N3561">
        <v>0</v>
      </c>
      <c r="O3561">
        <v>0</v>
      </c>
    </row>
    <row r="3562" spans="1:15" x14ac:dyDescent="0.3">
      <c r="A3562">
        <v>3657</v>
      </c>
      <c r="B3562" s="34">
        <v>43052</v>
      </c>
      <c r="C3562">
        <v>1.1663699999999999</v>
      </c>
      <c r="D3562">
        <v>0</v>
      </c>
      <c r="F3562">
        <v>0.48266999999999699</v>
      </c>
      <c r="G3562">
        <v>14.6924708377519</v>
      </c>
      <c r="H3562">
        <v>0</v>
      </c>
      <c r="I3562">
        <v>0.52420009999999995</v>
      </c>
      <c r="J3562">
        <v>2017</v>
      </c>
      <c r="K3562">
        <v>11</v>
      </c>
      <c r="L3562">
        <v>13</v>
      </c>
      <c r="M3562" t="s">
        <v>92</v>
      </c>
      <c r="N3562">
        <v>0</v>
      </c>
      <c r="O3562">
        <v>0</v>
      </c>
    </row>
    <row r="3563" spans="1:15" x14ac:dyDescent="0.3">
      <c r="A3563">
        <v>3658</v>
      </c>
      <c r="B3563" s="34">
        <v>43053</v>
      </c>
      <c r="C3563">
        <v>1.1666700000000001</v>
      </c>
      <c r="D3563">
        <v>0</v>
      </c>
      <c r="F3563">
        <v>0.48266999999999699</v>
      </c>
      <c r="G3563">
        <v>14.6924708377519</v>
      </c>
      <c r="H3563">
        <v>0</v>
      </c>
      <c r="I3563">
        <v>0.52405690000000005</v>
      </c>
      <c r="J3563">
        <v>2017</v>
      </c>
      <c r="K3563">
        <v>11</v>
      </c>
      <c r="L3563">
        <v>14</v>
      </c>
      <c r="M3563" t="s">
        <v>93</v>
      </c>
      <c r="N3563">
        <v>0</v>
      </c>
      <c r="O3563">
        <v>0</v>
      </c>
    </row>
    <row r="3564" spans="1:15" x14ac:dyDescent="0.3">
      <c r="A3564">
        <v>3659</v>
      </c>
      <c r="B3564" s="34">
        <v>43054</v>
      </c>
      <c r="C3564">
        <v>1.17974</v>
      </c>
      <c r="D3564">
        <v>0</v>
      </c>
      <c r="F3564">
        <v>0.48266999999999699</v>
      </c>
      <c r="G3564">
        <v>14.6924708377519</v>
      </c>
      <c r="H3564">
        <v>0</v>
      </c>
      <c r="I3564">
        <v>0.52391359999999998</v>
      </c>
      <c r="J3564">
        <v>2017</v>
      </c>
      <c r="K3564">
        <v>11</v>
      </c>
      <c r="L3564">
        <v>15</v>
      </c>
      <c r="M3564" t="s">
        <v>89</v>
      </c>
      <c r="N3564">
        <v>0</v>
      </c>
      <c r="O3564">
        <v>0</v>
      </c>
    </row>
    <row r="3565" spans="1:15" x14ac:dyDescent="0.3">
      <c r="A3565">
        <v>3660</v>
      </c>
      <c r="B3565" s="34">
        <v>43055</v>
      </c>
      <c r="C3565">
        <v>1.17903</v>
      </c>
      <c r="D3565">
        <v>0</v>
      </c>
      <c r="F3565">
        <v>0.48266999999999699</v>
      </c>
      <c r="G3565">
        <v>14.6924708377519</v>
      </c>
      <c r="H3565">
        <v>1</v>
      </c>
      <c r="I3565">
        <v>0.5240437</v>
      </c>
      <c r="J3565">
        <v>2017</v>
      </c>
      <c r="K3565">
        <v>11</v>
      </c>
      <c r="L3565">
        <v>16</v>
      </c>
      <c r="M3565" t="s">
        <v>90</v>
      </c>
      <c r="N3565">
        <v>0</v>
      </c>
      <c r="O3565">
        <v>0</v>
      </c>
    </row>
    <row r="3566" spans="1:15" x14ac:dyDescent="0.3">
      <c r="A3566">
        <v>3661</v>
      </c>
      <c r="B3566" s="34">
        <v>43056</v>
      </c>
      <c r="C3566">
        <v>1.1769499999999999</v>
      </c>
      <c r="D3566">
        <v>0</v>
      </c>
      <c r="F3566">
        <v>0.48266999999999699</v>
      </c>
      <c r="G3566">
        <v>14.6924708377519</v>
      </c>
      <c r="H3566">
        <v>1</v>
      </c>
      <c r="I3566">
        <v>0.52417369999999996</v>
      </c>
      <c r="J3566">
        <v>2017</v>
      </c>
      <c r="K3566">
        <v>11</v>
      </c>
      <c r="L3566">
        <v>17</v>
      </c>
      <c r="M3566" t="s">
        <v>91</v>
      </c>
      <c r="N3566">
        <v>0</v>
      </c>
      <c r="O3566">
        <v>0</v>
      </c>
    </row>
    <row r="3567" spans="1:15" x14ac:dyDescent="0.3">
      <c r="A3567">
        <v>3662</v>
      </c>
      <c r="B3567" s="34">
        <v>43059</v>
      </c>
      <c r="C3567">
        <v>1.1788400000000001</v>
      </c>
      <c r="D3567">
        <v>0</v>
      </c>
      <c r="F3567">
        <v>0.48266999999999699</v>
      </c>
      <c r="G3567">
        <v>14.6924708377519</v>
      </c>
      <c r="H3567">
        <v>0</v>
      </c>
      <c r="I3567">
        <v>0.52403060000000001</v>
      </c>
      <c r="J3567">
        <v>2017</v>
      </c>
      <c r="K3567">
        <v>11</v>
      </c>
      <c r="L3567">
        <v>20</v>
      </c>
      <c r="M3567" t="s">
        <v>92</v>
      </c>
      <c r="N3567">
        <v>0</v>
      </c>
      <c r="O3567">
        <v>0</v>
      </c>
    </row>
    <row r="3568" spans="1:15" x14ac:dyDescent="0.3">
      <c r="A3568">
        <v>3663</v>
      </c>
      <c r="B3568" s="34">
        <v>43060</v>
      </c>
      <c r="C3568">
        <v>1.1733</v>
      </c>
      <c r="D3568">
        <v>0</v>
      </c>
      <c r="F3568">
        <v>0.48266999999999699</v>
      </c>
      <c r="G3568">
        <v>14.6924708377519</v>
      </c>
      <c r="H3568">
        <v>1</v>
      </c>
      <c r="I3568">
        <v>0.52416050000000003</v>
      </c>
      <c r="J3568">
        <v>2017</v>
      </c>
      <c r="K3568">
        <v>11</v>
      </c>
      <c r="L3568">
        <v>21</v>
      </c>
      <c r="M3568" t="s">
        <v>93</v>
      </c>
      <c r="N3568">
        <v>0</v>
      </c>
      <c r="O3568">
        <v>0</v>
      </c>
    </row>
    <row r="3569" spans="1:15" x14ac:dyDescent="0.3">
      <c r="A3569">
        <v>3664</v>
      </c>
      <c r="B3569" s="34">
        <v>43061</v>
      </c>
      <c r="C3569">
        <v>1.17378</v>
      </c>
      <c r="D3569">
        <v>-2</v>
      </c>
      <c r="F3569">
        <v>0.47426999999999703</v>
      </c>
      <c r="G3569">
        <v>16.177094379639499</v>
      </c>
      <c r="H3569">
        <v>0</v>
      </c>
      <c r="I3569">
        <v>0.52401750000000002</v>
      </c>
      <c r="J3569">
        <v>2017</v>
      </c>
      <c r="K3569">
        <v>11</v>
      </c>
      <c r="L3569">
        <v>22</v>
      </c>
      <c r="M3569" t="s">
        <v>89</v>
      </c>
      <c r="N3569">
        <v>0</v>
      </c>
      <c r="O3569">
        <v>0</v>
      </c>
    </row>
    <row r="3570" spans="1:15" x14ac:dyDescent="0.3">
      <c r="A3570">
        <v>3665</v>
      </c>
      <c r="B3570" s="34">
        <v>43062</v>
      </c>
      <c r="C3570">
        <v>1.18218</v>
      </c>
      <c r="D3570">
        <v>0</v>
      </c>
      <c r="F3570">
        <v>0.47426999999999703</v>
      </c>
      <c r="G3570">
        <v>16.177094379639499</v>
      </c>
      <c r="H3570">
        <v>0</v>
      </c>
      <c r="I3570">
        <v>0.52387450000000002</v>
      </c>
      <c r="J3570">
        <v>2017</v>
      </c>
      <c r="K3570">
        <v>11</v>
      </c>
      <c r="L3570">
        <v>23</v>
      </c>
      <c r="M3570" t="s">
        <v>90</v>
      </c>
      <c r="N3570">
        <v>0</v>
      </c>
      <c r="O3570">
        <v>0</v>
      </c>
    </row>
    <row r="3571" spans="1:15" x14ac:dyDescent="0.3">
      <c r="A3571">
        <v>3666</v>
      </c>
      <c r="B3571" s="34">
        <v>43063</v>
      </c>
      <c r="C3571">
        <v>1.18486</v>
      </c>
      <c r="D3571">
        <v>0</v>
      </c>
      <c r="F3571">
        <v>0.47426999999999703</v>
      </c>
      <c r="G3571">
        <v>16.177094379639499</v>
      </c>
      <c r="H3571">
        <v>0</v>
      </c>
      <c r="I3571">
        <v>0.52373159999999996</v>
      </c>
      <c r="J3571">
        <v>2017</v>
      </c>
      <c r="K3571">
        <v>11</v>
      </c>
      <c r="L3571">
        <v>24</v>
      </c>
      <c r="M3571" t="s">
        <v>91</v>
      </c>
      <c r="N3571">
        <v>0</v>
      </c>
      <c r="O3571">
        <v>0</v>
      </c>
    </row>
    <row r="3572" spans="1:15" x14ac:dyDescent="0.3">
      <c r="A3572">
        <v>3667</v>
      </c>
      <c r="B3572" s="34">
        <v>43066</v>
      </c>
      <c r="C3572">
        <v>1.1928700000000001</v>
      </c>
      <c r="D3572">
        <v>0</v>
      </c>
      <c r="F3572">
        <v>0.47426999999999703</v>
      </c>
      <c r="G3572">
        <v>16.177094379639499</v>
      </c>
      <c r="H3572">
        <v>0</v>
      </c>
      <c r="I3572">
        <v>0.52358879999999997</v>
      </c>
      <c r="J3572">
        <v>2017</v>
      </c>
      <c r="K3572">
        <v>11</v>
      </c>
      <c r="L3572">
        <v>27</v>
      </c>
      <c r="M3572" t="s">
        <v>92</v>
      </c>
      <c r="N3572">
        <v>0</v>
      </c>
      <c r="O3572">
        <v>0</v>
      </c>
    </row>
    <row r="3573" spans="1:15" x14ac:dyDescent="0.3">
      <c r="A3573">
        <v>3668</v>
      </c>
      <c r="B3573" s="34">
        <v>43067</v>
      </c>
      <c r="C3573">
        <v>1.1897800000000001</v>
      </c>
      <c r="D3573">
        <v>0</v>
      </c>
      <c r="F3573">
        <v>0.47426999999999703</v>
      </c>
      <c r="G3573">
        <v>16.177094379639499</v>
      </c>
      <c r="H3573">
        <v>1</v>
      </c>
      <c r="I3573">
        <v>0.52371869999999998</v>
      </c>
      <c r="J3573">
        <v>2017</v>
      </c>
      <c r="K3573">
        <v>11</v>
      </c>
      <c r="L3573">
        <v>28</v>
      </c>
      <c r="M3573" t="s">
        <v>93</v>
      </c>
      <c r="N3573">
        <v>0</v>
      </c>
      <c r="O3573">
        <v>0</v>
      </c>
    </row>
    <row r="3574" spans="1:15" x14ac:dyDescent="0.3">
      <c r="A3574">
        <v>3669</v>
      </c>
      <c r="B3574" s="34">
        <v>43068</v>
      </c>
      <c r="C3574">
        <v>1.1837200000000001</v>
      </c>
      <c r="D3574">
        <v>0</v>
      </c>
      <c r="F3574">
        <v>0.47426999999999703</v>
      </c>
      <c r="G3574">
        <v>16.177094379639499</v>
      </c>
      <c r="H3574">
        <v>1</v>
      </c>
      <c r="I3574">
        <v>0.52384850000000005</v>
      </c>
      <c r="J3574">
        <v>2017</v>
      </c>
      <c r="K3574">
        <v>11</v>
      </c>
      <c r="L3574">
        <v>29</v>
      </c>
      <c r="M3574" t="s">
        <v>89</v>
      </c>
      <c r="N3574">
        <v>0</v>
      </c>
      <c r="O3574">
        <v>0</v>
      </c>
    </row>
    <row r="3575" spans="1:15" x14ac:dyDescent="0.3">
      <c r="A3575">
        <v>3670</v>
      </c>
      <c r="B3575" s="34">
        <v>43069</v>
      </c>
      <c r="C3575">
        <v>1.18468</v>
      </c>
      <c r="D3575">
        <v>0</v>
      </c>
      <c r="F3575">
        <v>0.47426999999999703</v>
      </c>
      <c r="G3575">
        <v>16.177094379639499</v>
      </c>
      <c r="H3575">
        <v>1</v>
      </c>
      <c r="I3575">
        <v>0.52397819999999995</v>
      </c>
      <c r="J3575">
        <v>2017</v>
      </c>
      <c r="K3575">
        <v>11</v>
      </c>
      <c r="L3575">
        <v>30</v>
      </c>
      <c r="M3575" t="s">
        <v>90</v>
      </c>
      <c r="N3575">
        <v>0</v>
      </c>
      <c r="O3575">
        <v>0</v>
      </c>
    </row>
    <row r="3576" spans="1:15" x14ac:dyDescent="0.3">
      <c r="A3576">
        <v>3671</v>
      </c>
      <c r="B3576" s="34">
        <v>43070</v>
      </c>
      <c r="C3576">
        <v>1.19035</v>
      </c>
      <c r="D3576">
        <v>0</v>
      </c>
      <c r="F3576">
        <v>0.47426999999999703</v>
      </c>
      <c r="G3576">
        <v>16.177094379639499</v>
      </c>
      <c r="H3576">
        <v>1</v>
      </c>
      <c r="I3576">
        <v>0.52410789999999996</v>
      </c>
      <c r="J3576">
        <v>2017</v>
      </c>
      <c r="K3576">
        <v>12</v>
      </c>
      <c r="L3576">
        <v>1</v>
      </c>
      <c r="M3576" t="s">
        <v>91</v>
      </c>
      <c r="N3576">
        <v>0</v>
      </c>
      <c r="O3576">
        <v>0</v>
      </c>
    </row>
    <row r="3577" spans="1:15" x14ac:dyDescent="0.3">
      <c r="A3577">
        <v>3672</v>
      </c>
      <c r="B3577" s="34">
        <v>43073</v>
      </c>
      <c r="C3577">
        <v>1.18919</v>
      </c>
      <c r="D3577">
        <v>0</v>
      </c>
      <c r="F3577">
        <v>0.47426999999999703</v>
      </c>
      <c r="G3577">
        <v>16.177094379639499</v>
      </c>
      <c r="H3577">
        <v>1</v>
      </c>
      <c r="I3577">
        <v>0.52423750000000002</v>
      </c>
      <c r="J3577">
        <v>2017</v>
      </c>
      <c r="K3577">
        <v>12</v>
      </c>
      <c r="L3577">
        <v>4</v>
      </c>
      <c r="M3577" t="s">
        <v>92</v>
      </c>
      <c r="N3577">
        <v>0</v>
      </c>
      <c r="O3577">
        <v>0</v>
      </c>
    </row>
    <row r="3578" spans="1:15" x14ac:dyDescent="0.3">
      <c r="A3578">
        <v>3673</v>
      </c>
      <c r="B3578" s="34">
        <v>43074</v>
      </c>
      <c r="C3578">
        <v>1.1865600000000001</v>
      </c>
      <c r="D3578">
        <v>0</v>
      </c>
      <c r="F3578">
        <v>0.47426999999999703</v>
      </c>
      <c r="G3578">
        <v>16.177094379639499</v>
      </c>
      <c r="H3578">
        <v>1</v>
      </c>
      <c r="I3578">
        <v>0.52436700000000003</v>
      </c>
      <c r="J3578">
        <v>2017</v>
      </c>
      <c r="K3578">
        <v>12</v>
      </c>
      <c r="L3578">
        <v>5</v>
      </c>
      <c r="M3578" t="s">
        <v>93</v>
      </c>
      <c r="N3578">
        <v>0</v>
      </c>
      <c r="O3578">
        <v>0</v>
      </c>
    </row>
    <row r="3579" spans="1:15" x14ac:dyDescent="0.3">
      <c r="A3579">
        <v>3674</v>
      </c>
      <c r="B3579" s="34">
        <v>43075</v>
      </c>
      <c r="C3579">
        <v>1.1826099999999999</v>
      </c>
      <c r="D3579">
        <v>0</v>
      </c>
      <c r="F3579">
        <v>0.47426999999999703</v>
      </c>
      <c r="G3579">
        <v>16.177094379639499</v>
      </c>
      <c r="H3579">
        <v>0</v>
      </c>
      <c r="I3579">
        <v>0.52422429999999998</v>
      </c>
      <c r="J3579">
        <v>2017</v>
      </c>
      <c r="K3579">
        <v>12</v>
      </c>
      <c r="L3579">
        <v>6</v>
      </c>
      <c r="M3579" t="s">
        <v>89</v>
      </c>
      <c r="N3579">
        <v>0</v>
      </c>
      <c r="O3579">
        <v>0</v>
      </c>
    </row>
    <row r="3580" spans="1:15" x14ac:dyDescent="0.3">
      <c r="A3580">
        <v>3675</v>
      </c>
      <c r="B3580" s="34">
        <v>43076</v>
      </c>
      <c r="C3580">
        <v>1.1794800000000001</v>
      </c>
      <c r="D3580">
        <v>0</v>
      </c>
      <c r="F3580">
        <v>0.47426999999999703</v>
      </c>
      <c r="G3580">
        <v>16.177094379639499</v>
      </c>
      <c r="H3580">
        <v>0</v>
      </c>
      <c r="I3580">
        <v>0.52408160000000004</v>
      </c>
      <c r="J3580">
        <v>2017</v>
      </c>
      <c r="K3580">
        <v>12</v>
      </c>
      <c r="L3580">
        <v>7</v>
      </c>
      <c r="M3580" t="s">
        <v>90</v>
      </c>
      <c r="N3580">
        <v>0</v>
      </c>
      <c r="O3580">
        <v>0</v>
      </c>
    </row>
    <row r="3581" spans="1:15" x14ac:dyDescent="0.3">
      <c r="A3581">
        <v>3676</v>
      </c>
      <c r="B3581" s="34">
        <v>43077</v>
      </c>
      <c r="C3581">
        <v>1.17719</v>
      </c>
      <c r="D3581">
        <v>0</v>
      </c>
      <c r="F3581">
        <v>0.47426999999999703</v>
      </c>
      <c r="G3581">
        <v>16.177094379639499</v>
      </c>
      <c r="H3581">
        <v>0</v>
      </c>
      <c r="I3581">
        <v>0.52393909999999999</v>
      </c>
      <c r="J3581">
        <v>2017</v>
      </c>
      <c r="K3581">
        <v>12</v>
      </c>
      <c r="L3581">
        <v>8</v>
      </c>
      <c r="M3581" t="s">
        <v>91</v>
      </c>
      <c r="N3581">
        <v>0</v>
      </c>
      <c r="O3581">
        <v>0</v>
      </c>
    </row>
    <row r="3582" spans="1:15" x14ac:dyDescent="0.3">
      <c r="A3582">
        <v>3677</v>
      </c>
      <c r="B3582" s="34">
        <v>43080</v>
      </c>
      <c r="C3582">
        <v>1.1773100000000001</v>
      </c>
      <c r="D3582">
        <v>0</v>
      </c>
      <c r="F3582">
        <v>0.47426999999999703</v>
      </c>
      <c r="G3582">
        <v>16.177094379639499</v>
      </c>
      <c r="H3582">
        <v>1</v>
      </c>
      <c r="I3582">
        <v>0.52406850000000005</v>
      </c>
      <c r="J3582">
        <v>2017</v>
      </c>
      <c r="K3582">
        <v>12</v>
      </c>
      <c r="L3582">
        <v>11</v>
      </c>
      <c r="M3582" t="s">
        <v>92</v>
      </c>
      <c r="N3582">
        <v>0</v>
      </c>
      <c r="O3582">
        <v>0</v>
      </c>
    </row>
    <row r="3583" spans="1:15" x14ac:dyDescent="0.3">
      <c r="A3583">
        <v>3678</v>
      </c>
      <c r="B3583" s="34">
        <v>43081</v>
      </c>
      <c r="C3583">
        <v>1.17685</v>
      </c>
      <c r="D3583">
        <v>0</v>
      </c>
      <c r="F3583">
        <v>0.47426999999999703</v>
      </c>
      <c r="G3583">
        <v>16.177094379639499</v>
      </c>
      <c r="H3583">
        <v>0</v>
      </c>
      <c r="I3583">
        <v>0.523926</v>
      </c>
      <c r="J3583">
        <v>2017</v>
      </c>
      <c r="K3583">
        <v>12</v>
      </c>
      <c r="L3583">
        <v>12</v>
      </c>
      <c r="M3583" t="s">
        <v>93</v>
      </c>
      <c r="N3583">
        <v>0</v>
      </c>
      <c r="O3583">
        <v>0</v>
      </c>
    </row>
    <row r="3584" spans="1:15" x14ac:dyDescent="0.3">
      <c r="A3584">
        <v>3679</v>
      </c>
      <c r="B3584" s="34">
        <v>43082</v>
      </c>
      <c r="C3584">
        <v>1.1740999999999999</v>
      </c>
      <c r="D3584">
        <v>0</v>
      </c>
      <c r="F3584">
        <v>0.47426999999999703</v>
      </c>
      <c r="G3584">
        <v>16.177094379639499</v>
      </c>
      <c r="H3584">
        <v>0</v>
      </c>
      <c r="I3584">
        <v>0.52378360000000002</v>
      </c>
      <c r="J3584">
        <v>2017</v>
      </c>
      <c r="K3584">
        <v>12</v>
      </c>
      <c r="L3584">
        <v>13</v>
      </c>
      <c r="M3584" t="s">
        <v>89</v>
      </c>
      <c r="N3584">
        <v>0</v>
      </c>
      <c r="O3584">
        <v>0</v>
      </c>
    </row>
    <row r="3585" spans="1:15" x14ac:dyDescent="0.3">
      <c r="A3585">
        <v>3680</v>
      </c>
      <c r="B3585" s="34">
        <v>43083</v>
      </c>
      <c r="C3585">
        <v>1.1825699999999999</v>
      </c>
      <c r="D3585">
        <v>0</v>
      </c>
      <c r="F3585">
        <v>0.47426999999999703</v>
      </c>
      <c r="G3585">
        <v>16.177094379639499</v>
      </c>
      <c r="H3585">
        <v>1</v>
      </c>
      <c r="I3585">
        <v>0.52391299999999996</v>
      </c>
      <c r="J3585">
        <v>2017</v>
      </c>
      <c r="K3585">
        <v>12</v>
      </c>
      <c r="L3585">
        <v>14</v>
      </c>
      <c r="M3585" t="s">
        <v>90</v>
      </c>
      <c r="N3585">
        <v>0</v>
      </c>
      <c r="O3585">
        <v>0</v>
      </c>
    </row>
    <row r="3586" spans="1:15" x14ac:dyDescent="0.3">
      <c r="A3586">
        <v>3681</v>
      </c>
      <c r="B3586" s="34">
        <v>43084</v>
      </c>
      <c r="C3586">
        <v>1.1777299999999999</v>
      </c>
      <c r="D3586">
        <v>0</v>
      </c>
      <c r="F3586">
        <v>0.47426999999999703</v>
      </c>
      <c r="G3586">
        <v>16.177094379639499</v>
      </c>
      <c r="H3586">
        <v>1</v>
      </c>
      <c r="I3586">
        <v>0.52404240000000002</v>
      </c>
      <c r="J3586">
        <v>2017</v>
      </c>
      <c r="K3586">
        <v>12</v>
      </c>
      <c r="L3586">
        <v>15</v>
      </c>
      <c r="M3586" t="s">
        <v>91</v>
      </c>
      <c r="N3586">
        <v>0</v>
      </c>
      <c r="O3586">
        <v>0</v>
      </c>
    </row>
    <row r="3587" spans="1:15" x14ac:dyDescent="0.3">
      <c r="A3587">
        <v>3682</v>
      </c>
      <c r="B3587" s="34">
        <v>43087</v>
      </c>
      <c r="C3587">
        <v>1.1750499999999999</v>
      </c>
      <c r="D3587">
        <v>0</v>
      </c>
      <c r="F3587">
        <v>0.47426999999999703</v>
      </c>
      <c r="G3587">
        <v>16.177094379639499</v>
      </c>
      <c r="H3587">
        <v>1</v>
      </c>
      <c r="I3587">
        <v>0.52417170000000002</v>
      </c>
      <c r="J3587">
        <v>2017</v>
      </c>
      <c r="K3587">
        <v>12</v>
      </c>
      <c r="L3587">
        <v>18</v>
      </c>
      <c r="M3587" t="s">
        <v>92</v>
      </c>
      <c r="N3587">
        <v>0</v>
      </c>
      <c r="O3587">
        <v>0</v>
      </c>
    </row>
    <row r="3588" spans="1:15" x14ac:dyDescent="0.3">
      <c r="A3588">
        <v>3683</v>
      </c>
      <c r="B3588" s="34">
        <v>43088</v>
      </c>
      <c r="C3588">
        <v>1.1781200000000001</v>
      </c>
      <c r="D3588">
        <v>0</v>
      </c>
      <c r="F3588">
        <v>0.47426999999999703</v>
      </c>
      <c r="G3588">
        <v>16.177094379639499</v>
      </c>
      <c r="H3588">
        <v>1</v>
      </c>
      <c r="I3588">
        <v>0.52430080000000001</v>
      </c>
      <c r="J3588">
        <v>2017</v>
      </c>
      <c r="K3588">
        <v>12</v>
      </c>
      <c r="L3588">
        <v>19</v>
      </c>
      <c r="M3588" t="s">
        <v>93</v>
      </c>
      <c r="N3588">
        <v>0</v>
      </c>
      <c r="O3588">
        <v>0</v>
      </c>
    </row>
    <row r="3589" spans="1:15" x14ac:dyDescent="0.3">
      <c r="A3589">
        <v>3684</v>
      </c>
      <c r="B3589" s="34">
        <v>43089</v>
      </c>
      <c r="C3589">
        <v>1.1838500000000001</v>
      </c>
      <c r="D3589">
        <v>0</v>
      </c>
      <c r="F3589">
        <v>0.47426999999999703</v>
      </c>
      <c r="G3589">
        <v>16.177094379639499</v>
      </c>
      <c r="H3589">
        <v>0</v>
      </c>
      <c r="I3589">
        <v>0.52415849999999997</v>
      </c>
      <c r="J3589">
        <v>2017</v>
      </c>
      <c r="K3589">
        <v>12</v>
      </c>
      <c r="L3589">
        <v>20</v>
      </c>
      <c r="M3589" t="s">
        <v>89</v>
      </c>
      <c r="N3589">
        <v>0</v>
      </c>
      <c r="O3589">
        <v>0</v>
      </c>
    </row>
    <row r="3590" spans="1:15" x14ac:dyDescent="0.3">
      <c r="A3590">
        <v>3685</v>
      </c>
      <c r="B3590" s="34">
        <v>43090</v>
      </c>
      <c r="C3590">
        <v>1.18702</v>
      </c>
      <c r="D3590">
        <v>0</v>
      </c>
      <c r="F3590">
        <v>0.47426999999999703</v>
      </c>
      <c r="G3590">
        <v>16.177094379639499</v>
      </c>
      <c r="H3590">
        <v>0</v>
      </c>
      <c r="I3590">
        <v>0.52401629999999999</v>
      </c>
      <c r="J3590">
        <v>2017</v>
      </c>
      <c r="K3590">
        <v>12</v>
      </c>
      <c r="L3590">
        <v>21</v>
      </c>
      <c r="M3590" t="s">
        <v>90</v>
      </c>
      <c r="N3590">
        <v>0</v>
      </c>
      <c r="O3590">
        <v>0</v>
      </c>
    </row>
    <row r="3591" spans="1:15" x14ac:dyDescent="0.3">
      <c r="A3591">
        <v>3686</v>
      </c>
      <c r="B3591" s="34">
        <v>43091</v>
      </c>
      <c r="C3591">
        <v>1.1872400000000001</v>
      </c>
      <c r="D3591">
        <v>0</v>
      </c>
      <c r="F3591">
        <v>0.47426999999999703</v>
      </c>
      <c r="G3591">
        <v>16.177094379639499</v>
      </c>
      <c r="H3591">
        <v>0</v>
      </c>
      <c r="I3591">
        <v>0.52387410000000001</v>
      </c>
      <c r="J3591">
        <v>2017</v>
      </c>
      <c r="K3591">
        <v>12</v>
      </c>
      <c r="L3591">
        <v>22</v>
      </c>
      <c r="M3591" t="s">
        <v>91</v>
      </c>
      <c r="N3591">
        <v>0</v>
      </c>
      <c r="O3591">
        <v>0</v>
      </c>
    </row>
    <row r="3592" spans="1:15" x14ac:dyDescent="0.3">
      <c r="A3592">
        <v>3687</v>
      </c>
      <c r="B3592" s="34">
        <v>43095</v>
      </c>
      <c r="C3592">
        <v>1.1862999999999999</v>
      </c>
      <c r="D3592">
        <v>0</v>
      </c>
      <c r="F3592">
        <v>0.47426999999999703</v>
      </c>
      <c r="G3592">
        <v>16.177094379639499</v>
      </c>
      <c r="H3592">
        <v>1</v>
      </c>
      <c r="I3592">
        <v>0.52400329999999995</v>
      </c>
      <c r="J3592">
        <v>2017</v>
      </c>
      <c r="K3592">
        <v>12</v>
      </c>
      <c r="L3592">
        <v>26</v>
      </c>
      <c r="M3592" t="s">
        <v>93</v>
      </c>
      <c r="N3592">
        <v>0</v>
      </c>
      <c r="O3592">
        <v>0</v>
      </c>
    </row>
    <row r="3593" spans="1:15" x14ac:dyDescent="0.3">
      <c r="A3593">
        <v>3688</v>
      </c>
      <c r="B3593" s="34">
        <v>43096</v>
      </c>
      <c r="C3593">
        <v>1.1857899999999999</v>
      </c>
      <c r="D3593">
        <v>10</v>
      </c>
      <c r="E3593" t="s">
        <v>433</v>
      </c>
      <c r="F3593">
        <v>0.477129999999998</v>
      </c>
      <c r="G3593">
        <v>15.6716154118063</v>
      </c>
      <c r="H3593">
        <v>1</v>
      </c>
      <c r="I3593">
        <v>0.5241323</v>
      </c>
      <c r="J3593">
        <v>2017</v>
      </c>
      <c r="K3593">
        <v>12</v>
      </c>
      <c r="L3593">
        <v>27</v>
      </c>
      <c r="M3593" t="s">
        <v>89</v>
      </c>
      <c r="N3593">
        <v>0</v>
      </c>
      <c r="O3593">
        <v>0</v>
      </c>
    </row>
    <row r="3594" spans="1:15" x14ac:dyDescent="0.3">
      <c r="A3594">
        <v>3689</v>
      </c>
      <c r="B3594" s="34">
        <v>43097</v>
      </c>
      <c r="C3594">
        <v>1.18865</v>
      </c>
      <c r="D3594">
        <v>0</v>
      </c>
      <c r="F3594">
        <v>0.477129999999998</v>
      </c>
      <c r="G3594">
        <v>15.6716154118063</v>
      </c>
      <c r="H3594">
        <v>0</v>
      </c>
      <c r="I3594">
        <v>0.52399019999999996</v>
      </c>
      <c r="J3594">
        <v>2017</v>
      </c>
      <c r="K3594">
        <v>12</v>
      </c>
      <c r="L3594">
        <v>28</v>
      </c>
      <c r="M3594" t="s">
        <v>90</v>
      </c>
      <c r="N3594">
        <v>0</v>
      </c>
      <c r="O3594">
        <v>0</v>
      </c>
    </row>
    <row r="3595" spans="1:15" x14ac:dyDescent="0.3">
      <c r="A3595">
        <v>3690</v>
      </c>
      <c r="B3595" s="34">
        <v>43098</v>
      </c>
      <c r="C3595">
        <v>1.1942200000000001</v>
      </c>
      <c r="D3595">
        <v>0</v>
      </c>
      <c r="F3595">
        <v>0.477129999999998</v>
      </c>
      <c r="G3595">
        <v>15.6716154118063</v>
      </c>
      <c r="H3595">
        <v>0</v>
      </c>
      <c r="I3595">
        <v>0.52384819999999999</v>
      </c>
      <c r="J3595">
        <v>2017</v>
      </c>
      <c r="K3595">
        <v>12</v>
      </c>
      <c r="L3595">
        <v>29</v>
      </c>
      <c r="M3595" t="s">
        <v>91</v>
      </c>
      <c r="N3595">
        <v>0</v>
      </c>
      <c r="O3595">
        <v>0</v>
      </c>
    </row>
    <row r="3596" spans="1:15" x14ac:dyDescent="0.3">
      <c r="A3596">
        <v>3691</v>
      </c>
      <c r="B3596" s="34">
        <v>43102</v>
      </c>
      <c r="C3596">
        <v>1.1994100000000001</v>
      </c>
      <c r="D3596">
        <v>0</v>
      </c>
      <c r="F3596">
        <v>0.477129999999998</v>
      </c>
      <c r="G3596">
        <v>15.6716154118063</v>
      </c>
      <c r="H3596">
        <v>0</v>
      </c>
      <c r="I3596">
        <v>0.52370629999999996</v>
      </c>
      <c r="J3596">
        <v>2018</v>
      </c>
      <c r="K3596">
        <v>1</v>
      </c>
      <c r="L3596">
        <v>2</v>
      </c>
      <c r="M3596" t="s">
        <v>93</v>
      </c>
      <c r="N3596">
        <v>0</v>
      </c>
      <c r="O3596">
        <v>0</v>
      </c>
    </row>
    <row r="3597" spans="1:15" x14ac:dyDescent="0.3">
      <c r="A3597">
        <v>3692</v>
      </c>
      <c r="B3597" s="34">
        <v>43103</v>
      </c>
      <c r="C3597">
        <v>1.2057899999999999</v>
      </c>
      <c r="D3597">
        <v>0</v>
      </c>
      <c r="F3597">
        <v>0.477129999999998</v>
      </c>
      <c r="G3597">
        <v>15.6716154118063</v>
      </c>
      <c r="H3597">
        <v>0</v>
      </c>
      <c r="I3597">
        <v>0.52356449999999999</v>
      </c>
      <c r="J3597">
        <v>2018</v>
      </c>
      <c r="K3597">
        <v>1</v>
      </c>
      <c r="L3597">
        <v>3</v>
      </c>
      <c r="M3597" t="s">
        <v>89</v>
      </c>
      <c r="N3597">
        <v>0</v>
      </c>
      <c r="O3597">
        <v>0</v>
      </c>
    </row>
    <row r="3598" spans="1:15" x14ac:dyDescent="0.3">
      <c r="A3598">
        <v>3693</v>
      </c>
      <c r="B3598" s="34">
        <v>43104</v>
      </c>
      <c r="C3598">
        <v>1.2014199999999999</v>
      </c>
      <c r="D3598">
        <v>0</v>
      </c>
      <c r="F3598">
        <v>0.477129999999998</v>
      </c>
      <c r="G3598">
        <v>15.6716154118063</v>
      </c>
      <c r="H3598">
        <v>1</v>
      </c>
      <c r="I3598">
        <v>0.52369350000000003</v>
      </c>
      <c r="J3598">
        <v>2018</v>
      </c>
      <c r="K3598">
        <v>1</v>
      </c>
      <c r="L3598">
        <v>4</v>
      </c>
      <c r="M3598" t="s">
        <v>90</v>
      </c>
      <c r="N3598">
        <v>0</v>
      </c>
      <c r="O3598">
        <v>0</v>
      </c>
    </row>
    <row r="3599" spans="1:15" x14ac:dyDescent="0.3">
      <c r="A3599">
        <v>3694</v>
      </c>
      <c r="B3599" s="34">
        <v>43105</v>
      </c>
      <c r="C3599">
        <v>1.20678</v>
      </c>
      <c r="D3599">
        <v>0</v>
      </c>
      <c r="F3599">
        <v>0.477129999999998</v>
      </c>
      <c r="G3599">
        <v>15.6716154118063</v>
      </c>
      <c r="H3599">
        <v>1</v>
      </c>
      <c r="I3599">
        <v>0.52382240000000002</v>
      </c>
      <c r="J3599">
        <v>2018</v>
      </c>
      <c r="K3599">
        <v>1</v>
      </c>
      <c r="L3599">
        <v>5</v>
      </c>
      <c r="M3599" t="s">
        <v>91</v>
      </c>
      <c r="N3599">
        <v>0</v>
      </c>
      <c r="O3599">
        <v>0</v>
      </c>
    </row>
    <row r="3600" spans="1:15" x14ac:dyDescent="0.3">
      <c r="A3600">
        <v>3695</v>
      </c>
      <c r="B3600" s="34">
        <v>43108</v>
      </c>
      <c r="C3600">
        <v>1.2029799999999999</v>
      </c>
      <c r="D3600">
        <v>0</v>
      </c>
      <c r="F3600">
        <v>0.477129999999998</v>
      </c>
      <c r="G3600">
        <v>15.6716154118063</v>
      </c>
      <c r="H3600">
        <v>1</v>
      </c>
      <c r="I3600">
        <v>0.52395130000000001</v>
      </c>
      <c r="J3600">
        <v>2018</v>
      </c>
      <c r="K3600">
        <v>1</v>
      </c>
      <c r="L3600">
        <v>8</v>
      </c>
      <c r="M3600" t="s">
        <v>92</v>
      </c>
      <c r="N3600">
        <v>0</v>
      </c>
      <c r="O3600">
        <v>0</v>
      </c>
    </row>
    <row r="3601" spans="1:15" x14ac:dyDescent="0.3">
      <c r="A3601">
        <v>3696</v>
      </c>
      <c r="B3601" s="34">
        <v>43109</v>
      </c>
      <c r="C3601">
        <v>1.19669</v>
      </c>
      <c r="D3601">
        <v>0</v>
      </c>
      <c r="F3601">
        <v>0.477129999999998</v>
      </c>
      <c r="G3601">
        <v>15.6716154118063</v>
      </c>
      <c r="H3601">
        <v>0</v>
      </c>
      <c r="I3601">
        <v>0.52380959999999999</v>
      </c>
      <c r="J3601">
        <v>2018</v>
      </c>
      <c r="K3601">
        <v>1</v>
      </c>
      <c r="L3601">
        <v>9</v>
      </c>
      <c r="M3601" t="s">
        <v>93</v>
      </c>
      <c r="N3601">
        <v>0</v>
      </c>
      <c r="O3601">
        <v>0</v>
      </c>
    </row>
    <row r="3602" spans="1:15" x14ac:dyDescent="0.3">
      <c r="A3602">
        <v>3697</v>
      </c>
      <c r="B3602" s="34">
        <v>43110</v>
      </c>
      <c r="C3602">
        <v>1.19364</v>
      </c>
      <c r="D3602">
        <v>0</v>
      </c>
      <c r="F3602">
        <v>0.477129999999998</v>
      </c>
      <c r="G3602">
        <v>15.6716154118063</v>
      </c>
      <c r="H3602">
        <v>0</v>
      </c>
      <c r="I3602">
        <v>0.52366780000000002</v>
      </c>
      <c r="J3602">
        <v>2018</v>
      </c>
      <c r="K3602">
        <v>1</v>
      </c>
      <c r="L3602">
        <v>10</v>
      </c>
      <c r="M3602" t="s">
        <v>89</v>
      </c>
      <c r="N3602">
        <v>0</v>
      </c>
      <c r="O3602">
        <v>0</v>
      </c>
    </row>
    <row r="3603" spans="1:15" x14ac:dyDescent="0.3">
      <c r="A3603">
        <v>3698</v>
      </c>
      <c r="B3603" s="34">
        <v>43111</v>
      </c>
      <c r="C3603">
        <v>1.1947399999999999</v>
      </c>
      <c r="D3603">
        <v>0</v>
      </c>
      <c r="F3603">
        <v>0.477129999999998</v>
      </c>
      <c r="G3603">
        <v>15.6716154118063</v>
      </c>
      <c r="H3603">
        <v>1</v>
      </c>
      <c r="I3603">
        <v>0.52379659999999995</v>
      </c>
      <c r="J3603">
        <v>2018</v>
      </c>
      <c r="K3603">
        <v>1</v>
      </c>
      <c r="L3603">
        <v>11</v>
      </c>
      <c r="M3603" t="s">
        <v>90</v>
      </c>
      <c r="N3603">
        <v>0</v>
      </c>
      <c r="O3603">
        <v>0</v>
      </c>
    </row>
    <row r="3604" spans="1:15" x14ac:dyDescent="0.3">
      <c r="A3604">
        <v>3699</v>
      </c>
      <c r="B3604" s="34">
        <v>43112</v>
      </c>
      <c r="C3604">
        <v>1.2031400000000001</v>
      </c>
      <c r="D3604">
        <v>0</v>
      </c>
      <c r="F3604">
        <v>0.477129999999998</v>
      </c>
      <c r="G3604">
        <v>15.6716154118063</v>
      </c>
      <c r="H3604">
        <v>1</v>
      </c>
      <c r="I3604">
        <v>0.52392539999999999</v>
      </c>
      <c r="J3604">
        <v>2018</v>
      </c>
      <c r="K3604">
        <v>1</v>
      </c>
      <c r="L3604">
        <v>12</v>
      </c>
      <c r="M3604" t="s">
        <v>91</v>
      </c>
      <c r="N3604">
        <v>0</v>
      </c>
      <c r="O3604">
        <v>0</v>
      </c>
    </row>
    <row r="3605" spans="1:15" x14ac:dyDescent="0.3">
      <c r="A3605">
        <v>3700</v>
      </c>
      <c r="B3605" s="34">
        <v>43115</v>
      </c>
      <c r="C3605">
        <v>1.22</v>
      </c>
      <c r="D3605">
        <v>0</v>
      </c>
      <c r="F3605">
        <v>0.477129999999998</v>
      </c>
      <c r="G3605">
        <v>15.6716154118063</v>
      </c>
      <c r="H3605">
        <v>0</v>
      </c>
      <c r="I3605">
        <v>0.52378380000000002</v>
      </c>
      <c r="J3605">
        <v>2018</v>
      </c>
      <c r="K3605">
        <v>1</v>
      </c>
      <c r="L3605">
        <v>15</v>
      </c>
      <c r="M3605" t="s">
        <v>92</v>
      </c>
      <c r="N3605">
        <v>0</v>
      </c>
      <c r="O3605">
        <v>0</v>
      </c>
    </row>
    <row r="3606" spans="1:15" x14ac:dyDescent="0.3">
      <c r="A3606">
        <v>3701</v>
      </c>
      <c r="B3606" s="34">
        <v>43116</v>
      </c>
      <c r="C3606">
        <v>1.2262599999999999</v>
      </c>
      <c r="D3606">
        <v>0</v>
      </c>
      <c r="F3606">
        <v>0.477129999999998</v>
      </c>
      <c r="G3606">
        <v>15.6716154118063</v>
      </c>
      <c r="H3606">
        <v>0</v>
      </c>
      <c r="I3606">
        <v>0.52364219999999995</v>
      </c>
      <c r="J3606">
        <v>2018</v>
      </c>
      <c r="K3606">
        <v>1</v>
      </c>
      <c r="L3606">
        <v>16</v>
      </c>
      <c r="M3606" t="s">
        <v>93</v>
      </c>
      <c r="N3606">
        <v>0</v>
      </c>
      <c r="O3606">
        <v>0</v>
      </c>
    </row>
    <row r="3607" spans="1:15" x14ac:dyDescent="0.3">
      <c r="A3607">
        <v>3702</v>
      </c>
      <c r="B3607" s="34">
        <v>43117</v>
      </c>
      <c r="C3607">
        <v>1.2259500000000001</v>
      </c>
      <c r="D3607">
        <v>0</v>
      </c>
      <c r="F3607">
        <v>0.477129999999998</v>
      </c>
      <c r="G3607">
        <v>15.6716154118063</v>
      </c>
      <c r="H3607">
        <v>1</v>
      </c>
      <c r="I3607">
        <v>0.52377090000000004</v>
      </c>
      <c r="J3607">
        <v>2018</v>
      </c>
      <c r="K3607">
        <v>1</v>
      </c>
      <c r="L3607">
        <v>17</v>
      </c>
      <c r="M3607" t="s">
        <v>89</v>
      </c>
      <c r="N3607">
        <v>0</v>
      </c>
      <c r="O3607">
        <v>0</v>
      </c>
    </row>
    <row r="3608" spans="1:15" x14ac:dyDescent="0.3">
      <c r="A3608">
        <v>3703</v>
      </c>
      <c r="B3608" s="34">
        <v>43118</v>
      </c>
      <c r="C3608">
        <v>1.2184299999999999</v>
      </c>
      <c r="D3608">
        <v>0</v>
      </c>
      <c r="F3608">
        <v>0.477129999999998</v>
      </c>
      <c r="G3608">
        <v>15.6716154118063</v>
      </c>
      <c r="H3608">
        <v>1</v>
      </c>
      <c r="I3608">
        <v>0.52389960000000002</v>
      </c>
      <c r="J3608">
        <v>2018</v>
      </c>
      <c r="K3608">
        <v>1</v>
      </c>
      <c r="L3608">
        <v>18</v>
      </c>
      <c r="M3608" t="s">
        <v>90</v>
      </c>
      <c r="N3608">
        <v>0</v>
      </c>
      <c r="O3608">
        <v>0</v>
      </c>
    </row>
    <row r="3609" spans="1:15" x14ac:dyDescent="0.3">
      <c r="A3609">
        <v>3704</v>
      </c>
      <c r="B3609" s="34">
        <v>43119</v>
      </c>
      <c r="C3609">
        <v>1.2236899999999999</v>
      </c>
      <c r="D3609">
        <v>0</v>
      </c>
      <c r="F3609">
        <v>0.477129999999998</v>
      </c>
      <c r="G3609">
        <v>15.6716154118063</v>
      </c>
      <c r="H3609">
        <v>0</v>
      </c>
      <c r="I3609">
        <v>0.5237581</v>
      </c>
      <c r="J3609">
        <v>2018</v>
      </c>
      <c r="K3609">
        <v>1</v>
      </c>
      <c r="L3609">
        <v>19</v>
      </c>
      <c r="M3609" t="s">
        <v>91</v>
      </c>
      <c r="N3609">
        <v>0</v>
      </c>
      <c r="O3609">
        <v>0</v>
      </c>
    </row>
    <row r="3610" spans="1:15" x14ac:dyDescent="0.3">
      <c r="A3610">
        <v>3705</v>
      </c>
      <c r="B3610" s="34">
        <v>43122</v>
      </c>
      <c r="C3610">
        <v>1.22224</v>
      </c>
      <c r="D3610">
        <v>0</v>
      </c>
      <c r="F3610">
        <v>0.477129999999998</v>
      </c>
      <c r="G3610">
        <v>15.6716154118063</v>
      </c>
      <c r="H3610">
        <v>1</v>
      </c>
      <c r="I3610">
        <v>0.52388659999999998</v>
      </c>
      <c r="J3610">
        <v>2018</v>
      </c>
      <c r="K3610">
        <v>1</v>
      </c>
      <c r="L3610">
        <v>22</v>
      </c>
      <c r="M3610" t="s">
        <v>92</v>
      </c>
      <c r="N3610">
        <v>0</v>
      </c>
      <c r="O3610">
        <v>0</v>
      </c>
    </row>
    <row r="3611" spans="1:15" x14ac:dyDescent="0.3">
      <c r="A3611">
        <v>3706</v>
      </c>
      <c r="B3611" s="34">
        <v>43123</v>
      </c>
      <c r="C3611">
        <v>1.2261500000000001</v>
      </c>
      <c r="D3611">
        <v>0</v>
      </c>
      <c r="F3611">
        <v>0.477129999999998</v>
      </c>
      <c r="G3611">
        <v>15.6716154118063</v>
      </c>
      <c r="H3611">
        <v>0</v>
      </c>
      <c r="I3611">
        <v>0.52374529999999997</v>
      </c>
      <c r="J3611">
        <v>2018</v>
      </c>
      <c r="K3611">
        <v>1</v>
      </c>
      <c r="L3611">
        <v>23</v>
      </c>
      <c r="M3611" t="s">
        <v>93</v>
      </c>
      <c r="N3611">
        <v>0</v>
      </c>
      <c r="O3611">
        <v>0</v>
      </c>
    </row>
    <row r="3612" spans="1:15" x14ac:dyDescent="0.3">
      <c r="A3612">
        <v>3707</v>
      </c>
      <c r="B3612" s="34">
        <v>43124</v>
      </c>
      <c r="C3612">
        <v>1.22983</v>
      </c>
      <c r="D3612">
        <v>0</v>
      </c>
      <c r="F3612">
        <v>0.477129999999998</v>
      </c>
      <c r="G3612">
        <v>15.6716154118063</v>
      </c>
      <c r="H3612">
        <v>0</v>
      </c>
      <c r="I3612">
        <v>0.52360399999999996</v>
      </c>
      <c r="J3612">
        <v>2018</v>
      </c>
      <c r="K3612">
        <v>1</v>
      </c>
      <c r="L3612">
        <v>24</v>
      </c>
      <c r="M3612" t="s">
        <v>89</v>
      </c>
      <c r="N3612">
        <v>0</v>
      </c>
      <c r="O3612">
        <v>0</v>
      </c>
    </row>
    <row r="3613" spans="1:15" x14ac:dyDescent="0.3">
      <c r="A3613">
        <v>3708</v>
      </c>
      <c r="B3613" s="34">
        <v>43125</v>
      </c>
      <c r="C3613">
        <v>1.2406999999999999</v>
      </c>
      <c r="D3613">
        <v>0</v>
      </c>
      <c r="F3613">
        <v>0.477129999999998</v>
      </c>
      <c r="G3613">
        <v>15.6716154118063</v>
      </c>
      <c r="H3613">
        <v>0</v>
      </c>
      <c r="I3613">
        <v>0.52346280000000001</v>
      </c>
      <c r="J3613">
        <v>2018</v>
      </c>
      <c r="K3613">
        <v>1</v>
      </c>
      <c r="L3613">
        <v>25</v>
      </c>
      <c r="M3613" t="s">
        <v>90</v>
      </c>
      <c r="N3613">
        <v>0</v>
      </c>
      <c r="O3613">
        <v>0</v>
      </c>
    </row>
    <row r="3614" spans="1:15" x14ac:dyDescent="0.3">
      <c r="A3614">
        <v>3709</v>
      </c>
      <c r="B3614" s="34">
        <v>43126</v>
      </c>
      <c r="C3614">
        <v>1.23926</v>
      </c>
      <c r="D3614">
        <v>0</v>
      </c>
      <c r="F3614">
        <v>0.477129999999998</v>
      </c>
      <c r="G3614">
        <v>15.6716154118063</v>
      </c>
      <c r="H3614">
        <v>1</v>
      </c>
      <c r="I3614">
        <v>0.52359129999999998</v>
      </c>
      <c r="J3614">
        <v>2018</v>
      </c>
      <c r="K3614">
        <v>1</v>
      </c>
      <c r="L3614">
        <v>26</v>
      </c>
      <c r="M3614" t="s">
        <v>91</v>
      </c>
      <c r="N3614">
        <v>0</v>
      </c>
      <c r="O3614">
        <v>0</v>
      </c>
    </row>
    <row r="3615" spans="1:15" x14ac:dyDescent="0.3">
      <c r="A3615">
        <v>3710</v>
      </c>
      <c r="B3615" s="34">
        <v>43129</v>
      </c>
      <c r="C3615">
        <v>1.24264</v>
      </c>
      <c r="D3615">
        <v>0</v>
      </c>
      <c r="F3615">
        <v>0.477129999999998</v>
      </c>
      <c r="G3615">
        <v>15.6716154118063</v>
      </c>
      <c r="H3615">
        <v>0</v>
      </c>
      <c r="I3615">
        <v>0.52345010000000003</v>
      </c>
      <c r="J3615">
        <v>2018</v>
      </c>
      <c r="K3615">
        <v>1</v>
      </c>
      <c r="L3615">
        <v>29</v>
      </c>
      <c r="M3615" t="s">
        <v>92</v>
      </c>
      <c r="N3615">
        <v>0</v>
      </c>
      <c r="O3615">
        <v>0</v>
      </c>
    </row>
    <row r="3616" spans="1:15" x14ac:dyDescent="0.3">
      <c r="A3616">
        <v>3711</v>
      </c>
      <c r="B3616" s="34">
        <v>43130</v>
      </c>
      <c r="C3616">
        <v>1.23813</v>
      </c>
      <c r="D3616">
        <v>0</v>
      </c>
      <c r="F3616">
        <v>0.477129999999998</v>
      </c>
      <c r="G3616">
        <v>15.6716154118063</v>
      </c>
      <c r="H3616">
        <v>1</v>
      </c>
      <c r="I3616">
        <v>0.52357849999999995</v>
      </c>
      <c r="J3616">
        <v>2018</v>
      </c>
      <c r="K3616">
        <v>1</v>
      </c>
      <c r="L3616">
        <v>30</v>
      </c>
      <c r="M3616" t="s">
        <v>93</v>
      </c>
      <c r="N3616">
        <v>0</v>
      </c>
      <c r="O3616">
        <v>0</v>
      </c>
    </row>
    <row r="3617" spans="1:15" x14ac:dyDescent="0.3">
      <c r="A3617">
        <v>3712</v>
      </c>
      <c r="B3617" s="34">
        <v>43131</v>
      </c>
      <c r="C3617">
        <v>1.24021</v>
      </c>
      <c r="D3617">
        <v>0</v>
      </c>
      <c r="F3617">
        <v>0.477129999999998</v>
      </c>
      <c r="G3617">
        <v>15.6716154118063</v>
      </c>
      <c r="H3617">
        <v>0</v>
      </c>
      <c r="I3617">
        <v>0.5234375</v>
      </c>
      <c r="J3617">
        <v>2018</v>
      </c>
      <c r="K3617">
        <v>1</v>
      </c>
      <c r="L3617">
        <v>31</v>
      </c>
      <c r="M3617" t="s">
        <v>89</v>
      </c>
      <c r="N3617">
        <v>0</v>
      </c>
      <c r="O3617">
        <v>0</v>
      </c>
    </row>
    <row r="3618" spans="1:15" x14ac:dyDescent="0.3">
      <c r="A3618">
        <v>3713</v>
      </c>
      <c r="B3618" s="34">
        <v>43132</v>
      </c>
      <c r="C3618">
        <v>1.24132</v>
      </c>
      <c r="D3618">
        <v>0</v>
      </c>
      <c r="F3618">
        <v>0.477129999999998</v>
      </c>
      <c r="G3618">
        <v>15.6716154118063</v>
      </c>
      <c r="H3618">
        <v>0</v>
      </c>
      <c r="I3618">
        <v>0.52329650000000005</v>
      </c>
      <c r="J3618">
        <v>2018</v>
      </c>
      <c r="K3618">
        <v>2</v>
      </c>
      <c r="L3618">
        <v>1</v>
      </c>
      <c r="M3618" t="s">
        <v>90</v>
      </c>
      <c r="N3618">
        <v>0</v>
      </c>
      <c r="O3618">
        <v>0</v>
      </c>
    </row>
    <row r="3619" spans="1:15" x14ac:dyDescent="0.3">
      <c r="A3619">
        <v>3714</v>
      </c>
      <c r="B3619" s="34">
        <v>43133</v>
      </c>
      <c r="C3619">
        <v>1.25078</v>
      </c>
      <c r="D3619">
        <v>0</v>
      </c>
      <c r="F3619">
        <v>0.477129999999998</v>
      </c>
      <c r="G3619">
        <v>15.6716154118063</v>
      </c>
      <c r="H3619">
        <v>0</v>
      </c>
      <c r="I3619">
        <v>0.52315560000000005</v>
      </c>
      <c r="J3619">
        <v>2018</v>
      </c>
      <c r="K3619">
        <v>2</v>
      </c>
      <c r="L3619">
        <v>2</v>
      </c>
      <c r="M3619" t="s">
        <v>91</v>
      </c>
      <c r="N3619">
        <v>0</v>
      </c>
      <c r="O3619">
        <v>0</v>
      </c>
    </row>
    <row r="3620" spans="1:15" x14ac:dyDescent="0.3">
      <c r="A3620">
        <v>3715</v>
      </c>
      <c r="B3620" s="34">
        <v>43136</v>
      </c>
      <c r="C3620">
        <v>1.2456</v>
      </c>
      <c r="D3620">
        <v>0</v>
      </c>
      <c r="F3620">
        <v>0.477129999999998</v>
      </c>
      <c r="G3620">
        <v>15.6716154118063</v>
      </c>
      <c r="H3620">
        <v>1</v>
      </c>
      <c r="I3620">
        <v>0.52328399999999997</v>
      </c>
      <c r="J3620">
        <v>2018</v>
      </c>
      <c r="K3620">
        <v>2</v>
      </c>
      <c r="L3620">
        <v>5</v>
      </c>
      <c r="M3620" t="s">
        <v>92</v>
      </c>
      <c r="N3620">
        <v>0</v>
      </c>
      <c r="O3620">
        <v>0</v>
      </c>
    </row>
    <row r="3621" spans="1:15" x14ac:dyDescent="0.3">
      <c r="A3621">
        <v>3716</v>
      </c>
      <c r="B3621" s="34">
        <v>43137</v>
      </c>
      <c r="C3621">
        <v>1.23665</v>
      </c>
      <c r="D3621">
        <v>7</v>
      </c>
      <c r="E3621" t="s">
        <v>434</v>
      </c>
      <c r="F3621">
        <v>0.47815999999999698</v>
      </c>
      <c r="G3621">
        <v>15.4895722870273</v>
      </c>
      <c r="H3621">
        <v>1</v>
      </c>
      <c r="I3621">
        <v>0.52341230000000005</v>
      </c>
      <c r="J3621">
        <v>2018</v>
      </c>
      <c r="K3621">
        <v>2</v>
      </c>
      <c r="L3621">
        <v>6</v>
      </c>
      <c r="M3621" t="s">
        <v>93</v>
      </c>
      <c r="N3621">
        <v>0</v>
      </c>
      <c r="O3621">
        <v>0</v>
      </c>
    </row>
    <row r="3622" spans="1:15" x14ac:dyDescent="0.3">
      <c r="A3622">
        <v>3717</v>
      </c>
      <c r="B3622" s="34">
        <v>43138</v>
      </c>
      <c r="C3622">
        <v>1.2376799999999999</v>
      </c>
      <c r="D3622">
        <v>0</v>
      </c>
      <c r="F3622">
        <v>0.47815999999999698</v>
      </c>
      <c r="G3622">
        <v>15.4895722870273</v>
      </c>
      <c r="H3622">
        <v>1</v>
      </c>
      <c r="I3622">
        <v>0.52354049999999996</v>
      </c>
      <c r="J3622">
        <v>2018</v>
      </c>
      <c r="K3622">
        <v>2</v>
      </c>
      <c r="L3622">
        <v>7</v>
      </c>
      <c r="M3622" t="s">
        <v>89</v>
      </c>
      <c r="N3622">
        <v>0</v>
      </c>
      <c r="O3622">
        <v>0</v>
      </c>
    </row>
    <row r="3623" spans="1:15" x14ac:dyDescent="0.3">
      <c r="A3623">
        <v>3718</v>
      </c>
      <c r="B3623" s="34">
        <v>43139</v>
      </c>
      <c r="C3623">
        <v>1.22627</v>
      </c>
      <c r="D3623">
        <v>0</v>
      </c>
      <c r="F3623">
        <v>0.47815999999999698</v>
      </c>
      <c r="G3623">
        <v>15.4895722870273</v>
      </c>
      <c r="H3623">
        <v>0</v>
      </c>
      <c r="I3623">
        <v>0.52339970000000002</v>
      </c>
      <c r="J3623">
        <v>2018</v>
      </c>
      <c r="K3623">
        <v>2</v>
      </c>
      <c r="L3623">
        <v>8</v>
      </c>
      <c r="M3623" t="s">
        <v>90</v>
      </c>
      <c r="N3623">
        <v>0</v>
      </c>
      <c r="O3623">
        <v>0</v>
      </c>
    </row>
    <row r="3624" spans="1:15" x14ac:dyDescent="0.3">
      <c r="A3624">
        <v>3719</v>
      </c>
      <c r="B3624" s="34">
        <v>43140</v>
      </c>
      <c r="C3624">
        <v>1.2246699999999999</v>
      </c>
      <c r="D3624">
        <v>0</v>
      </c>
      <c r="F3624">
        <v>0.47815999999999698</v>
      </c>
      <c r="G3624">
        <v>15.4895722870273</v>
      </c>
      <c r="H3624">
        <v>0</v>
      </c>
      <c r="I3624">
        <v>0.52325889999999997</v>
      </c>
      <c r="J3624">
        <v>2018</v>
      </c>
      <c r="K3624">
        <v>2</v>
      </c>
      <c r="L3624">
        <v>9</v>
      </c>
      <c r="M3624" t="s">
        <v>91</v>
      </c>
      <c r="N3624">
        <v>0</v>
      </c>
      <c r="O3624">
        <v>0</v>
      </c>
    </row>
    <row r="3625" spans="1:15" x14ac:dyDescent="0.3">
      <c r="A3625">
        <v>3720</v>
      </c>
      <c r="B3625" s="34">
        <v>43143</v>
      </c>
      <c r="C3625">
        <v>1.22498</v>
      </c>
      <c r="D3625">
        <v>0</v>
      </c>
      <c r="F3625">
        <v>0.47815999999999698</v>
      </c>
      <c r="G3625">
        <v>15.4895722870273</v>
      </c>
      <c r="H3625">
        <v>0</v>
      </c>
      <c r="I3625">
        <v>0.52311830000000004</v>
      </c>
      <c r="J3625">
        <v>2018</v>
      </c>
      <c r="K3625">
        <v>2</v>
      </c>
      <c r="L3625">
        <v>12</v>
      </c>
      <c r="M3625" t="s">
        <v>92</v>
      </c>
      <c r="N3625">
        <v>0</v>
      </c>
      <c r="O3625">
        <v>0</v>
      </c>
    </row>
    <row r="3626" spans="1:15" x14ac:dyDescent="0.3">
      <c r="A3626">
        <v>3721</v>
      </c>
      <c r="B3626" s="34">
        <v>43144</v>
      </c>
      <c r="C3626">
        <v>1.22906</v>
      </c>
      <c r="D3626">
        <v>0</v>
      </c>
      <c r="F3626">
        <v>0.47815999999999698</v>
      </c>
      <c r="G3626">
        <v>15.4895722870273</v>
      </c>
      <c r="H3626">
        <v>0</v>
      </c>
      <c r="I3626">
        <v>0.52297769999999999</v>
      </c>
      <c r="J3626">
        <v>2018</v>
      </c>
      <c r="K3626">
        <v>2</v>
      </c>
      <c r="L3626">
        <v>13</v>
      </c>
      <c r="M3626" t="s">
        <v>93</v>
      </c>
      <c r="N3626">
        <v>0</v>
      </c>
      <c r="O3626">
        <v>0</v>
      </c>
    </row>
    <row r="3627" spans="1:15" x14ac:dyDescent="0.3">
      <c r="A3627">
        <v>3722</v>
      </c>
      <c r="B3627" s="34">
        <v>43145</v>
      </c>
      <c r="C3627">
        <v>1.2350099999999999</v>
      </c>
      <c r="D3627">
        <v>0</v>
      </c>
      <c r="F3627">
        <v>0.47815999999999698</v>
      </c>
      <c r="G3627">
        <v>15.4895722870273</v>
      </c>
      <c r="H3627">
        <v>0</v>
      </c>
      <c r="I3627">
        <v>0.5228372</v>
      </c>
      <c r="J3627">
        <v>2018</v>
      </c>
      <c r="K3627">
        <v>2</v>
      </c>
      <c r="L3627">
        <v>14</v>
      </c>
      <c r="M3627" t="s">
        <v>89</v>
      </c>
      <c r="N3627">
        <v>0</v>
      </c>
      <c r="O3627">
        <v>0</v>
      </c>
    </row>
    <row r="3628" spans="1:15" x14ac:dyDescent="0.3">
      <c r="A3628">
        <v>3723</v>
      </c>
      <c r="B3628" s="34">
        <v>43146</v>
      </c>
      <c r="C3628">
        <v>1.2449399999999999</v>
      </c>
      <c r="D3628">
        <v>0</v>
      </c>
      <c r="F3628">
        <v>0.47815999999999698</v>
      </c>
      <c r="G3628">
        <v>15.4895722870273</v>
      </c>
      <c r="H3628">
        <v>0</v>
      </c>
      <c r="I3628">
        <v>0.52269670000000001</v>
      </c>
      <c r="J3628">
        <v>2018</v>
      </c>
      <c r="K3628">
        <v>2</v>
      </c>
      <c r="L3628">
        <v>15</v>
      </c>
      <c r="M3628" t="s">
        <v>90</v>
      </c>
      <c r="N3628">
        <v>0</v>
      </c>
      <c r="O3628">
        <v>0</v>
      </c>
    </row>
    <row r="3629" spans="1:15" x14ac:dyDescent="0.3">
      <c r="A3629">
        <v>3724</v>
      </c>
      <c r="B3629" s="34">
        <v>43147</v>
      </c>
      <c r="C3629">
        <v>1.2506200000000001</v>
      </c>
      <c r="D3629">
        <v>0</v>
      </c>
      <c r="F3629">
        <v>0.47815999999999698</v>
      </c>
      <c r="G3629">
        <v>15.4895722870273</v>
      </c>
      <c r="H3629">
        <v>0</v>
      </c>
      <c r="I3629">
        <v>0.52255640000000003</v>
      </c>
      <c r="J3629">
        <v>2018</v>
      </c>
      <c r="K3629">
        <v>2</v>
      </c>
      <c r="L3629">
        <v>16</v>
      </c>
      <c r="M3629" t="s">
        <v>91</v>
      </c>
      <c r="N3629">
        <v>0</v>
      </c>
      <c r="O3629">
        <v>0</v>
      </c>
    </row>
    <row r="3630" spans="1:15" x14ac:dyDescent="0.3">
      <c r="A3630">
        <v>3725</v>
      </c>
      <c r="B3630" s="34">
        <v>43150</v>
      </c>
      <c r="C3630">
        <v>1.24105</v>
      </c>
      <c r="D3630">
        <v>0</v>
      </c>
      <c r="F3630">
        <v>0.47815999999999698</v>
      </c>
      <c r="G3630">
        <v>15.4895722870273</v>
      </c>
      <c r="H3630">
        <v>1</v>
      </c>
      <c r="I3630">
        <v>0.52268460000000005</v>
      </c>
      <c r="J3630">
        <v>2018</v>
      </c>
      <c r="K3630">
        <v>2</v>
      </c>
      <c r="L3630">
        <v>19</v>
      </c>
      <c r="M3630" t="s">
        <v>92</v>
      </c>
      <c r="N3630">
        <v>0</v>
      </c>
      <c r="O3630">
        <v>0</v>
      </c>
    </row>
    <row r="3631" spans="1:15" x14ac:dyDescent="0.3">
      <c r="A3631">
        <v>3726</v>
      </c>
      <c r="B3631" s="34">
        <v>43151</v>
      </c>
      <c r="C3631">
        <v>1.2406999999999999</v>
      </c>
      <c r="D3631">
        <v>0</v>
      </c>
      <c r="F3631">
        <v>0.47815999999999698</v>
      </c>
      <c r="G3631">
        <v>15.4895722870273</v>
      </c>
      <c r="H3631">
        <v>1</v>
      </c>
      <c r="I3631">
        <v>0.52281270000000002</v>
      </c>
      <c r="J3631">
        <v>2018</v>
      </c>
      <c r="K3631">
        <v>2</v>
      </c>
      <c r="L3631">
        <v>20</v>
      </c>
      <c r="M3631" t="s">
        <v>93</v>
      </c>
      <c r="N3631">
        <v>0</v>
      </c>
      <c r="O3631">
        <v>0</v>
      </c>
    </row>
    <row r="3632" spans="1:15" x14ac:dyDescent="0.3">
      <c r="A3632">
        <v>3727</v>
      </c>
      <c r="B3632" s="34">
        <v>43152</v>
      </c>
      <c r="C3632">
        <v>1.23367</v>
      </c>
      <c r="D3632">
        <v>5</v>
      </c>
      <c r="E3632" t="s">
        <v>435</v>
      </c>
      <c r="F3632">
        <v>0.47270999999999702</v>
      </c>
      <c r="G3632">
        <v>16.452810180275701</v>
      </c>
      <c r="H3632">
        <v>0.5</v>
      </c>
      <c r="I3632">
        <v>0.52280649999999995</v>
      </c>
      <c r="J3632">
        <v>2018</v>
      </c>
      <c r="K3632">
        <v>2</v>
      </c>
      <c r="L3632">
        <v>21</v>
      </c>
      <c r="M3632" t="s">
        <v>89</v>
      </c>
      <c r="N3632">
        <v>0</v>
      </c>
      <c r="O3632">
        <v>0</v>
      </c>
    </row>
    <row r="3633" spans="1:15" x14ac:dyDescent="0.3">
      <c r="A3633">
        <v>3728</v>
      </c>
      <c r="B3633" s="34">
        <v>43153</v>
      </c>
      <c r="C3633">
        <v>1.2282200000000001</v>
      </c>
      <c r="D3633">
        <v>0</v>
      </c>
      <c r="F3633">
        <v>0.47270999999999702</v>
      </c>
      <c r="G3633">
        <v>16.452810180275701</v>
      </c>
      <c r="H3633">
        <v>0</v>
      </c>
      <c r="I3633">
        <v>0.52266630000000003</v>
      </c>
      <c r="J3633">
        <v>2018</v>
      </c>
      <c r="K3633">
        <v>2</v>
      </c>
      <c r="L3633">
        <v>22</v>
      </c>
      <c r="M3633" t="s">
        <v>90</v>
      </c>
      <c r="N3633">
        <v>0</v>
      </c>
      <c r="O3633">
        <v>0</v>
      </c>
    </row>
    <row r="3634" spans="1:15" x14ac:dyDescent="0.3">
      <c r="A3634">
        <v>3729</v>
      </c>
      <c r="B3634" s="34">
        <v>43154</v>
      </c>
      <c r="C3634">
        <v>1.23292</v>
      </c>
      <c r="D3634">
        <v>0</v>
      </c>
      <c r="F3634">
        <v>0.47270999999999702</v>
      </c>
      <c r="G3634">
        <v>16.452810180275701</v>
      </c>
      <c r="H3634">
        <v>1</v>
      </c>
      <c r="I3634">
        <v>0.52279430000000005</v>
      </c>
      <c r="J3634">
        <v>2018</v>
      </c>
      <c r="K3634">
        <v>2</v>
      </c>
      <c r="L3634">
        <v>23</v>
      </c>
      <c r="M3634" t="s">
        <v>91</v>
      </c>
      <c r="N3634">
        <v>0</v>
      </c>
      <c r="O3634">
        <v>0</v>
      </c>
    </row>
    <row r="3635" spans="1:15" x14ac:dyDescent="0.3">
      <c r="A3635">
        <v>3730</v>
      </c>
      <c r="B3635" s="34">
        <v>43157</v>
      </c>
      <c r="C3635">
        <v>1.2293499999999999</v>
      </c>
      <c r="D3635">
        <v>0</v>
      </c>
      <c r="F3635">
        <v>0.47270999999999702</v>
      </c>
      <c r="G3635">
        <v>16.452810180275701</v>
      </c>
      <c r="H3635">
        <v>1</v>
      </c>
      <c r="I3635">
        <v>0.52292229999999995</v>
      </c>
      <c r="J3635">
        <v>2018</v>
      </c>
      <c r="K3635">
        <v>2</v>
      </c>
      <c r="L3635">
        <v>26</v>
      </c>
      <c r="M3635" t="s">
        <v>92</v>
      </c>
      <c r="N3635">
        <v>0</v>
      </c>
      <c r="O3635">
        <v>0</v>
      </c>
    </row>
    <row r="3636" spans="1:15" x14ac:dyDescent="0.3">
      <c r="A3636">
        <v>3731</v>
      </c>
      <c r="B3636" s="34">
        <v>43158</v>
      </c>
      <c r="C3636">
        <v>1.23167</v>
      </c>
      <c r="D3636">
        <v>0</v>
      </c>
      <c r="F3636">
        <v>0.47270999999999702</v>
      </c>
      <c r="G3636">
        <v>16.452810180275701</v>
      </c>
      <c r="H3636">
        <v>1</v>
      </c>
      <c r="I3636">
        <v>0.52305009999999996</v>
      </c>
      <c r="J3636">
        <v>2018</v>
      </c>
      <c r="K3636">
        <v>2</v>
      </c>
      <c r="L3636">
        <v>27</v>
      </c>
      <c r="M3636" t="s">
        <v>93</v>
      </c>
      <c r="N3636">
        <v>0</v>
      </c>
      <c r="O3636">
        <v>0</v>
      </c>
    </row>
    <row r="3637" spans="1:15" x14ac:dyDescent="0.3">
      <c r="A3637">
        <v>3732</v>
      </c>
      <c r="B3637" s="34">
        <v>43159</v>
      </c>
      <c r="C3637">
        <v>1.2232499999999999</v>
      </c>
      <c r="D3637">
        <v>0</v>
      </c>
      <c r="F3637">
        <v>0.47270999999999702</v>
      </c>
      <c r="G3637">
        <v>16.452810180275701</v>
      </c>
      <c r="H3637">
        <v>1</v>
      </c>
      <c r="I3637">
        <v>0.52317789999999997</v>
      </c>
      <c r="J3637">
        <v>2018</v>
      </c>
      <c r="K3637">
        <v>2</v>
      </c>
      <c r="L3637">
        <v>28</v>
      </c>
      <c r="M3637" t="s">
        <v>89</v>
      </c>
      <c r="N3637">
        <v>0</v>
      </c>
      <c r="O3637">
        <v>0</v>
      </c>
    </row>
    <row r="3638" spans="1:15" x14ac:dyDescent="0.3">
      <c r="A3638">
        <v>3733</v>
      </c>
      <c r="B3638" s="34">
        <v>43160</v>
      </c>
      <c r="C3638">
        <v>1.21929</v>
      </c>
      <c r="D3638">
        <v>0</v>
      </c>
      <c r="F3638">
        <v>0.47270999999999702</v>
      </c>
      <c r="G3638">
        <v>16.452810180275701</v>
      </c>
      <c r="H3638">
        <v>0</v>
      </c>
      <c r="I3638">
        <v>0.5230378</v>
      </c>
      <c r="J3638">
        <v>2018</v>
      </c>
      <c r="K3638">
        <v>3</v>
      </c>
      <c r="L3638">
        <v>1</v>
      </c>
      <c r="M3638" t="s">
        <v>90</v>
      </c>
      <c r="N3638">
        <v>0</v>
      </c>
      <c r="O3638">
        <v>0</v>
      </c>
    </row>
    <row r="3639" spans="1:15" x14ac:dyDescent="0.3">
      <c r="A3639">
        <v>3734</v>
      </c>
      <c r="B3639" s="34">
        <v>43161</v>
      </c>
      <c r="C3639">
        <v>1.22651</v>
      </c>
      <c r="D3639">
        <v>0</v>
      </c>
      <c r="F3639">
        <v>0.47270999999999702</v>
      </c>
      <c r="G3639">
        <v>16.452810180275701</v>
      </c>
      <c r="H3639">
        <v>1</v>
      </c>
      <c r="I3639">
        <v>0.52316549999999995</v>
      </c>
      <c r="J3639">
        <v>2018</v>
      </c>
      <c r="K3639">
        <v>3</v>
      </c>
      <c r="L3639">
        <v>2</v>
      </c>
      <c r="M3639" t="s">
        <v>91</v>
      </c>
      <c r="N3639">
        <v>0</v>
      </c>
      <c r="O3639">
        <v>0</v>
      </c>
    </row>
    <row r="3640" spans="1:15" x14ac:dyDescent="0.3">
      <c r="A3640">
        <v>3735</v>
      </c>
      <c r="B3640" s="34">
        <v>43164</v>
      </c>
      <c r="C3640">
        <v>1.23184</v>
      </c>
      <c r="D3640">
        <v>0</v>
      </c>
      <c r="F3640">
        <v>0.47270999999999702</v>
      </c>
      <c r="G3640">
        <v>16.452810180275701</v>
      </c>
      <c r="H3640">
        <v>0</v>
      </c>
      <c r="I3640">
        <v>0.52302550000000003</v>
      </c>
      <c r="J3640">
        <v>2018</v>
      </c>
      <c r="K3640">
        <v>3</v>
      </c>
      <c r="L3640">
        <v>5</v>
      </c>
      <c r="M3640" t="s">
        <v>92</v>
      </c>
      <c r="N3640">
        <v>0</v>
      </c>
      <c r="O3640">
        <v>0</v>
      </c>
    </row>
    <row r="3641" spans="1:15" x14ac:dyDescent="0.3">
      <c r="A3641">
        <v>3736</v>
      </c>
      <c r="B3641" s="34">
        <v>43165</v>
      </c>
      <c r="C3641">
        <v>1.23353</v>
      </c>
      <c r="D3641">
        <v>0</v>
      </c>
      <c r="F3641">
        <v>0.47270999999999702</v>
      </c>
      <c r="G3641">
        <v>16.452810180275701</v>
      </c>
      <c r="H3641">
        <v>0</v>
      </c>
      <c r="I3641">
        <v>0.52288539999999994</v>
      </c>
      <c r="J3641">
        <v>2018</v>
      </c>
      <c r="K3641">
        <v>3</v>
      </c>
      <c r="L3641">
        <v>6</v>
      </c>
      <c r="M3641" t="s">
        <v>93</v>
      </c>
      <c r="N3641">
        <v>0</v>
      </c>
      <c r="O3641">
        <v>0</v>
      </c>
    </row>
    <row r="3642" spans="1:15" x14ac:dyDescent="0.3">
      <c r="A3642">
        <v>3737</v>
      </c>
      <c r="B3642" s="34">
        <v>43166</v>
      </c>
      <c r="C3642">
        <v>1.2403299999999999</v>
      </c>
      <c r="D3642">
        <v>0</v>
      </c>
      <c r="F3642">
        <v>0.47270999999999702</v>
      </c>
      <c r="G3642">
        <v>16.452810180275701</v>
      </c>
      <c r="H3642">
        <v>0</v>
      </c>
      <c r="I3642">
        <v>0.52274549999999997</v>
      </c>
      <c r="J3642">
        <v>2018</v>
      </c>
      <c r="K3642">
        <v>3</v>
      </c>
      <c r="L3642">
        <v>7</v>
      </c>
      <c r="M3642" t="s">
        <v>89</v>
      </c>
      <c r="N3642">
        <v>0</v>
      </c>
      <c r="O3642">
        <v>0</v>
      </c>
    </row>
    <row r="3643" spans="1:15" x14ac:dyDescent="0.3">
      <c r="A3643">
        <v>3738</v>
      </c>
      <c r="B3643" s="34">
        <v>43167</v>
      </c>
      <c r="C3643">
        <v>1.2410699999999999</v>
      </c>
      <c r="D3643">
        <v>0</v>
      </c>
      <c r="F3643">
        <v>0.47270999999999702</v>
      </c>
      <c r="G3643">
        <v>16.452810180275701</v>
      </c>
      <c r="H3643">
        <v>0</v>
      </c>
      <c r="I3643">
        <v>0.52260569999999995</v>
      </c>
      <c r="J3643">
        <v>2018</v>
      </c>
      <c r="K3643">
        <v>3</v>
      </c>
      <c r="L3643">
        <v>8</v>
      </c>
      <c r="M3643" t="s">
        <v>90</v>
      </c>
      <c r="N3643">
        <v>0</v>
      </c>
      <c r="O3643">
        <v>0</v>
      </c>
    </row>
    <row r="3644" spans="1:15" x14ac:dyDescent="0.3">
      <c r="A3644">
        <v>3739</v>
      </c>
      <c r="B3644" s="34">
        <v>43168</v>
      </c>
      <c r="C3644">
        <v>1.2310300000000001</v>
      </c>
      <c r="D3644">
        <v>0</v>
      </c>
      <c r="F3644">
        <v>0.47270999999999702</v>
      </c>
      <c r="G3644">
        <v>16.452810180275701</v>
      </c>
      <c r="H3644">
        <v>1</v>
      </c>
      <c r="I3644">
        <v>0.52273329999999996</v>
      </c>
      <c r="J3644">
        <v>2018</v>
      </c>
      <c r="K3644">
        <v>3</v>
      </c>
      <c r="L3644">
        <v>9</v>
      </c>
      <c r="M3644" t="s">
        <v>91</v>
      </c>
      <c r="N3644">
        <v>0</v>
      </c>
      <c r="O3644">
        <v>0</v>
      </c>
    </row>
    <row r="3645" spans="1:15" x14ac:dyDescent="0.3">
      <c r="A3645">
        <v>3740</v>
      </c>
      <c r="B3645" s="34">
        <v>43171</v>
      </c>
      <c r="C3645">
        <v>1.2305299999999999</v>
      </c>
      <c r="D3645">
        <v>0</v>
      </c>
      <c r="F3645">
        <v>0.47270999999999702</v>
      </c>
      <c r="G3645">
        <v>16.452810180275701</v>
      </c>
      <c r="H3645">
        <v>1</v>
      </c>
      <c r="I3645">
        <v>0.52286089999999996</v>
      </c>
      <c r="J3645">
        <v>2018</v>
      </c>
      <c r="K3645">
        <v>3</v>
      </c>
      <c r="L3645">
        <v>12</v>
      </c>
      <c r="M3645" t="s">
        <v>92</v>
      </c>
      <c r="N3645">
        <v>0</v>
      </c>
      <c r="O3645">
        <v>0</v>
      </c>
    </row>
    <row r="3646" spans="1:15" x14ac:dyDescent="0.3">
      <c r="A3646">
        <v>3741</v>
      </c>
      <c r="B3646" s="34">
        <v>43172</v>
      </c>
      <c r="C3646">
        <v>1.23346</v>
      </c>
      <c r="D3646">
        <v>0</v>
      </c>
      <c r="F3646">
        <v>0.47270999999999702</v>
      </c>
      <c r="G3646">
        <v>16.452810180275701</v>
      </c>
      <c r="H3646">
        <v>1</v>
      </c>
      <c r="I3646">
        <v>0.52298849999999997</v>
      </c>
      <c r="J3646">
        <v>2018</v>
      </c>
      <c r="K3646">
        <v>3</v>
      </c>
      <c r="L3646">
        <v>13</v>
      </c>
      <c r="M3646" t="s">
        <v>93</v>
      </c>
      <c r="N3646">
        <v>0</v>
      </c>
      <c r="O3646">
        <v>0</v>
      </c>
    </row>
    <row r="3647" spans="1:15" x14ac:dyDescent="0.3">
      <c r="A3647">
        <v>3742</v>
      </c>
      <c r="B3647" s="34">
        <v>43173</v>
      </c>
      <c r="C3647">
        <v>1.2391099999999999</v>
      </c>
      <c r="D3647">
        <v>0</v>
      </c>
      <c r="F3647">
        <v>0.47270999999999702</v>
      </c>
      <c r="G3647">
        <v>16.452810180275701</v>
      </c>
      <c r="H3647">
        <v>0</v>
      </c>
      <c r="I3647">
        <v>0.52284870000000006</v>
      </c>
      <c r="J3647">
        <v>2018</v>
      </c>
      <c r="K3647">
        <v>3</v>
      </c>
      <c r="L3647">
        <v>14</v>
      </c>
      <c r="M3647" t="s">
        <v>89</v>
      </c>
      <c r="N3647">
        <v>0</v>
      </c>
      <c r="O3647">
        <v>0</v>
      </c>
    </row>
    <row r="3648" spans="1:15" x14ac:dyDescent="0.3">
      <c r="A3648">
        <v>3743</v>
      </c>
      <c r="B3648" s="34">
        <v>43174</v>
      </c>
      <c r="C3648">
        <v>1.2367999999999999</v>
      </c>
      <c r="D3648">
        <v>0</v>
      </c>
      <c r="F3648">
        <v>0.47270999999999702</v>
      </c>
      <c r="G3648">
        <v>16.452810180275701</v>
      </c>
      <c r="H3648">
        <v>1</v>
      </c>
      <c r="I3648">
        <v>0.5229762</v>
      </c>
      <c r="J3648">
        <v>2018</v>
      </c>
      <c r="K3648">
        <v>3</v>
      </c>
      <c r="L3648">
        <v>15</v>
      </c>
      <c r="M3648" t="s">
        <v>90</v>
      </c>
      <c r="N3648">
        <v>0</v>
      </c>
      <c r="O3648">
        <v>0</v>
      </c>
    </row>
    <row r="3649" spans="1:15" x14ac:dyDescent="0.3">
      <c r="A3649">
        <v>3744</v>
      </c>
      <c r="B3649" s="34">
        <v>43175</v>
      </c>
      <c r="C3649">
        <v>1.23044</v>
      </c>
      <c r="D3649">
        <v>11</v>
      </c>
      <c r="E3649" t="s">
        <v>436</v>
      </c>
      <c r="F3649">
        <v>0.47115999999999802</v>
      </c>
      <c r="G3649">
        <v>16.726758571933601</v>
      </c>
      <c r="H3649">
        <v>1</v>
      </c>
      <c r="I3649">
        <v>0.52310369999999995</v>
      </c>
      <c r="J3649">
        <v>2018</v>
      </c>
      <c r="K3649">
        <v>3</v>
      </c>
      <c r="L3649">
        <v>16</v>
      </c>
      <c r="M3649" t="s">
        <v>91</v>
      </c>
      <c r="N3649">
        <v>0</v>
      </c>
      <c r="O3649">
        <v>0</v>
      </c>
    </row>
    <row r="3650" spans="1:15" x14ac:dyDescent="0.3">
      <c r="A3650">
        <v>3745</v>
      </c>
      <c r="B3650" s="34">
        <v>43178</v>
      </c>
      <c r="C3650">
        <v>1.22889</v>
      </c>
      <c r="D3650">
        <v>0</v>
      </c>
      <c r="F3650">
        <v>0.47115999999999802</v>
      </c>
      <c r="G3650">
        <v>16.726758571933601</v>
      </c>
      <c r="H3650">
        <v>0</v>
      </c>
      <c r="I3650">
        <v>0.52296390000000004</v>
      </c>
      <c r="J3650">
        <v>2018</v>
      </c>
      <c r="K3650">
        <v>3</v>
      </c>
      <c r="L3650">
        <v>19</v>
      </c>
      <c r="M3650" t="s">
        <v>92</v>
      </c>
      <c r="N3650">
        <v>0</v>
      </c>
      <c r="O3650">
        <v>0</v>
      </c>
    </row>
    <row r="3651" spans="1:15" x14ac:dyDescent="0.3">
      <c r="A3651">
        <v>3746</v>
      </c>
      <c r="B3651" s="34">
        <v>43179</v>
      </c>
      <c r="C3651">
        <v>1.2334099999999999</v>
      </c>
      <c r="D3651">
        <v>0</v>
      </c>
      <c r="F3651">
        <v>0.47115999999999802</v>
      </c>
      <c r="G3651">
        <v>16.726758571933601</v>
      </c>
      <c r="H3651">
        <v>1</v>
      </c>
      <c r="I3651">
        <v>0.52309130000000004</v>
      </c>
      <c r="J3651">
        <v>2018</v>
      </c>
      <c r="K3651">
        <v>3</v>
      </c>
      <c r="L3651">
        <v>20</v>
      </c>
      <c r="M3651" t="s">
        <v>93</v>
      </c>
      <c r="N3651">
        <v>0</v>
      </c>
      <c r="O3651">
        <v>0</v>
      </c>
    </row>
    <row r="3652" spans="1:15" x14ac:dyDescent="0.3">
      <c r="A3652">
        <v>3747</v>
      </c>
      <c r="B3652" s="34">
        <v>43180</v>
      </c>
      <c r="C3652">
        <v>1.22435</v>
      </c>
      <c r="D3652">
        <v>0</v>
      </c>
      <c r="F3652">
        <v>0.47115999999999802</v>
      </c>
      <c r="G3652">
        <v>16.726758571933601</v>
      </c>
      <c r="H3652">
        <v>1</v>
      </c>
      <c r="I3652">
        <v>0.52321859999999998</v>
      </c>
      <c r="J3652">
        <v>2018</v>
      </c>
      <c r="K3652">
        <v>3</v>
      </c>
      <c r="L3652">
        <v>21</v>
      </c>
      <c r="M3652" t="s">
        <v>89</v>
      </c>
      <c r="N3652">
        <v>0</v>
      </c>
      <c r="O3652">
        <v>0</v>
      </c>
    </row>
    <row r="3653" spans="1:15" x14ac:dyDescent="0.3">
      <c r="A3653">
        <v>3748</v>
      </c>
      <c r="B3653" s="34">
        <v>43181</v>
      </c>
      <c r="C3653">
        <v>1.2338499999999999</v>
      </c>
      <c r="D3653">
        <v>0</v>
      </c>
      <c r="F3653">
        <v>0.47115999999999802</v>
      </c>
      <c r="G3653">
        <v>16.726758571933601</v>
      </c>
      <c r="H3653">
        <v>1</v>
      </c>
      <c r="I3653">
        <v>0.52334579999999997</v>
      </c>
      <c r="J3653">
        <v>2018</v>
      </c>
      <c r="K3653">
        <v>3</v>
      </c>
      <c r="L3653">
        <v>22</v>
      </c>
      <c r="M3653" t="s">
        <v>90</v>
      </c>
      <c r="N3653">
        <v>0</v>
      </c>
      <c r="O3653">
        <v>0</v>
      </c>
    </row>
    <row r="3654" spans="1:15" x14ac:dyDescent="0.3">
      <c r="A3654">
        <v>3749</v>
      </c>
      <c r="B3654" s="34">
        <v>43182</v>
      </c>
      <c r="C3654">
        <v>1.2305600000000001</v>
      </c>
      <c r="D3654">
        <v>0</v>
      </c>
      <c r="F3654">
        <v>0.47115999999999802</v>
      </c>
      <c r="G3654">
        <v>16.726758571933601</v>
      </c>
      <c r="H3654">
        <v>1</v>
      </c>
      <c r="I3654">
        <v>0.52347290000000002</v>
      </c>
      <c r="J3654">
        <v>2018</v>
      </c>
      <c r="K3654">
        <v>3</v>
      </c>
      <c r="L3654">
        <v>23</v>
      </c>
      <c r="M3654" t="s">
        <v>91</v>
      </c>
      <c r="N3654">
        <v>0</v>
      </c>
      <c r="O3654">
        <v>0</v>
      </c>
    </row>
    <row r="3655" spans="1:15" x14ac:dyDescent="0.3">
      <c r="A3655">
        <v>3750</v>
      </c>
      <c r="B3655" s="34">
        <v>43185</v>
      </c>
      <c r="C3655">
        <v>1.2351399999999999</v>
      </c>
      <c r="D3655">
        <v>0</v>
      </c>
      <c r="F3655">
        <v>0.47115999999999802</v>
      </c>
      <c r="G3655">
        <v>16.726758571933601</v>
      </c>
      <c r="H3655">
        <v>1</v>
      </c>
      <c r="I3655">
        <v>0.52359999999999995</v>
      </c>
      <c r="J3655">
        <v>2018</v>
      </c>
      <c r="K3655">
        <v>3</v>
      </c>
      <c r="L3655">
        <v>26</v>
      </c>
      <c r="M3655" t="s">
        <v>92</v>
      </c>
      <c r="N3655">
        <v>0</v>
      </c>
      <c r="O3655">
        <v>0</v>
      </c>
    </row>
    <row r="3656" spans="1:15" x14ac:dyDescent="0.3">
      <c r="A3656">
        <v>3751</v>
      </c>
      <c r="B3656" s="34">
        <v>43186</v>
      </c>
      <c r="C3656">
        <v>1.24431</v>
      </c>
      <c r="D3656">
        <v>0</v>
      </c>
      <c r="F3656">
        <v>0.47115999999999802</v>
      </c>
      <c r="G3656">
        <v>16.726758571933601</v>
      </c>
      <c r="H3656">
        <v>0</v>
      </c>
      <c r="I3656">
        <v>0.52346040000000005</v>
      </c>
      <c r="J3656">
        <v>2018</v>
      </c>
      <c r="K3656">
        <v>3</v>
      </c>
      <c r="L3656">
        <v>27</v>
      </c>
      <c r="M3656" t="s">
        <v>93</v>
      </c>
      <c r="N3656">
        <v>0</v>
      </c>
      <c r="O3656">
        <v>0</v>
      </c>
    </row>
    <row r="3657" spans="1:15" x14ac:dyDescent="0.3">
      <c r="A3657">
        <v>3752</v>
      </c>
      <c r="B3657" s="34">
        <v>43187</v>
      </c>
      <c r="C3657">
        <v>1.2402</v>
      </c>
      <c r="D3657">
        <v>0</v>
      </c>
      <c r="F3657">
        <v>0.47115999999999802</v>
      </c>
      <c r="G3657">
        <v>16.726758571933601</v>
      </c>
      <c r="H3657">
        <v>1</v>
      </c>
      <c r="I3657">
        <v>0.52358740000000004</v>
      </c>
      <c r="J3657">
        <v>2018</v>
      </c>
      <c r="K3657">
        <v>3</v>
      </c>
      <c r="L3657">
        <v>28</v>
      </c>
      <c r="M3657" t="s">
        <v>89</v>
      </c>
      <c r="N3657">
        <v>0</v>
      </c>
      <c r="O3657">
        <v>0</v>
      </c>
    </row>
    <row r="3658" spans="1:15" x14ac:dyDescent="0.3">
      <c r="A3658">
        <v>3753</v>
      </c>
      <c r="B3658" s="34">
        <v>43188</v>
      </c>
      <c r="C3658">
        <v>1.2307300000000001</v>
      </c>
      <c r="D3658">
        <v>5</v>
      </c>
      <c r="E3658" t="s">
        <v>437</v>
      </c>
      <c r="F3658">
        <v>0.47043999999999703</v>
      </c>
      <c r="G3658">
        <v>16.854012018381098</v>
      </c>
      <c r="H3658">
        <v>1</v>
      </c>
      <c r="I3658">
        <v>0.52371440000000002</v>
      </c>
      <c r="J3658">
        <v>2018</v>
      </c>
      <c r="K3658">
        <v>3</v>
      </c>
      <c r="L3658">
        <v>29</v>
      </c>
      <c r="M3658" t="s">
        <v>90</v>
      </c>
      <c r="N3658">
        <v>0</v>
      </c>
      <c r="O3658">
        <v>0</v>
      </c>
    </row>
    <row r="3659" spans="1:15" x14ac:dyDescent="0.3">
      <c r="A3659">
        <v>3754</v>
      </c>
      <c r="B3659" s="34">
        <v>43189</v>
      </c>
      <c r="C3659">
        <v>1.23001</v>
      </c>
      <c r="D3659">
        <v>0</v>
      </c>
      <c r="F3659">
        <v>0.47043999999999703</v>
      </c>
      <c r="G3659">
        <v>16.854012018381098</v>
      </c>
      <c r="H3659">
        <v>0</v>
      </c>
      <c r="I3659">
        <v>0.52357480000000001</v>
      </c>
      <c r="J3659">
        <v>2018</v>
      </c>
      <c r="K3659">
        <v>3</v>
      </c>
      <c r="L3659">
        <v>30</v>
      </c>
      <c r="M3659" t="s">
        <v>91</v>
      </c>
      <c r="N3659">
        <v>0</v>
      </c>
      <c r="O3659">
        <v>0</v>
      </c>
    </row>
    <row r="3660" spans="1:15" x14ac:dyDescent="0.3">
      <c r="A3660">
        <v>3755</v>
      </c>
      <c r="B3660" s="34">
        <v>43192</v>
      </c>
      <c r="C3660">
        <v>1.2321800000000001</v>
      </c>
      <c r="D3660">
        <v>0</v>
      </c>
      <c r="F3660">
        <v>0.47043999999999703</v>
      </c>
      <c r="G3660">
        <v>16.854012018381098</v>
      </c>
      <c r="H3660">
        <v>1</v>
      </c>
      <c r="I3660">
        <v>0.52370170000000005</v>
      </c>
      <c r="J3660">
        <v>2018</v>
      </c>
      <c r="K3660">
        <v>4</v>
      </c>
      <c r="L3660">
        <v>2</v>
      </c>
      <c r="M3660" t="s">
        <v>92</v>
      </c>
      <c r="N3660">
        <v>0</v>
      </c>
      <c r="O3660">
        <v>0</v>
      </c>
    </row>
    <row r="3661" spans="1:15" x14ac:dyDescent="0.3">
      <c r="A3661">
        <v>3756</v>
      </c>
      <c r="B3661" s="34">
        <v>43193</v>
      </c>
      <c r="C3661">
        <v>1.2301599999999999</v>
      </c>
      <c r="D3661">
        <v>0</v>
      </c>
      <c r="F3661">
        <v>0.47043999999999703</v>
      </c>
      <c r="G3661">
        <v>16.854012018381098</v>
      </c>
      <c r="H3661">
        <v>1</v>
      </c>
      <c r="I3661">
        <v>0.52382859999999998</v>
      </c>
      <c r="J3661">
        <v>2018</v>
      </c>
      <c r="K3661">
        <v>4</v>
      </c>
      <c r="L3661">
        <v>3</v>
      </c>
      <c r="M3661" t="s">
        <v>93</v>
      </c>
      <c r="N3661">
        <v>0</v>
      </c>
      <c r="O3661">
        <v>0</v>
      </c>
    </row>
    <row r="3662" spans="1:15" x14ac:dyDescent="0.3">
      <c r="A3662">
        <v>3757</v>
      </c>
      <c r="B3662" s="34">
        <v>43194</v>
      </c>
      <c r="C3662">
        <v>1.22699</v>
      </c>
      <c r="D3662">
        <v>0</v>
      </c>
      <c r="F3662">
        <v>0.47043999999999703</v>
      </c>
      <c r="G3662">
        <v>16.854012018381098</v>
      </c>
      <c r="H3662">
        <v>0</v>
      </c>
      <c r="I3662">
        <v>0.52368910000000002</v>
      </c>
      <c r="J3662">
        <v>2018</v>
      </c>
      <c r="K3662">
        <v>4</v>
      </c>
      <c r="L3662">
        <v>4</v>
      </c>
      <c r="M3662" t="s">
        <v>89</v>
      </c>
      <c r="N3662">
        <v>0</v>
      </c>
      <c r="O3662">
        <v>0</v>
      </c>
    </row>
    <row r="3663" spans="1:15" x14ac:dyDescent="0.3">
      <c r="A3663">
        <v>3758</v>
      </c>
      <c r="B3663" s="34">
        <v>43195</v>
      </c>
      <c r="C3663">
        <v>1.22777</v>
      </c>
      <c r="D3663">
        <v>0</v>
      </c>
      <c r="F3663">
        <v>0.47043999999999703</v>
      </c>
      <c r="G3663">
        <v>16.854012018381098</v>
      </c>
      <c r="H3663">
        <v>1</v>
      </c>
      <c r="I3663">
        <v>0.5238159</v>
      </c>
      <c r="J3663">
        <v>2018</v>
      </c>
      <c r="K3663">
        <v>4</v>
      </c>
      <c r="L3663">
        <v>5</v>
      </c>
      <c r="M3663" t="s">
        <v>90</v>
      </c>
      <c r="N3663">
        <v>0</v>
      </c>
      <c r="O3663">
        <v>0</v>
      </c>
    </row>
    <row r="3664" spans="1:15" x14ac:dyDescent="0.3">
      <c r="A3664">
        <v>3759</v>
      </c>
      <c r="B3664" s="34">
        <v>43196</v>
      </c>
      <c r="C3664">
        <v>1.22401</v>
      </c>
      <c r="D3664">
        <v>0</v>
      </c>
      <c r="F3664">
        <v>0.47043999999999703</v>
      </c>
      <c r="G3664">
        <v>16.854012018381098</v>
      </c>
      <c r="H3664">
        <v>0</v>
      </c>
      <c r="I3664">
        <v>0.52367649999999999</v>
      </c>
      <c r="J3664">
        <v>2018</v>
      </c>
      <c r="K3664">
        <v>4</v>
      </c>
      <c r="L3664">
        <v>6</v>
      </c>
      <c r="M3664" t="s">
        <v>91</v>
      </c>
      <c r="N3664">
        <v>0</v>
      </c>
      <c r="O3664">
        <v>0</v>
      </c>
    </row>
    <row r="3665" spans="1:15" x14ac:dyDescent="0.3">
      <c r="A3665">
        <v>3760</v>
      </c>
      <c r="B3665" s="34">
        <v>43199</v>
      </c>
      <c r="C3665">
        <v>1.2280899999999999</v>
      </c>
      <c r="D3665">
        <v>0</v>
      </c>
      <c r="F3665">
        <v>0.47043999999999703</v>
      </c>
      <c r="G3665">
        <v>16.854012018381098</v>
      </c>
      <c r="H3665">
        <v>1</v>
      </c>
      <c r="I3665">
        <v>0.52380320000000002</v>
      </c>
      <c r="J3665">
        <v>2018</v>
      </c>
      <c r="K3665">
        <v>4</v>
      </c>
      <c r="L3665">
        <v>9</v>
      </c>
      <c r="M3665" t="s">
        <v>92</v>
      </c>
      <c r="N3665">
        <v>0</v>
      </c>
      <c r="O3665">
        <v>0</v>
      </c>
    </row>
    <row r="3666" spans="1:15" x14ac:dyDescent="0.3">
      <c r="A3666">
        <v>3761</v>
      </c>
      <c r="B3666" s="34">
        <v>43200</v>
      </c>
      <c r="C3666">
        <v>1.23204</v>
      </c>
      <c r="D3666">
        <v>0</v>
      </c>
      <c r="F3666">
        <v>0.47043999999999703</v>
      </c>
      <c r="G3666">
        <v>16.854012018381098</v>
      </c>
      <c r="H3666">
        <v>0</v>
      </c>
      <c r="I3666">
        <v>0.52366389999999996</v>
      </c>
      <c r="J3666">
        <v>2018</v>
      </c>
      <c r="K3666">
        <v>4</v>
      </c>
      <c r="L3666">
        <v>10</v>
      </c>
      <c r="M3666" t="s">
        <v>93</v>
      </c>
      <c r="N3666">
        <v>0</v>
      </c>
      <c r="O3666">
        <v>0</v>
      </c>
    </row>
    <row r="3667" spans="1:15" x14ac:dyDescent="0.3">
      <c r="A3667">
        <v>3762</v>
      </c>
      <c r="B3667" s="34">
        <v>43201</v>
      </c>
      <c r="C3667">
        <v>1.2355700000000001</v>
      </c>
      <c r="D3667">
        <v>0</v>
      </c>
      <c r="F3667">
        <v>0.47043999999999703</v>
      </c>
      <c r="G3667">
        <v>16.854012018381098</v>
      </c>
      <c r="H3667">
        <v>0</v>
      </c>
      <c r="I3667">
        <v>0.52352469999999995</v>
      </c>
      <c r="J3667">
        <v>2018</v>
      </c>
      <c r="K3667">
        <v>4</v>
      </c>
      <c r="L3667">
        <v>11</v>
      </c>
      <c r="M3667" t="s">
        <v>89</v>
      </c>
      <c r="N3667">
        <v>0</v>
      </c>
      <c r="O3667">
        <v>0</v>
      </c>
    </row>
    <row r="3668" spans="1:15" x14ac:dyDescent="0.3">
      <c r="A3668">
        <v>3763</v>
      </c>
      <c r="B3668" s="34">
        <v>43202</v>
      </c>
      <c r="C3668">
        <v>1.2366900000000001</v>
      </c>
      <c r="D3668">
        <v>0</v>
      </c>
      <c r="F3668">
        <v>0.47043999999999703</v>
      </c>
      <c r="G3668">
        <v>16.854012018381098</v>
      </c>
      <c r="H3668">
        <v>0</v>
      </c>
      <c r="I3668">
        <v>0.52338560000000001</v>
      </c>
      <c r="J3668">
        <v>2018</v>
      </c>
      <c r="K3668">
        <v>4</v>
      </c>
      <c r="L3668">
        <v>12</v>
      </c>
      <c r="M3668" t="s">
        <v>90</v>
      </c>
      <c r="N3668">
        <v>0</v>
      </c>
      <c r="O3668">
        <v>0</v>
      </c>
    </row>
    <row r="3669" spans="1:15" x14ac:dyDescent="0.3">
      <c r="A3669">
        <v>3764</v>
      </c>
      <c r="B3669" s="34">
        <v>43203</v>
      </c>
      <c r="C3669">
        <v>1.23261</v>
      </c>
      <c r="D3669">
        <v>0</v>
      </c>
      <c r="F3669">
        <v>0.47043999999999703</v>
      </c>
      <c r="G3669">
        <v>16.854012018381098</v>
      </c>
      <c r="H3669">
        <v>1</v>
      </c>
      <c r="I3669">
        <v>0.52351219999999998</v>
      </c>
      <c r="J3669">
        <v>2018</v>
      </c>
      <c r="K3669">
        <v>4</v>
      </c>
      <c r="L3669">
        <v>13</v>
      </c>
      <c r="M3669" t="s">
        <v>91</v>
      </c>
      <c r="N3669">
        <v>0</v>
      </c>
      <c r="O3669">
        <v>0</v>
      </c>
    </row>
    <row r="3670" spans="1:15" x14ac:dyDescent="0.3">
      <c r="A3670">
        <v>3765</v>
      </c>
      <c r="B3670" s="34">
        <v>43206</v>
      </c>
      <c r="C3670">
        <v>1.2329000000000001</v>
      </c>
      <c r="D3670">
        <v>0</v>
      </c>
      <c r="F3670">
        <v>0.47043999999999703</v>
      </c>
      <c r="G3670">
        <v>16.854012018381098</v>
      </c>
      <c r="H3670">
        <v>0</v>
      </c>
      <c r="I3670">
        <v>0.52337319999999998</v>
      </c>
      <c r="J3670">
        <v>2018</v>
      </c>
      <c r="K3670">
        <v>4</v>
      </c>
      <c r="L3670">
        <v>16</v>
      </c>
      <c r="M3670" t="s">
        <v>92</v>
      </c>
      <c r="N3670">
        <v>0</v>
      </c>
      <c r="O3670">
        <v>0</v>
      </c>
    </row>
    <row r="3671" spans="1:15" x14ac:dyDescent="0.3">
      <c r="A3671">
        <v>3766</v>
      </c>
      <c r="B3671" s="34">
        <v>43207</v>
      </c>
      <c r="C3671">
        <v>1.2379199999999999</v>
      </c>
      <c r="D3671">
        <v>-1</v>
      </c>
      <c r="F3671">
        <v>0.47143999999999697</v>
      </c>
      <c r="G3671">
        <v>16.677271120537299</v>
      </c>
      <c r="H3671">
        <v>0</v>
      </c>
      <c r="I3671">
        <v>0.52323419999999998</v>
      </c>
      <c r="J3671">
        <v>2018</v>
      </c>
      <c r="K3671">
        <v>4</v>
      </c>
      <c r="L3671">
        <v>17</v>
      </c>
      <c r="M3671" t="s">
        <v>93</v>
      </c>
      <c r="N3671">
        <v>0</v>
      </c>
      <c r="O3671">
        <v>0</v>
      </c>
    </row>
    <row r="3672" spans="1:15" x14ac:dyDescent="0.3">
      <c r="A3672">
        <v>3767</v>
      </c>
      <c r="B3672" s="34">
        <v>43208</v>
      </c>
      <c r="C3672">
        <v>1.23692</v>
      </c>
      <c r="D3672">
        <v>0</v>
      </c>
      <c r="F3672">
        <v>0.47143999999999697</v>
      </c>
      <c r="G3672">
        <v>16.677271120537299</v>
      </c>
      <c r="H3672">
        <v>1</v>
      </c>
      <c r="I3672">
        <v>0.52336079999999996</v>
      </c>
      <c r="J3672">
        <v>2018</v>
      </c>
      <c r="K3672">
        <v>4</v>
      </c>
      <c r="L3672">
        <v>18</v>
      </c>
      <c r="M3672" t="s">
        <v>89</v>
      </c>
      <c r="N3672">
        <v>0</v>
      </c>
      <c r="O3672">
        <v>0</v>
      </c>
    </row>
    <row r="3673" spans="1:15" x14ac:dyDescent="0.3">
      <c r="A3673">
        <v>3768</v>
      </c>
      <c r="B3673" s="34">
        <v>43209</v>
      </c>
      <c r="C3673">
        <v>1.2373400000000001</v>
      </c>
      <c r="D3673">
        <v>0</v>
      </c>
      <c r="F3673">
        <v>0.47143999999999697</v>
      </c>
      <c r="G3673">
        <v>16.677271120537299</v>
      </c>
      <c r="H3673">
        <v>0</v>
      </c>
      <c r="I3673">
        <v>0.52322190000000002</v>
      </c>
      <c r="J3673">
        <v>2018</v>
      </c>
      <c r="K3673">
        <v>4</v>
      </c>
      <c r="L3673">
        <v>19</v>
      </c>
      <c r="M3673" t="s">
        <v>90</v>
      </c>
      <c r="N3673">
        <v>0</v>
      </c>
      <c r="O3673">
        <v>0</v>
      </c>
    </row>
    <row r="3674" spans="1:15" x14ac:dyDescent="0.3">
      <c r="A3674">
        <v>3769</v>
      </c>
      <c r="B3674" s="34">
        <v>43210</v>
      </c>
      <c r="C3674">
        <v>1.2345299999999999</v>
      </c>
      <c r="D3674">
        <v>0</v>
      </c>
      <c r="F3674">
        <v>0.47143999999999697</v>
      </c>
      <c r="G3674">
        <v>16.677271120537299</v>
      </c>
      <c r="H3674">
        <v>1</v>
      </c>
      <c r="I3674">
        <v>0.52334840000000005</v>
      </c>
      <c r="J3674">
        <v>2018</v>
      </c>
      <c r="K3674">
        <v>4</v>
      </c>
      <c r="L3674">
        <v>20</v>
      </c>
      <c r="M3674" t="s">
        <v>91</v>
      </c>
      <c r="N3674">
        <v>0</v>
      </c>
      <c r="O3674">
        <v>0</v>
      </c>
    </row>
    <row r="3675" spans="1:15" x14ac:dyDescent="0.3">
      <c r="A3675">
        <v>3770</v>
      </c>
      <c r="B3675" s="34">
        <v>43213</v>
      </c>
      <c r="C3675">
        <v>1.2287300000000001</v>
      </c>
      <c r="D3675">
        <v>0</v>
      </c>
      <c r="F3675">
        <v>0.47143999999999697</v>
      </c>
      <c r="G3675">
        <v>16.677271120537299</v>
      </c>
      <c r="H3675">
        <v>0</v>
      </c>
      <c r="I3675">
        <v>0.52320960000000005</v>
      </c>
      <c r="J3675">
        <v>2018</v>
      </c>
      <c r="K3675">
        <v>4</v>
      </c>
      <c r="L3675">
        <v>23</v>
      </c>
      <c r="M3675" t="s">
        <v>92</v>
      </c>
      <c r="N3675">
        <v>0</v>
      </c>
      <c r="O3675">
        <v>0</v>
      </c>
    </row>
    <row r="3676" spans="1:15" x14ac:dyDescent="0.3">
      <c r="A3676">
        <v>3771</v>
      </c>
      <c r="B3676" s="34">
        <v>43214</v>
      </c>
      <c r="C3676">
        <v>1.2208300000000001</v>
      </c>
      <c r="D3676">
        <v>0</v>
      </c>
      <c r="F3676">
        <v>0.47143999999999697</v>
      </c>
      <c r="G3676">
        <v>16.677271120537299</v>
      </c>
      <c r="H3676">
        <v>0</v>
      </c>
      <c r="I3676">
        <v>0.52307079999999995</v>
      </c>
      <c r="J3676">
        <v>2018</v>
      </c>
      <c r="K3676">
        <v>4</v>
      </c>
      <c r="L3676">
        <v>24</v>
      </c>
      <c r="M3676" t="s">
        <v>93</v>
      </c>
      <c r="N3676">
        <v>0</v>
      </c>
      <c r="O3676">
        <v>0</v>
      </c>
    </row>
    <row r="3677" spans="1:15" x14ac:dyDescent="0.3">
      <c r="A3677">
        <v>3772</v>
      </c>
      <c r="B3677" s="34">
        <v>43215</v>
      </c>
      <c r="C3677">
        <v>1.2231799999999999</v>
      </c>
      <c r="D3677">
        <v>0</v>
      </c>
      <c r="F3677">
        <v>0.47143999999999697</v>
      </c>
      <c r="G3677">
        <v>16.677271120537299</v>
      </c>
      <c r="H3677">
        <v>1</v>
      </c>
      <c r="I3677">
        <v>0.52319720000000003</v>
      </c>
      <c r="J3677">
        <v>2018</v>
      </c>
      <c r="K3677">
        <v>4</v>
      </c>
      <c r="L3677">
        <v>25</v>
      </c>
      <c r="M3677" t="s">
        <v>89</v>
      </c>
      <c r="N3677">
        <v>0</v>
      </c>
      <c r="O3677">
        <v>0</v>
      </c>
    </row>
    <row r="3678" spans="1:15" x14ac:dyDescent="0.3">
      <c r="A3678">
        <v>3773</v>
      </c>
      <c r="B3678" s="34">
        <v>43216</v>
      </c>
      <c r="C3678">
        <v>1.2160500000000001</v>
      </c>
      <c r="D3678">
        <v>0</v>
      </c>
      <c r="F3678">
        <v>0.47143999999999697</v>
      </c>
      <c r="G3678">
        <v>16.677271120537299</v>
      </c>
      <c r="H3678">
        <v>0</v>
      </c>
      <c r="I3678">
        <v>0.52305860000000004</v>
      </c>
      <c r="J3678">
        <v>2018</v>
      </c>
      <c r="K3678">
        <v>4</v>
      </c>
      <c r="L3678">
        <v>26</v>
      </c>
      <c r="M3678" t="s">
        <v>90</v>
      </c>
      <c r="N3678">
        <v>0</v>
      </c>
      <c r="O3678">
        <v>0</v>
      </c>
    </row>
    <row r="3679" spans="1:15" x14ac:dyDescent="0.3">
      <c r="A3679">
        <v>3774</v>
      </c>
      <c r="B3679" s="34">
        <v>43217</v>
      </c>
      <c r="C3679">
        <v>1.21031</v>
      </c>
      <c r="D3679">
        <v>0</v>
      </c>
      <c r="F3679">
        <v>0.47143999999999697</v>
      </c>
      <c r="G3679">
        <v>16.677271120537299</v>
      </c>
      <c r="H3679">
        <v>0</v>
      </c>
      <c r="I3679">
        <v>0.52292000000000005</v>
      </c>
      <c r="J3679">
        <v>2018</v>
      </c>
      <c r="K3679">
        <v>4</v>
      </c>
      <c r="L3679">
        <v>27</v>
      </c>
      <c r="M3679" t="s">
        <v>91</v>
      </c>
      <c r="N3679">
        <v>0</v>
      </c>
      <c r="O3679">
        <v>0</v>
      </c>
    </row>
    <row r="3680" spans="1:15" x14ac:dyDescent="0.3">
      <c r="A3680">
        <v>3775</v>
      </c>
      <c r="B3680" s="34">
        <v>43220</v>
      </c>
      <c r="C3680">
        <v>1.2129300000000001</v>
      </c>
      <c r="D3680">
        <v>0</v>
      </c>
      <c r="F3680">
        <v>0.47143999999999697</v>
      </c>
      <c r="G3680">
        <v>16.677271120537299</v>
      </c>
      <c r="H3680">
        <v>1</v>
      </c>
      <c r="I3680">
        <v>0.52304640000000002</v>
      </c>
      <c r="J3680">
        <v>2018</v>
      </c>
      <c r="K3680">
        <v>4</v>
      </c>
      <c r="L3680">
        <v>30</v>
      </c>
      <c r="M3680" t="s">
        <v>92</v>
      </c>
      <c r="N3680">
        <v>0</v>
      </c>
      <c r="O3680">
        <v>0</v>
      </c>
    </row>
    <row r="3681" spans="1:15" x14ac:dyDescent="0.3">
      <c r="A3681">
        <v>3776</v>
      </c>
      <c r="B3681" s="34">
        <v>43221</v>
      </c>
      <c r="C3681">
        <v>1.20774</v>
      </c>
      <c r="D3681">
        <v>0</v>
      </c>
      <c r="F3681">
        <v>0.47143999999999697</v>
      </c>
      <c r="G3681">
        <v>16.677271120537299</v>
      </c>
      <c r="H3681">
        <v>0</v>
      </c>
      <c r="I3681">
        <v>0.52290789999999998</v>
      </c>
      <c r="J3681">
        <v>2018</v>
      </c>
      <c r="K3681">
        <v>5</v>
      </c>
      <c r="L3681">
        <v>1</v>
      </c>
      <c r="M3681" t="s">
        <v>93</v>
      </c>
      <c r="N3681">
        <v>0</v>
      </c>
      <c r="O3681">
        <v>0</v>
      </c>
    </row>
    <row r="3682" spans="1:15" x14ac:dyDescent="0.3">
      <c r="A3682">
        <v>3777</v>
      </c>
      <c r="B3682" s="34">
        <v>43222</v>
      </c>
      <c r="C3682">
        <v>1.1992100000000001</v>
      </c>
      <c r="D3682">
        <v>0</v>
      </c>
      <c r="F3682">
        <v>0.47143999999999697</v>
      </c>
      <c r="G3682">
        <v>16.677271120537299</v>
      </c>
      <c r="H3682">
        <v>0</v>
      </c>
      <c r="I3682">
        <v>0.52276940000000005</v>
      </c>
      <c r="J3682">
        <v>2018</v>
      </c>
      <c r="K3682">
        <v>5</v>
      </c>
      <c r="L3682">
        <v>2</v>
      </c>
      <c r="M3682" t="s">
        <v>89</v>
      </c>
      <c r="N3682">
        <v>0</v>
      </c>
      <c r="O3682">
        <v>0</v>
      </c>
    </row>
    <row r="3683" spans="1:15" x14ac:dyDescent="0.3">
      <c r="A3683">
        <v>3778</v>
      </c>
      <c r="B3683" s="34">
        <v>43223</v>
      </c>
      <c r="C3683">
        <v>1.19503</v>
      </c>
      <c r="D3683">
        <v>0</v>
      </c>
      <c r="F3683">
        <v>0.47143999999999697</v>
      </c>
      <c r="G3683">
        <v>16.677271120537299</v>
      </c>
      <c r="H3683">
        <v>0</v>
      </c>
      <c r="I3683">
        <v>0.52263099999999996</v>
      </c>
      <c r="J3683">
        <v>2018</v>
      </c>
      <c r="K3683">
        <v>5</v>
      </c>
      <c r="L3683">
        <v>3</v>
      </c>
      <c r="M3683" t="s">
        <v>90</v>
      </c>
      <c r="N3683">
        <v>0</v>
      </c>
      <c r="O3683">
        <v>0</v>
      </c>
    </row>
    <row r="3684" spans="1:15" x14ac:dyDescent="0.3">
      <c r="A3684">
        <v>3779</v>
      </c>
      <c r="B3684" s="34">
        <v>43224</v>
      </c>
      <c r="C3684">
        <v>1.19878</v>
      </c>
      <c r="D3684">
        <v>0</v>
      </c>
      <c r="F3684">
        <v>0.47143999999999697</v>
      </c>
      <c r="G3684">
        <v>16.677271120537299</v>
      </c>
      <c r="H3684">
        <v>1</v>
      </c>
      <c r="I3684">
        <v>0.52275740000000004</v>
      </c>
      <c r="J3684">
        <v>2018</v>
      </c>
      <c r="K3684">
        <v>5</v>
      </c>
      <c r="L3684">
        <v>4</v>
      </c>
      <c r="M3684" t="s">
        <v>91</v>
      </c>
      <c r="N3684">
        <v>0</v>
      </c>
      <c r="O3684">
        <v>0</v>
      </c>
    </row>
    <row r="3685" spans="1:15" x14ac:dyDescent="0.3">
      <c r="A3685">
        <v>3780</v>
      </c>
      <c r="B3685" s="34">
        <v>43227</v>
      </c>
      <c r="C3685">
        <v>1.1960900000000001</v>
      </c>
      <c r="D3685">
        <v>0</v>
      </c>
      <c r="F3685">
        <v>0.47143999999999697</v>
      </c>
      <c r="G3685">
        <v>16.677271120537299</v>
      </c>
      <c r="H3685">
        <v>0</v>
      </c>
      <c r="I3685">
        <v>0.5226191</v>
      </c>
      <c r="J3685">
        <v>2018</v>
      </c>
      <c r="K3685">
        <v>5</v>
      </c>
      <c r="L3685">
        <v>7</v>
      </c>
      <c r="M3685" t="s">
        <v>92</v>
      </c>
      <c r="N3685">
        <v>0</v>
      </c>
      <c r="O3685">
        <v>0</v>
      </c>
    </row>
    <row r="3686" spans="1:15" x14ac:dyDescent="0.3">
      <c r="A3686">
        <v>3781</v>
      </c>
      <c r="B3686" s="34">
        <v>43228</v>
      </c>
      <c r="C3686">
        <v>1.19218</v>
      </c>
      <c r="D3686">
        <v>0</v>
      </c>
      <c r="F3686">
        <v>0.47143999999999697</v>
      </c>
      <c r="G3686">
        <v>16.677271120537299</v>
      </c>
      <c r="H3686">
        <v>0</v>
      </c>
      <c r="I3686">
        <v>0.52248079999999997</v>
      </c>
      <c r="J3686">
        <v>2018</v>
      </c>
      <c r="K3686">
        <v>5</v>
      </c>
      <c r="L3686">
        <v>8</v>
      </c>
      <c r="M3686" t="s">
        <v>93</v>
      </c>
      <c r="N3686">
        <v>0</v>
      </c>
      <c r="O3686">
        <v>0</v>
      </c>
    </row>
    <row r="3687" spans="1:15" x14ac:dyDescent="0.3">
      <c r="A3687">
        <v>3782</v>
      </c>
      <c r="B3687" s="34">
        <v>43229</v>
      </c>
      <c r="C3687">
        <v>1.1863999999999999</v>
      </c>
      <c r="D3687">
        <v>0</v>
      </c>
      <c r="F3687">
        <v>0.47143999999999697</v>
      </c>
      <c r="G3687">
        <v>16.677271120537299</v>
      </c>
      <c r="H3687">
        <v>0</v>
      </c>
      <c r="I3687">
        <v>0.52234270000000005</v>
      </c>
      <c r="J3687">
        <v>2018</v>
      </c>
      <c r="K3687">
        <v>5</v>
      </c>
      <c r="L3687">
        <v>9</v>
      </c>
      <c r="M3687" t="s">
        <v>89</v>
      </c>
      <c r="N3687">
        <v>0</v>
      </c>
      <c r="O3687">
        <v>0</v>
      </c>
    </row>
    <row r="3688" spans="1:15" x14ac:dyDescent="0.3">
      <c r="A3688">
        <v>3783</v>
      </c>
      <c r="B3688" s="34">
        <v>43230</v>
      </c>
      <c r="C3688">
        <v>1.1850099999999999</v>
      </c>
      <c r="D3688">
        <v>0</v>
      </c>
      <c r="F3688">
        <v>0.47143999999999697</v>
      </c>
      <c r="G3688">
        <v>16.677271120537299</v>
      </c>
      <c r="H3688">
        <v>0</v>
      </c>
      <c r="I3688">
        <v>0.52220460000000002</v>
      </c>
      <c r="J3688">
        <v>2018</v>
      </c>
      <c r="K3688">
        <v>5</v>
      </c>
      <c r="L3688">
        <v>10</v>
      </c>
      <c r="M3688" t="s">
        <v>90</v>
      </c>
      <c r="N3688">
        <v>0</v>
      </c>
      <c r="O3688">
        <v>0</v>
      </c>
    </row>
    <row r="3689" spans="1:15" x14ac:dyDescent="0.3">
      <c r="A3689">
        <v>3784</v>
      </c>
      <c r="B3689" s="34">
        <v>43231</v>
      </c>
      <c r="C3689">
        <v>1.1914899999999999</v>
      </c>
      <c r="D3689">
        <v>0</v>
      </c>
      <c r="F3689">
        <v>0.47143999999999697</v>
      </c>
      <c r="G3689">
        <v>16.677271120537299</v>
      </c>
      <c r="H3689">
        <v>0</v>
      </c>
      <c r="I3689">
        <v>0.52206660000000005</v>
      </c>
      <c r="J3689">
        <v>2018</v>
      </c>
      <c r="K3689">
        <v>5</v>
      </c>
      <c r="L3689">
        <v>11</v>
      </c>
      <c r="M3689" t="s">
        <v>91</v>
      </c>
      <c r="N3689">
        <v>0</v>
      </c>
      <c r="O3689">
        <v>0</v>
      </c>
    </row>
    <row r="3690" spans="1:15" x14ac:dyDescent="0.3">
      <c r="A3690">
        <v>3785</v>
      </c>
      <c r="B3690" s="34">
        <v>43234</v>
      </c>
      <c r="C3690">
        <v>1.19417</v>
      </c>
      <c r="D3690">
        <v>0</v>
      </c>
      <c r="F3690">
        <v>0.47143999999999697</v>
      </c>
      <c r="G3690">
        <v>16.677271120537299</v>
      </c>
      <c r="H3690">
        <v>0</v>
      </c>
      <c r="I3690">
        <v>0.52192870000000002</v>
      </c>
      <c r="J3690">
        <v>2018</v>
      </c>
      <c r="K3690">
        <v>5</v>
      </c>
      <c r="L3690">
        <v>14</v>
      </c>
      <c r="M3690" t="s">
        <v>92</v>
      </c>
      <c r="N3690">
        <v>0</v>
      </c>
      <c r="O3690">
        <v>0</v>
      </c>
    </row>
    <row r="3691" spans="1:15" x14ac:dyDescent="0.3">
      <c r="A3691">
        <v>3786</v>
      </c>
      <c r="B3691" s="34">
        <v>43235</v>
      </c>
      <c r="C3691">
        <v>1.19262</v>
      </c>
      <c r="D3691">
        <v>0</v>
      </c>
      <c r="F3691">
        <v>0.47143999999999697</v>
      </c>
      <c r="G3691">
        <v>16.677271120537299</v>
      </c>
      <c r="H3691">
        <v>0</v>
      </c>
      <c r="I3691">
        <v>0.5217908</v>
      </c>
      <c r="J3691">
        <v>2018</v>
      </c>
      <c r="K3691">
        <v>5</v>
      </c>
      <c r="L3691">
        <v>15</v>
      </c>
      <c r="M3691" t="s">
        <v>93</v>
      </c>
      <c r="N3691">
        <v>0</v>
      </c>
      <c r="O3691">
        <v>0</v>
      </c>
    </row>
    <row r="3692" spans="1:15" x14ac:dyDescent="0.3">
      <c r="A3692">
        <v>3787</v>
      </c>
      <c r="B3692" s="34">
        <v>43236</v>
      </c>
      <c r="C3692">
        <v>1.18374</v>
      </c>
      <c r="D3692">
        <v>0</v>
      </c>
      <c r="F3692">
        <v>0.47143999999999697</v>
      </c>
      <c r="G3692">
        <v>16.677271120537299</v>
      </c>
      <c r="H3692">
        <v>1</v>
      </c>
      <c r="I3692">
        <v>0.52191710000000002</v>
      </c>
      <c r="J3692">
        <v>2018</v>
      </c>
      <c r="K3692">
        <v>5</v>
      </c>
      <c r="L3692">
        <v>16</v>
      </c>
      <c r="M3692" t="s">
        <v>89</v>
      </c>
      <c r="N3692">
        <v>0</v>
      </c>
      <c r="O3692">
        <v>0</v>
      </c>
    </row>
    <row r="3693" spans="1:15" x14ac:dyDescent="0.3">
      <c r="A3693">
        <v>3788</v>
      </c>
      <c r="B3693" s="34">
        <v>43237</v>
      </c>
      <c r="C3693">
        <v>1.18069</v>
      </c>
      <c r="D3693">
        <v>0</v>
      </c>
      <c r="F3693">
        <v>0.47143999999999697</v>
      </c>
      <c r="G3693">
        <v>16.677271120537299</v>
      </c>
      <c r="H3693">
        <v>0</v>
      </c>
      <c r="I3693">
        <v>0.52177929999999995</v>
      </c>
      <c r="J3693">
        <v>2018</v>
      </c>
      <c r="K3693">
        <v>5</v>
      </c>
      <c r="L3693">
        <v>17</v>
      </c>
      <c r="M3693" t="s">
        <v>90</v>
      </c>
      <c r="N3693">
        <v>0</v>
      </c>
      <c r="O3693">
        <v>0</v>
      </c>
    </row>
    <row r="3694" spans="1:15" x14ac:dyDescent="0.3">
      <c r="A3694">
        <v>3789</v>
      </c>
      <c r="B3694" s="34">
        <v>43238</v>
      </c>
      <c r="C3694">
        <v>1.1793100000000001</v>
      </c>
      <c r="D3694">
        <v>0</v>
      </c>
      <c r="F3694">
        <v>0.47143999999999697</v>
      </c>
      <c r="G3694">
        <v>16.677271120537299</v>
      </c>
      <c r="H3694">
        <v>0</v>
      </c>
      <c r="I3694">
        <v>0.52164160000000004</v>
      </c>
      <c r="J3694">
        <v>2018</v>
      </c>
      <c r="K3694">
        <v>5</v>
      </c>
      <c r="L3694">
        <v>18</v>
      </c>
      <c r="M3694" t="s">
        <v>91</v>
      </c>
      <c r="N3694">
        <v>0</v>
      </c>
      <c r="O3694">
        <v>0</v>
      </c>
    </row>
    <row r="3695" spans="1:15" x14ac:dyDescent="0.3">
      <c r="A3695">
        <v>3790</v>
      </c>
      <c r="B3695" s="34">
        <v>43241</v>
      </c>
      <c r="C3695">
        <v>1.1770499999999999</v>
      </c>
      <c r="D3695">
        <v>0</v>
      </c>
      <c r="F3695">
        <v>0.47143999999999697</v>
      </c>
      <c r="G3695">
        <v>16.677271120537299</v>
      </c>
      <c r="H3695">
        <v>0</v>
      </c>
      <c r="I3695">
        <v>0.52150399999999997</v>
      </c>
      <c r="J3695">
        <v>2018</v>
      </c>
      <c r="K3695">
        <v>5</v>
      </c>
      <c r="L3695">
        <v>21</v>
      </c>
      <c r="M3695" t="s">
        <v>92</v>
      </c>
      <c r="N3695">
        <v>0</v>
      </c>
      <c r="O3695">
        <v>0</v>
      </c>
    </row>
    <row r="3696" spans="1:15" x14ac:dyDescent="0.3">
      <c r="A3696">
        <v>3791</v>
      </c>
      <c r="B3696" s="34">
        <v>43242</v>
      </c>
      <c r="C3696">
        <v>1.1791100000000001</v>
      </c>
      <c r="D3696">
        <v>0</v>
      </c>
      <c r="F3696">
        <v>0.47143999999999697</v>
      </c>
      <c r="G3696">
        <v>16.677271120537299</v>
      </c>
      <c r="H3696">
        <v>0</v>
      </c>
      <c r="I3696">
        <v>0.52136640000000001</v>
      </c>
      <c r="J3696">
        <v>2018</v>
      </c>
      <c r="K3696">
        <v>5</v>
      </c>
      <c r="L3696">
        <v>22</v>
      </c>
      <c r="M3696" t="s">
        <v>93</v>
      </c>
      <c r="N3696">
        <v>0</v>
      </c>
      <c r="O3696">
        <v>0</v>
      </c>
    </row>
    <row r="3697" spans="1:15" x14ac:dyDescent="0.3">
      <c r="A3697">
        <v>3792</v>
      </c>
      <c r="B3697" s="34">
        <v>43243</v>
      </c>
      <c r="C3697">
        <v>1.1778</v>
      </c>
      <c r="D3697">
        <v>0</v>
      </c>
      <c r="F3697">
        <v>0.47143999999999697</v>
      </c>
      <c r="G3697">
        <v>16.677271120537299</v>
      </c>
      <c r="H3697">
        <v>1</v>
      </c>
      <c r="I3697">
        <v>0.52149259999999997</v>
      </c>
      <c r="J3697">
        <v>2018</v>
      </c>
      <c r="K3697">
        <v>5</v>
      </c>
      <c r="L3697">
        <v>23</v>
      </c>
      <c r="M3697" t="s">
        <v>89</v>
      </c>
      <c r="N3697">
        <v>0</v>
      </c>
      <c r="O3697">
        <v>0</v>
      </c>
    </row>
    <row r="3698" spans="1:15" x14ac:dyDescent="0.3">
      <c r="A3698">
        <v>3793</v>
      </c>
      <c r="B3698" s="34">
        <v>43244</v>
      </c>
      <c r="C3698">
        <v>1.16951</v>
      </c>
      <c r="D3698">
        <v>5</v>
      </c>
      <c r="E3698" t="s">
        <v>438</v>
      </c>
      <c r="F3698">
        <v>0.473849999999997</v>
      </c>
      <c r="G3698">
        <v>16.251325556733899</v>
      </c>
      <c r="H3698">
        <v>0</v>
      </c>
      <c r="I3698">
        <v>0.52135520000000002</v>
      </c>
      <c r="J3698">
        <v>2018</v>
      </c>
      <c r="K3698">
        <v>5</v>
      </c>
      <c r="L3698">
        <v>24</v>
      </c>
      <c r="M3698" t="s">
        <v>90</v>
      </c>
      <c r="N3698">
        <v>0</v>
      </c>
      <c r="O3698">
        <v>0</v>
      </c>
    </row>
    <row r="3699" spans="1:15" x14ac:dyDescent="0.3">
      <c r="A3699">
        <v>3794</v>
      </c>
      <c r="B3699" s="34">
        <v>43245</v>
      </c>
      <c r="C3699">
        <v>1.1719200000000001</v>
      </c>
      <c r="D3699">
        <v>0</v>
      </c>
      <c r="F3699">
        <v>0.473849999999997</v>
      </c>
      <c r="G3699">
        <v>16.251325556733899</v>
      </c>
      <c r="H3699">
        <v>1</v>
      </c>
      <c r="I3699">
        <v>0.52148130000000004</v>
      </c>
      <c r="J3699">
        <v>2018</v>
      </c>
      <c r="K3699">
        <v>5</v>
      </c>
      <c r="L3699">
        <v>25</v>
      </c>
      <c r="M3699" t="s">
        <v>91</v>
      </c>
      <c r="N3699">
        <v>0</v>
      </c>
      <c r="O3699">
        <v>0</v>
      </c>
    </row>
    <row r="3700" spans="1:15" x14ac:dyDescent="0.3">
      <c r="A3700">
        <v>3795</v>
      </c>
      <c r="B3700" s="34">
        <v>43248</v>
      </c>
      <c r="C3700">
        <v>1.16492</v>
      </c>
      <c r="D3700">
        <v>0</v>
      </c>
      <c r="F3700">
        <v>0.473849999999997</v>
      </c>
      <c r="G3700">
        <v>16.251325556733899</v>
      </c>
      <c r="H3700">
        <v>0</v>
      </c>
      <c r="I3700">
        <v>0.52134389999999997</v>
      </c>
      <c r="J3700">
        <v>2018</v>
      </c>
      <c r="K3700">
        <v>5</v>
      </c>
      <c r="L3700">
        <v>28</v>
      </c>
      <c r="M3700" t="s">
        <v>92</v>
      </c>
      <c r="N3700">
        <v>0</v>
      </c>
      <c r="O3700">
        <v>0</v>
      </c>
    </row>
    <row r="3701" spans="1:15" x14ac:dyDescent="0.3">
      <c r="A3701">
        <v>3796</v>
      </c>
      <c r="B3701" s="34">
        <v>43249</v>
      </c>
      <c r="C3701">
        <v>1.16238</v>
      </c>
      <c r="D3701">
        <v>0</v>
      </c>
      <c r="F3701">
        <v>0.473849999999997</v>
      </c>
      <c r="G3701">
        <v>16.251325556733899</v>
      </c>
      <c r="H3701">
        <v>0</v>
      </c>
      <c r="I3701">
        <v>0.52120659999999996</v>
      </c>
      <c r="J3701">
        <v>2018</v>
      </c>
      <c r="K3701">
        <v>5</v>
      </c>
      <c r="L3701">
        <v>29</v>
      </c>
      <c r="M3701" t="s">
        <v>93</v>
      </c>
      <c r="N3701">
        <v>0</v>
      </c>
      <c r="O3701">
        <v>0</v>
      </c>
    </row>
    <row r="3702" spans="1:15" x14ac:dyDescent="0.3">
      <c r="A3702">
        <v>3797</v>
      </c>
      <c r="B3702" s="34">
        <v>43250</v>
      </c>
      <c r="C3702">
        <v>1.15391</v>
      </c>
      <c r="D3702">
        <v>0</v>
      </c>
      <c r="F3702">
        <v>0.473849999999997</v>
      </c>
      <c r="G3702">
        <v>16.251325556733899</v>
      </c>
      <c r="H3702">
        <v>0</v>
      </c>
      <c r="I3702">
        <v>0.52106929999999996</v>
      </c>
      <c r="J3702">
        <v>2018</v>
      </c>
      <c r="K3702">
        <v>5</v>
      </c>
      <c r="L3702">
        <v>30</v>
      </c>
      <c r="M3702" t="s">
        <v>89</v>
      </c>
      <c r="N3702">
        <v>0</v>
      </c>
      <c r="O3702">
        <v>0</v>
      </c>
    </row>
    <row r="3703" spans="1:15" x14ac:dyDescent="0.3">
      <c r="A3703">
        <v>3798</v>
      </c>
      <c r="B3703" s="34">
        <v>43251</v>
      </c>
      <c r="C3703">
        <v>1.16622</v>
      </c>
      <c r="D3703">
        <v>0</v>
      </c>
      <c r="F3703">
        <v>0.473849999999997</v>
      </c>
      <c r="G3703">
        <v>16.251325556733899</v>
      </c>
      <c r="H3703">
        <v>1</v>
      </c>
      <c r="I3703">
        <v>0.52119539999999998</v>
      </c>
      <c r="J3703">
        <v>2018</v>
      </c>
      <c r="K3703">
        <v>5</v>
      </c>
      <c r="L3703">
        <v>31</v>
      </c>
      <c r="M3703" t="s">
        <v>90</v>
      </c>
      <c r="N3703">
        <v>0</v>
      </c>
      <c r="O3703">
        <v>0</v>
      </c>
    </row>
    <row r="3704" spans="1:15" x14ac:dyDescent="0.3">
      <c r="A3704">
        <v>3799</v>
      </c>
      <c r="B3704" s="34">
        <v>43252</v>
      </c>
      <c r="C3704">
        <v>1.16906</v>
      </c>
      <c r="D3704">
        <v>0</v>
      </c>
      <c r="F3704">
        <v>0.473849999999997</v>
      </c>
      <c r="G3704">
        <v>16.251325556733899</v>
      </c>
      <c r="H3704">
        <v>0</v>
      </c>
      <c r="I3704">
        <v>0.52105820000000003</v>
      </c>
      <c r="J3704">
        <v>2018</v>
      </c>
      <c r="K3704">
        <v>6</v>
      </c>
      <c r="L3704">
        <v>1</v>
      </c>
      <c r="M3704" t="s">
        <v>91</v>
      </c>
      <c r="N3704">
        <v>0</v>
      </c>
      <c r="O3704">
        <v>0</v>
      </c>
    </row>
    <row r="3705" spans="1:15" x14ac:dyDescent="0.3">
      <c r="A3705">
        <v>3800</v>
      </c>
      <c r="B3705" s="34">
        <v>43255</v>
      </c>
      <c r="C3705">
        <v>1.1659600000000001</v>
      </c>
      <c r="D3705">
        <v>0</v>
      </c>
      <c r="F3705">
        <v>0.473849999999997</v>
      </c>
      <c r="G3705">
        <v>16.251325556733899</v>
      </c>
      <c r="H3705">
        <v>1</v>
      </c>
      <c r="I3705">
        <v>0.52118419999999999</v>
      </c>
      <c r="J3705">
        <v>2018</v>
      </c>
      <c r="K3705">
        <v>6</v>
      </c>
      <c r="L3705">
        <v>4</v>
      </c>
      <c r="M3705" t="s">
        <v>92</v>
      </c>
      <c r="N3705">
        <v>0</v>
      </c>
      <c r="O3705">
        <v>0</v>
      </c>
    </row>
    <row r="3706" spans="1:15" x14ac:dyDescent="0.3">
      <c r="A3706">
        <v>3801</v>
      </c>
      <c r="B3706" s="34">
        <v>43256</v>
      </c>
      <c r="C3706">
        <v>1.16978</v>
      </c>
      <c r="D3706">
        <v>0</v>
      </c>
      <c r="F3706">
        <v>0.473849999999997</v>
      </c>
      <c r="G3706">
        <v>16.251325556733899</v>
      </c>
      <c r="H3706">
        <v>0</v>
      </c>
      <c r="I3706">
        <v>0.52104709999999999</v>
      </c>
      <c r="J3706">
        <v>2018</v>
      </c>
      <c r="K3706">
        <v>6</v>
      </c>
      <c r="L3706">
        <v>5</v>
      </c>
      <c r="M3706" t="s">
        <v>93</v>
      </c>
      <c r="N3706">
        <v>0</v>
      </c>
      <c r="O3706">
        <v>0</v>
      </c>
    </row>
    <row r="3707" spans="1:15" x14ac:dyDescent="0.3">
      <c r="A3707">
        <v>3802</v>
      </c>
      <c r="B3707" s="34">
        <v>43257</v>
      </c>
      <c r="C3707">
        <v>1.17167</v>
      </c>
      <c r="D3707">
        <v>0</v>
      </c>
      <c r="F3707">
        <v>0.473849999999997</v>
      </c>
      <c r="G3707">
        <v>16.251325556733899</v>
      </c>
      <c r="H3707">
        <v>0</v>
      </c>
      <c r="I3707">
        <v>0.52090999999999998</v>
      </c>
      <c r="J3707">
        <v>2018</v>
      </c>
      <c r="K3707">
        <v>6</v>
      </c>
      <c r="L3707">
        <v>6</v>
      </c>
      <c r="M3707" t="s">
        <v>89</v>
      </c>
      <c r="N3707">
        <v>0</v>
      </c>
      <c r="O3707">
        <v>0</v>
      </c>
    </row>
    <row r="3708" spans="1:15" x14ac:dyDescent="0.3">
      <c r="A3708">
        <v>3803</v>
      </c>
      <c r="B3708" s="34">
        <v>43258</v>
      </c>
      <c r="C3708">
        <v>1.1773499999999999</v>
      </c>
      <c r="D3708">
        <v>0</v>
      </c>
      <c r="F3708">
        <v>0.473849999999997</v>
      </c>
      <c r="G3708">
        <v>16.251325556733899</v>
      </c>
      <c r="H3708">
        <v>0</v>
      </c>
      <c r="I3708">
        <v>0.52077309999999999</v>
      </c>
      <c r="J3708">
        <v>2018</v>
      </c>
      <c r="K3708">
        <v>6</v>
      </c>
      <c r="L3708">
        <v>7</v>
      </c>
      <c r="M3708" t="s">
        <v>90</v>
      </c>
      <c r="N3708">
        <v>0</v>
      </c>
      <c r="O3708">
        <v>0</v>
      </c>
    </row>
    <row r="3709" spans="1:15" x14ac:dyDescent="0.3">
      <c r="A3709">
        <v>3804</v>
      </c>
      <c r="B3709" s="34">
        <v>43259</v>
      </c>
      <c r="C3709">
        <v>1.1797899999999999</v>
      </c>
      <c r="D3709">
        <v>0</v>
      </c>
      <c r="F3709">
        <v>0.473849999999997</v>
      </c>
      <c r="G3709">
        <v>16.251325556733899</v>
      </c>
      <c r="H3709">
        <v>0</v>
      </c>
      <c r="I3709">
        <v>0.52063619999999999</v>
      </c>
      <c r="J3709">
        <v>2018</v>
      </c>
      <c r="K3709">
        <v>6</v>
      </c>
      <c r="L3709">
        <v>8</v>
      </c>
      <c r="M3709" t="s">
        <v>91</v>
      </c>
      <c r="N3709">
        <v>0</v>
      </c>
      <c r="O3709">
        <v>0</v>
      </c>
    </row>
    <row r="3710" spans="1:15" x14ac:dyDescent="0.3">
      <c r="A3710">
        <v>3805</v>
      </c>
      <c r="B3710" s="34">
        <v>43262</v>
      </c>
      <c r="C3710">
        <v>1.17693</v>
      </c>
      <c r="D3710">
        <v>0</v>
      </c>
      <c r="F3710">
        <v>0.473849999999997</v>
      </c>
      <c r="G3710">
        <v>16.251325556733899</v>
      </c>
      <c r="H3710">
        <v>1</v>
      </c>
      <c r="I3710">
        <v>0.52076210000000001</v>
      </c>
      <c r="J3710">
        <v>2018</v>
      </c>
      <c r="K3710">
        <v>6</v>
      </c>
      <c r="L3710">
        <v>11</v>
      </c>
      <c r="M3710" t="s">
        <v>92</v>
      </c>
      <c r="N3710">
        <v>0</v>
      </c>
      <c r="O3710">
        <v>0</v>
      </c>
    </row>
    <row r="3711" spans="1:15" x14ac:dyDescent="0.3">
      <c r="A3711">
        <v>3806</v>
      </c>
      <c r="B3711" s="34">
        <v>43263</v>
      </c>
      <c r="C3711">
        <v>1.17828</v>
      </c>
      <c r="D3711">
        <v>0</v>
      </c>
      <c r="F3711">
        <v>0.473849999999997</v>
      </c>
      <c r="G3711">
        <v>16.251325556733899</v>
      </c>
      <c r="H3711">
        <v>0</v>
      </c>
      <c r="I3711">
        <v>0.52062540000000002</v>
      </c>
      <c r="J3711">
        <v>2018</v>
      </c>
      <c r="K3711">
        <v>6</v>
      </c>
      <c r="L3711">
        <v>12</v>
      </c>
      <c r="M3711" t="s">
        <v>93</v>
      </c>
      <c r="N3711">
        <v>0</v>
      </c>
      <c r="O3711">
        <v>0</v>
      </c>
    </row>
    <row r="3712" spans="1:15" x14ac:dyDescent="0.3">
      <c r="A3712">
        <v>3807</v>
      </c>
      <c r="B3712" s="34">
        <v>43264</v>
      </c>
      <c r="C3712">
        <v>1.1745399999999999</v>
      </c>
      <c r="D3712">
        <v>0</v>
      </c>
      <c r="F3712">
        <v>0.473849999999997</v>
      </c>
      <c r="G3712">
        <v>16.251325556733899</v>
      </c>
      <c r="H3712">
        <v>1</v>
      </c>
      <c r="I3712">
        <v>0.52075119999999997</v>
      </c>
      <c r="J3712">
        <v>2018</v>
      </c>
      <c r="K3712">
        <v>6</v>
      </c>
      <c r="L3712">
        <v>13</v>
      </c>
      <c r="M3712" t="s">
        <v>89</v>
      </c>
      <c r="N3712">
        <v>0</v>
      </c>
      <c r="O3712">
        <v>0</v>
      </c>
    </row>
    <row r="3713" spans="1:15" x14ac:dyDescent="0.3">
      <c r="A3713">
        <v>3808</v>
      </c>
      <c r="B3713" s="34">
        <v>43265</v>
      </c>
      <c r="C3713">
        <v>1.1791199999999999</v>
      </c>
      <c r="D3713">
        <v>0</v>
      </c>
      <c r="F3713">
        <v>0.473849999999997</v>
      </c>
      <c r="G3713">
        <v>16.251325556733899</v>
      </c>
      <c r="H3713">
        <v>1</v>
      </c>
      <c r="I3713">
        <v>0.52087709999999998</v>
      </c>
      <c r="J3713">
        <v>2018</v>
      </c>
      <c r="K3713">
        <v>6</v>
      </c>
      <c r="L3713">
        <v>14</v>
      </c>
      <c r="M3713" t="s">
        <v>90</v>
      </c>
      <c r="N3713">
        <v>0</v>
      </c>
      <c r="O3713">
        <v>0</v>
      </c>
    </row>
    <row r="3714" spans="1:15" x14ac:dyDescent="0.3">
      <c r="A3714">
        <v>3809</v>
      </c>
      <c r="B3714" s="34">
        <v>43266</v>
      </c>
      <c r="C3714">
        <v>1.15659</v>
      </c>
      <c r="D3714">
        <v>0</v>
      </c>
      <c r="F3714">
        <v>0.473849999999997</v>
      </c>
      <c r="G3714">
        <v>16.251325556733899</v>
      </c>
      <c r="H3714">
        <v>1</v>
      </c>
      <c r="I3714">
        <v>0.52100290000000005</v>
      </c>
      <c r="J3714">
        <v>2018</v>
      </c>
      <c r="K3714">
        <v>6</v>
      </c>
      <c r="L3714">
        <v>15</v>
      </c>
      <c r="M3714" t="s">
        <v>91</v>
      </c>
      <c r="N3714">
        <v>0</v>
      </c>
      <c r="O3714">
        <v>0</v>
      </c>
    </row>
    <row r="3715" spans="1:15" x14ac:dyDescent="0.3">
      <c r="A3715">
        <v>3810</v>
      </c>
      <c r="B3715" s="34">
        <v>43269</v>
      </c>
      <c r="C3715">
        <v>1.1607000000000001</v>
      </c>
      <c r="D3715">
        <v>0</v>
      </c>
      <c r="F3715">
        <v>0.473849999999997</v>
      </c>
      <c r="G3715">
        <v>16.251325556733899</v>
      </c>
      <c r="H3715">
        <v>1</v>
      </c>
      <c r="I3715">
        <v>0.52112860000000005</v>
      </c>
      <c r="J3715">
        <v>2018</v>
      </c>
      <c r="K3715">
        <v>6</v>
      </c>
      <c r="L3715">
        <v>18</v>
      </c>
      <c r="M3715" t="s">
        <v>92</v>
      </c>
      <c r="N3715">
        <v>0</v>
      </c>
      <c r="O3715">
        <v>0</v>
      </c>
    </row>
    <row r="3716" spans="1:15" x14ac:dyDescent="0.3">
      <c r="A3716">
        <v>3811</v>
      </c>
      <c r="B3716" s="34">
        <v>43270</v>
      </c>
      <c r="C3716">
        <v>1.16222</v>
      </c>
      <c r="D3716">
        <v>0</v>
      </c>
      <c r="F3716">
        <v>0.473849999999997</v>
      </c>
      <c r="G3716">
        <v>16.251325556733899</v>
      </c>
      <c r="H3716">
        <v>1</v>
      </c>
      <c r="I3716">
        <v>0.5212542</v>
      </c>
      <c r="J3716">
        <v>2018</v>
      </c>
      <c r="K3716">
        <v>6</v>
      </c>
      <c r="L3716">
        <v>19</v>
      </c>
      <c r="M3716" t="s">
        <v>93</v>
      </c>
      <c r="N3716">
        <v>0</v>
      </c>
      <c r="O3716">
        <v>0</v>
      </c>
    </row>
    <row r="3717" spans="1:15" x14ac:dyDescent="0.3">
      <c r="A3717">
        <v>3812</v>
      </c>
      <c r="B3717" s="34">
        <v>43271</v>
      </c>
      <c r="C3717">
        <v>1.1587700000000001</v>
      </c>
      <c r="D3717">
        <v>0</v>
      </c>
      <c r="F3717">
        <v>0.473849999999997</v>
      </c>
      <c r="G3717">
        <v>16.251325556733899</v>
      </c>
      <c r="H3717">
        <v>1</v>
      </c>
      <c r="I3717">
        <v>0.52137979999999995</v>
      </c>
      <c r="J3717">
        <v>2018</v>
      </c>
      <c r="K3717">
        <v>6</v>
      </c>
      <c r="L3717">
        <v>20</v>
      </c>
      <c r="M3717" t="s">
        <v>89</v>
      </c>
      <c r="N3717">
        <v>0</v>
      </c>
      <c r="O3717">
        <v>0</v>
      </c>
    </row>
    <row r="3718" spans="1:15" x14ac:dyDescent="0.3">
      <c r="A3718">
        <v>3813</v>
      </c>
      <c r="B3718" s="34">
        <v>43272</v>
      </c>
      <c r="C3718">
        <v>1.1570400000000001</v>
      </c>
      <c r="D3718">
        <v>0</v>
      </c>
      <c r="F3718">
        <v>0.473849999999997</v>
      </c>
      <c r="G3718">
        <v>16.251325556733899</v>
      </c>
      <c r="H3718">
        <v>0</v>
      </c>
      <c r="I3718">
        <v>0.52124309999999996</v>
      </c>
      <c r="J3718">
        <v>2018</v>
      </c>
      <c r="K3718">
        <v>6</v>
      </c>
      <c r="L3718">
        <v>21</v>
      </c>
      <c r="M3718" t="s">
        <v>90</v>
      </c>
      <c r="N3718">
        <v>0</v>
      </c>
      <c r="O3718">
        <v>0</v>
      </c>
    </row>
    <row r="3719" spans="1:15" x14ac:dyDescent="0.3">
      <c r="A3719">
        <v>3814</v>
      </c>
      <c r="B3719" s="34">
        <v>43273</v>
      </c>
      <c r="C3719">
        <v>1.16025</v>
      </c>
      <c r="D3719">
        <v>0</v>
      </c>
      <c r="F3719">
        <v>0.473849999999997</v>
      </c>
      <c r="G3719">
        <v>16.251325556733899</v>
      </c>
      <c r="H3719">
        <v>1</v>
      </c>
      <c r="I3719">
        <v>0.52136859999999996</v>
      </c>
      <c r="J3719">
        <v>2018</v>
      </c>
      <c r="K3719">
        <v>6</v>
      </c>
      <c r="L3719">
        <v>22</v>
      </c>
      <c r="M3719" t="s">
        <v>91</v>
      </c>
      <c r="N3719">
        <v>0</v>
      </c>
      <c r="O3719">
        <v>0</v>
      </c>
    </row>
    <row r="3720" spans="1:15" x14ac:dyDescent="0.3">
      <c r="A3720">
        <v>3815</v>
      </c>
      <c r="B3720" s="34">
        <v>43276</v>
      </c>
      <c r="C3720">
        <v>1.1653899999999999</v>
      </c>
      <c r="D3720">
        <v>0</v>
      </c>
      <c r="F3720">
        <v>0.473849999999997</v>
      </c>
      <c r="G3720">
        <v>16.251325556733899</v>
      </c>
      <c r="H3720">
        <v>0</v>
      </c>
      <c r="I3720">
        <v>0.52123189999999997</v>
      </c>
      <c r="J3720">
        <v>2018</v>
      </c>
      <c r="K3720">
        <v>6</v>
      </c>
      <c r="L3720">
        <v>25</v>
      </c>
      <c r="M3720" t="s">
        <v>92</v>
      </c>
      <c r="N3720">
        <v>0</v>
      </c>
      <c r="O3720">
        <v>0</v>
      </c>
    </row>
    <row r="3721" spans="1:15" x14ac:dyDescent="0.3">
      <c r="A3721">
        <v>3816</v>
      </c>
      <c r="B3721" s="34">
        <v>43277</v>
      </c>
      <c r="C3721">
        <v>1.1702699999999999</v>
      </c>
      <c r="D3721">
        <v>0</v>
      </c>
      <c r="F3721">
        <v>0.473849999999997</v>
      </c>
      <c r="G3721">
        <v>16.251325556733899</v>
      </c>
      <c r="H3721">
        <v>0</v>
      </c>
      <c r="I3721">
        <v>0.52109539999999999</v>
      </c>
      <c r="J3721">
        <v>2018</v>
      </c>
      <c r="K3721">
        <v>6</v>
      </c>
      <c r="L3721">
        <v>26</v>
      </c>
      <c r="M3721" t="s">
        <v>93</v>
      </c>
      <c r="N3721">
        <v>0</v>
      </c>
      <c r="O3721">
        <v>0</v>
      </c>
    </row>
    <row r="3722" spans="1:15" x14ac:dyDescent="0.3">
      <c r="A3722">
        <v>3817</v>
      </c>
      <c r="B3722" s="34">
        <v>43278</v>
      </c>
      <c r="C3722">
        <v>1.1646000000000001</v>
      </c>
      <c r="D3722">
        <v>0</v>
      </c>
      <c r="F3722">
        <v>0.473849999999997</v>
      </c>
      <c r="G3722">
        <v>16.251325556733899</v>
      </c>
      <c r="H3722">
        <v>1</v>
      </c>
      <c r="I3722">
        <v>0.52122089999999999</v>
      </c>
      <c r="J3722">
        <v>2018</v>
      </c>
      <c r="K3722">
        <v>6</v>
      </c>
      <c r="L3722">
        <v>27</v>
      </c>
      <c r="M3722" t="s">
        <v>89</v>
      </c>
      <c r="N3722">
        <v>0</v>
      </c>
      <c r="O3722">
        <v>0</v>
      </c>
    </row>
    <row r="3723" spans="1:15" x14ac:dyDescent="0.3">
      <c r="A3723">
        <v>3818</v>
      </c>
      <c r="B3723" s="34">
        <v>43279</v>
      </c>
      <c r="C3723">
        <v>1.15524</v>
      </c>
      <c r="D3723">
        <v>8</v>
      </c>
      <c r="E3723" t="s">
        <v>439</v>
      </c>
      <c r="F3723">
        <v>0.47539999999999699</v>
      </c>
      <c r="G3723">
        <v>15.977377165076</v>
      </c>
      <c r="H3723">
        <v>1</v>
      </c>
      <c r="I3723">
        <v>0.52134630000000004</v>
      </c>
      <c r="J3723">
        <v>2018</v>
      </c>
      <c r="K3723">
        <v>6</v>
      </c>
      <c r="L3723">
        <v>28</v>
      </c>
      <c r="M3723" t="s">
        <v>90</v>
      </c>
      <c r="N3723">
        <v>0</v>
      </c>
      <c r="O3723">
        <v>0</v>
      </c>
    </row>
    <row r="3724" spans="1:15" x14ac:dyDescent="0.3">
      <c r="A3724">
        <v>3819</v>
      </c>
      <c r="B3724" s="34">
        <v>43280</v>
      </c>
      <c r="C3724">
        <v>1.15679</v>
      </c>
      <c r="D3724">
        <v>0</v>
      </c>
      <c r="F3724">
        <v>0.47539999999999699</v>
      </c>
      <c r="G3724">
        <v>15.977377165076</v>
      </c>
      <c r="H3724">
        <v>1</v>
      </c>
      <c r="I3724">
        <v>0.52147160000000004</v>
      </c>
      <c r="J3724">
        <v>2018</v>
      </c>
      <c r="K3724">
        <v>6</v>
      </c>
      <c r="L3724">
        <v>29</v>
      </c>
      <c r="M3724" t="s">
        <v>91</v>
      </c>
      <c r="N3724">
        <v>0</v>
      </c>
      <c r="O3724">
        <v>0</v>
      </c>
    </row>
    <row r="3725" spans="1:15" x14ac:dyDescent="0.3">
      <c r="A3725">
        <v>3820</v>
      </c>
      <c r="B3725" s="34">
        <v>43283</v>
      </c>
      <c r="C3725">
        <v>1.16831</v>
      </c>
      <c r="D3725">
        <v>0</v>
      </c>
      <c r="F3725">
        <v>0.47539999999999699</v>
      </c>
      <c r="G3725">
        <v>15.977377165076</v>
      </c>
      <c r="H3725">
        <v>1</v>
      </c>
      <c r="I3725">
        <v>0.52159679999999997</v>
      </c>
      <c r="J3725">
        <v>2018</v>
      </c>
      <c r="K3725">
        <v>7</v>
      </c>
      <c r="L3725">
        <v>2</v>
      </c>
      <c r="M3725" t="s">
        <v>92</v>
      </c>
      <c r="N3725">
        <v>0</v>
      </c>
      <c r="O3725">
        <v>0</v>
      </c>
    </row>
    <row r="3726" spans="1:15" x14ac:dyDescent="0.3">
      <c r="A3726">
        <v>3821</v>
      </c>
      <c r="B3726" s="34">
        <v>43284</v>
      </c>
      <c r="C3726">
        <v>1.16388</v>
      </c>
      <c r="D3726">
        <v>0</v>
      </c>
      <c r="F3726">
        <v>0.47539999999999699</v>
      </c>
      <c r="G3726">
        <v>15.977377165076</v>
      </c>
      <c r="H3726">
        <v>1</v>
      </c>
      <c r="I3726">
        <v>0.52172209999999997</v>
      </c>
      <c r="J3726">
        <v>2018</v>
      </c>
      <c r="K3726">
        <v>7</v>
      </c>
      <c r="L3726">
        <v>3</v>
      </c>
      <c r="M3726" t="s">
        <v>93</v>
      </c>
      <c r="N3726">
        <v>0</v>
      </c>
      <c r="O3726">
        <v>0</v>
      </c>
    </row>
    <row r="3727" spans="1:15" x14ac:dyDescent="0.3">
      <c r="A3727">
        <v>3822</v>
      </c>
      <c r="B3727" s="34">
        <v>43285</v>
      </c>
      <c r="C3727">
        <v>1.1655</v>
      </c>
      <c r="D3727">
        <v>0</v>
      </c>
      <c r="F3727">
        <v>0.47539999999999699</v>
      </c>
      <c r="G3727">
        <v>15.977377165076</v>
      </c>
      <c r="H3727">
        <v>0</v>
      </c>
      <c r="I3727">
        <v>0.52158559999999998</v>
      </c>
      <c r="J3727">
        <v>2018</v>
      </c>
      <c r="K3727">
        <v>7</v>
      </c>
      <c r="L3727">
        <v>4</v>
      </c>
      <c r="M3727" t="s">
        <v>89</v>
      </c>
      <c r="N3727">
        <v>0</v>
      </c>
      <c r="O3727">
        <v>0</v>
      </c>
    </row>
    <row r="3728" spans="1:15" x14ac:dyDescent="0.3">
      <c r="A3728">
        <v>3823</v>
      </c>
      <c r="B3728" s="34">
        <v>43286</v>
      </c>
      <c r="C3728">
        <v>1.1655500000000001</v>
      </c>
      <c r="D3728">
        <v>2</v>
      </c>
      <c r="E3728" t="s">
        <v>440</v>
      </c>
      <c r="F3728">
        <v>0.47879999999999701</v>
      </c>
      <c r="G3728">
        <v>15.376458112407301</v>
      </c>
      <c r="H3728">
        <v>0</v>
      </c>
      <c r="I3728">
        <v>0.5214491</v>
      </c>
      <c r="J3728">
        <v>2018</v>
      </c>
      <c r="K3728">
        <v>7</v>
      </c>
      <c r="L3728">
        <v>5</v>
      </c>
      <c r="M3728" t="s">
        <v>90</v>
      </c>
      <c r="N3728">
        <v>0</v>
      </c>
      <c r="O3728">
        <v>0</v>
      </c>
    </row>
    <row r="3729" spans="1:15" x14ac:dyDescent="0.3">
      <c r="A3729">
        <v>3824</v>
      </c>
      <c r="B3729" s="34">
        <v>43287</v>
      </c>
      <c r="C3729">
        <v>1.1689499999999999</v>
      </c>
      <c r="D3729">
        <v>0</v>
      </c>
      <c r="F3729">
        <v>0.47879999999999701</v>
      </c>
      <c r="G3729">
        <v>15.376458112407301</v>
      </c>
      <c r="H3729">
        <v>0</v>
      </c>
      <c r="I3729">
        <v>0.52131280000000002</v>
      </c>
      <c r="J3729">
        <v>2018</v>
      </c>
      <c r="K3729">
        <v>7</v>
      </c>
      <c r="L3729">
        <v>6</v>
      </c>
      <c r="M3729" t="s">
        <v>91</v>
      </c>
      <c r="N3729">
        <v>0</v>
      </c>
      <c r="O3729">
        <v>0</v>
      </c>
    </row>
    <row r="3730" spans="1:15" x14ac:dyDescent="0.3">
      <c r="A3730">
        <v>3825</v>
      </c>
      <c r="B3730" s="34">
        <v>43290</v>
      </c>
      <c r="C3730">
        <v>1.17435</v>
      </c>
      <c r="D3730">
        <v>0</v>
      </c>
      <c r="F3730">
        <v>0.47879999999999701</v>
      </c>
      <c r="G3730">
        <v>15.376458112407301</v>
      </c>
      <c r="H3730">
        <v>0</v>
      </c>
      <c r="I3730">
        <v>0.52117650000000004</v>
      </c>
      <c r="J3730">
        <v>2018</v>
      </c>
      <c r="K3730">
        <v>7</v>
      </c>
      <c r="L3730">
        <v>9</v>
      </c>
      <c r="M3730" t="s">
        <v>92</v>
      </c>
      <c r="N3730">
        <v>0</v>
      </c>
      <c r="O3730">
        <v>0</v>
      </c>
    </row>
    <row r="3731" spans="1:15" x14ac:dyDescent="0.3">
      <c r="A3731">
        <v>3826</v>
      </c>
      <c r="B3731" s="34">
        <v>43291</v>
      </c>
      <c r="C3731">
        <v>1.17496</v>
      </c>
      <c r="D3731">
        <v>0</v>
      </c>
      <c r="F3731">
        <v>0.47879999999999701</v>
      </c>
      <c r="G3731">
        <v>15.376458112407301</v>
      </c>
      <c r="H3731">
        <v>0</v>
      </c>
      <c r="I3731">
        <v>0.52104030000000001</v>
      </c>
      <c r="J3731">
        <v>2018</v>
      </c>
      <c r="K3731">
        <v>7</v>
      </c>
      <c r="L3731">
        <v>10</v>
      </c>
      <c r="M3731" t="s">
        <v>93</v>
      </c>
      <c r="N3731">
        <v>0</v>
      </c>
      <c r="O3731">
        <v>0</v>
      </c>
    </row>
    <row r="3732" spans="1:15" x14ac:dyDescent="0.3">
      <c r="A3732">
        <v>3827</v>
      </c>
      <c r="B3732" s="34">
        <v>43292</v>
      </c>
      <c r="C3732">
        <v>1.17438</v>
      </c>
      <c r="D3732">
        <v>0</v>
      </c>
      <c r="F3732">
        <v>0.47879999999999701</v>
      </c>
      <c r="G3732">
        <v>15.376458112407301</v>
      </c>
      <c r="H3732">
        <v>1</v>
      </c>
      <c r="I3732">
        <v>0.5211654</v>
      </c>
      <c r="J3732">
        <v>2018</v>
      </c>
      <c r="K3732">
        <v>7</v>
      </c>
      <c r="L3732">
        <v>11</v>
      </c>
      <c r="M3732" t="s">
        <v>89</v>
      </c>
      <c r="N3732">
        <v>0</v>
      </c>
      <c r="O3732">
        <v>0</v>
      </c>
    </row>
    <row r="3733" spans="1:15" x14ac:dyDescent="0.3">
      <c r="A3733">
        <v>3828</v>
      </c>
      <c r="B3733" s="34">
        <v>43293</v>
      </c>
      <c r="C3733">
        <v>1.1671400000000001</v>
      </c>
      <c r="D3733">
        <v>0</v>
      </c>
      <c r="F3733">
        <v>0.47879999999999701</v>
      </c>
      <c r="G3733">
        <v>15.376458112407301</v>
      </c>
      <c r="H3733">
        <v>1</v>
      </c>
      <c r="I3733">
        <v>0.52129049999999999</v>
      </c>
      <c r="J3733">
        <v>2018</v>
      </c>
      <c r="K3733">
        <v>7</v>
      </c>
      <c r="L3733">
        <v>12</v>
      </c>
      <c r="M3733" t="s">
        <v>90</v>
      </c>
      <c r="N3733">
        <v>0</v>
      </c>
      <c r="O3733">
        <v>0</v>
      </c>
    </row>
    <row r="3734" spans="1:15" x14ac:dyDescent="0.3">
      <c r="A3734">
        <v>3829</v>
      </c>
      <c r="B3734" s="34">
        <v>43294</v>
      </c>
      <c r="C3734">
        <v>1.1670499999999999</v>
      </c>
      <c r="D3734">
        <v>0</v>
      </c>
      <c r="F3734">
        <v>0.47879999999999701</v>
      </c>
      <c r="G3734">
        <v>15.376458112407301</v>
      </c>
      <c r="H3734">
        <v>0</v>
      </c>
      <c r="I3734">
        <v>0.52115429999999996</v>
      </c>
      <c r="J3734">
        <v>2018</v>
      </c>
      <c r="K3734">
        <v>7</v>
      </c>
      <c r="L3734">
        <v>13</v>
      </c>
      <c r="M3734" t="s">
        <v>91</v>
      </c>
      <c r="N3734">
        <v>0</v>
      </c>
      <c r="O3734">
        <v>0</v>
      </c>
    </row>
    <row r="3735" spans="1:15" x14ac:dyDescent="0.3">
      <c r="A3735">
        <v>3830</v>
      </c>
      <c r="B3735" s="34">
        <v>43297</v>
      </c>
      <c r="C3735">
        <v>1.16856</v>
      </c>
      <c r="D3735">
        <v>0</v>
      </c>
      <c r="F3735">
        <v>0.47879999999999701</v>
      </c>
      <c r="G3735">
        <v>15.376458112407301</v>
      </c>
      <c r="H3735">
        <v>1</v>
      </c>
      <c r="I3735">
        <v>0.52127939999999995</v>
      </c>
      <c r="J3735">
        <v>2018</v>
      </c>
      <c r="K3735">
        <v>7</v>
      </c>
      <c r="L3735">
        <v>16</v>
      </c>
      <c r="M3735" t="s">
        <v>92</v>
      </c>
      <c r="N3735">
        <v>0</v>
      </c>
      <c r="O3735">
        <v>0</v>
      </c>
    </row>
    <row r="3736" spans="1:15" x14ac:dyDescent="0.3">
      <c r="A3736">
        <v>3831</v>
      </c>
      <c r="B3736" s="34">
        <v>43298</v>
      </c>
      <c r="C3736">
        <v>1.1710799999999999</v>
      </c>
      <c r="D3736">
        <v>0</v>
      </c>
      <c r="F3736">
        <v>0.47879999999999701</v>
      </c>
      <c r="G3736">
        <v>15.376458112407301</v>
      </c>
      <c r="H3736">
        <v>1</v>
      </c>
      <c r="I3736">
        <v>0.52140430000000004</v>
      </c>
      <c r="J3736">
        <v>2018</v>
      </c>
      <c r="K3736">
        <v>7</v>
      </c>
      <c r="L3736">
        <v>17</v>
      </c>
      <c r="M3736" t="s">
        <v>93</v>
      </c>
      <c r="N3736">
        <v>0</v>
      </c>
      <c r="O3736">
        <v>0</v>
      </c>
    </row>
    <row r="3737" spans="1:15" x14ac:dyDescent="0.3">
      <c r="A3737">
        <v>3832</v>
      </c>
      <c r="B3737" s="34">
        <v>43299</v>
      </c>
      <c r="C3737">
        <v>1.1660200000000001</v>
      </c>
      <c r="D3737">
        <v>0</v>
      </c>
      <c r="F3737">
        <v>0.47879999999999701</v>
      </c>
      <c r="G3737">
        <v>15.376458112407301</v>
      </c>
      <c r="H3737">
        <v>1</v>
      </c>
      <c r="I3737">
        <v>0.52152929999999997</v>
      </c>
      <c r="J3737">
        <v>2018</v>
      </c>
      <c r="K3737">
        <v>7</v>
      </c>
      <c r="L3737">
        <v>18</v>
      </c>
      <c r="M3737" t="s">
        <v>89</v>
      </c>
      <c r="N3737">
        <v>0</v>
      </c>
      <c r="O3737">
        <v>0</v>
      </c>
    </row>
    <row r="3738" spans="1:15" x14ac:dyDescent="0.3">
      <c r="A3738">
        <v>3833</v>
      </c>
      <c r="B3738" s="34">
        <v>43300</v>
      </c>
      <c r="C3738">
        <v>1.1637999999999999</v>
      </c>
      <c r="D3738">
        <v>0</v>
      </c>
      <c r="F3738">
        <v>0.47879999999999701</v>
      </c>
      <c r="G3738">
        <v>15.376458112407301</v>
      </c>
      <c r="H3738">
        <v>0</v>
      </c>
      <c r="I3738">
        <v>0.5213932</v>
      </c>
      <c r="J3738">
        <v>2018</v>
      </c>
      <c r="K3738">
        <v>7</v>
      </c>
      <c r="L3738">
        <v>19</v>
      </c>
      <c r="M3738" t="s">
        <v>90</v>
      </c>
      <c r="N3738">
        <v>0</v>
      </c>
      <c r="O3738">
        <v>0</v>
      </c>
    </row>
    <row r="3739" spans="1:15" x14ac:dyDescent="0.3">
      <c r="A3739">
        <v>3834</v>
      </c>
      <c r="B3739" s="34">
        <v>43301</v>
      </c>
      <c r="C3739">
        <v>1.1640900000000001</v>
      </c>
      <c r="D3739">
        <v>0</v>
      </c>
      <c r="F3739">
        <v>0.47879999999999701</v>
      </c>
      <c r="G3739">
        <v>15.376458112407301</v>
      </c>
      <c r="H3739">
        <v>1</v>
      </c>
      <c r="I3739">
        <v>0.52151800000000004</v>
      </c>
      <c r="J3739">
        <v>2018</v>
      </c>
      <c r="K3739">
        <v>7</v>
      </c>
      <c r="L3739">
        <v>20</v>
      </c>
      <c r="M3739" t="s">
        <v>91</v>
      </c>
      <c r="N3739">
        <v>0</v>
      </c>
      <c r="O3739">
        <v>0</v>
      </c>
    </row>
    <row r="3740" spans="1:15" x14ac:dyDescent="0.3">
      <c r="A3740">
        <v>3835</v>
      </c>
      <c r="B3740" s="34">
        <v>43304</v>
      </c>
      <c r="C3740">
        <v>1.1720900000000001</v>
      </c>
      <c r="D3740">
        <v>0</v>
      </c>
      <c r="F3740">
        <v>0.47879999999999701</v>
      </c>
      <c r="G3740">
        <v>15.376458112407301</v>
      </c>
      <c r="H3740">
        <v>1</v>
      </c>
      <c r="I3740">
        <v>0.52164270000000001</v>
      </c>
      <c r="J3740">
        <v>2018</v>
      </c>
      <c r="K3740">
        <v>7</v>
      </c>
      <c r="L3740">
        <v>23</v>
      </c>
      <c r="M3740" t="s">
        <v>92</v>
      </c>
      <c r="N3740">
        <v>0</v>
      </c>
      <c r="O3740">
        <v>0</v>
      </c>
    </row>
    <row r="3741" spans="1:15" x14ac:dyDescent="0.3">
      <c r="A3741">
        <v>3836</v>
      </c>
      <c r="B3741" s="34">
        <v>43305</v>
      </c>
      <c r="C3741">
        <v>1.1691499999999999</v>
      </c>
      <c r="D3741">
        <v>0</v>
      </c>
      <c r="F3741">
        <v>0.47879999999999701</v>
      </c>
      <c r="G3741">
        <v>15.376458112407301</v>
      </c>
      <c r="H3741">
        <v>1</v>
      </c>
      <c r="I3741">
        <v>0.52176739999999999</v>
      </c>
      <c r="J3741">
        <v>2018</v>
      </c>
      <c r="K3741">
        <v>7</v>
      </c>
      <c r="L3741">
        <v>24</v>
      </c>
      <c r="M3741" t="s">
        <v>93</v>
      </c>
      <c r="N3741">
        <v>0</v>
      </c>
      <c r="O3741">
        <v>0</v>
      </c>
    </row>
    <row r="3742" spans="1:15" x14ac:dyDescent="0.3">
      <c r="A3742">
        <v>3837</v>
      </c>
      <c r="B3742" s="34">
        <v>43306</v>
      </c>
      <c r="C3742">
        <v>1.16856</v>
      </c>
      <c r="D3742">
        <v>0</v>
      </c>
      <c r="F3742">
        <v>0.47879999999999701</v>
      </c>
      <c r="G3742">
        <v>15.376458112407301</v>
      </c>
      <c r="H3742">
        <v>1</v>
      </c>
      <c r="I3742">
        <v>0.52189209999999997</v>
      </c>
      <c r="J3742">
        <v>2018</v>
      </c>
      <c r="K3742">
        <v>7</v>
      </c>
      <c r="L3742">
        <v>25</v>
      </c>
      <c r="M3742" t="s">
        <v>89</v>
      </c>
      <c r="N3742">
        <v>0</v>
      </c>
      <c r="O3742">
        <v>0</v>
      </c>
    </row>
    <row r="3743" spans="1:15" x14ac:dyDescent="0.3">
      <c r="A3743">
        <v>3838</v>
      </c>
      <c r="B3743" s="34">
        <v>43307</v>
      </c>
      <c r="C3743">
        <v>1.1728000000000001</v>
      </c>
      <c r="D3743">
        <v>0</v>
      </c>
      <c r="F3743">
        <v>0.47879999999999701</v>
      </c>
      <c r="G3743">
        <v>15.376458112407301</v>
      </c>
      <c r="H3743">
        <v>0</v>
      </c>
      <c r="I3743">
        <v>0.52175609999999994</v>
      </c>
      <c r="J3743">
        <v>2018</v>
      </c>
      <c r="K3743">
        <v>7</v>
      </c>
      <c r="L3743">
        <v>26</v>
      </c>
      <c r="M3743" t="s">
        <v>90</v>
      </c>
      <c r="N3743">
        <v>0</v>
      </c>
      <c r="O3743">
        <v>0</v>
      </c>
    </row>
    <row r="3744" spans="1:15" x14ac:dyDescent="0.3">
      <c r="A3744">
        <v>3839</v>
      </c>
      <c r="B3744" s="34">
        <v>43308</v>
      </c>
      <c r="C3744">
        <v>1.1642300000000001</v>
      </c>
      <c r="D3744">
        <v>0</v>
      </c>
      <c r="F3744">
        <v>0.47879999999999701</v>
      </c>
      <c r="G3744">
        <v>15.376458112407301</v>
      </c>
      <c r="H3744">
        <v>1</v>
      </c>
      <c r="I3744">
        <v>0.52188069999999998</v>
      </c>
      <c r="J3744">
        <v>2018</v>
      </c>
      <c r="K3744">
        <v>7</v>
      </c>
      <c r="L3744">
        <v>27</v>
      </c>
      <c r="M3744" t="s">
        <v>91</v>
      </c>
      <c r="N3744">
        <v>0</v>
      </c>
      <c r="O3744">
        <v>0</v>
      </c>
    </row>
    <row r="3745" spans="1:15" x14ac:dyDescent="0.3">
      <c r="A3745">
        <v>3840</v>
      </c>
      <c r="B3745" s="34">
        <v>43311</v>
      </c>
      <c r="C3745">
        <v>1.1656500000000001</v>
      </c>
      <c r="D3745">
        <v>0</v>
      </c>
      <c r="F3745">
        <v>0.47879999999999701</v>
      </c>
      <c r="G3745">
        <v>15.376458112407301</v>
      </c>
      <c r="H3745">
        <v>1</v>
      </c>
      <c r="I3745">
        <v>0.52200519999999995</v>
      </c>
      <c r="J3745">
        <v>2018</v>
      </c>
      <c r="K3745">
        <v>7</v>
      </c>
      <c r="L3745">
        <v>30</v>
      </c>
      <c r="M3745" t="s">
        <v>92</v>
      </c>
      <c r="N3745">
        <v>0</v>
      </c>
      <c r="O3745">
        <v>0</v>
      </c>
    </row>
    <row r="3746" spans="1:15" x14ac:dyDescent="0.3">
      <c r="A3746">
        <v>3841</v>
      </c>
      <c r="B3746" s="34">
        <v>43312</v>
      </c>
      <c r="C3746">
        <v>1.1705000000000001</v>
      </c>
      <c r="D3746">
        <v>0</v>
      </c>
      <c r="F3746">
        <v>0.47879999999999701</v>
      </c>
      <c r="G3746">
        <v>15.376458112407301</v>
      </c>
      <c r="H3746">
        <v>1</v>
      </c>
      <c r="I3746">
        <v>0.52212970000000003</v>
      </c>
      <c r="J3746">
        <v>2018</v>
      </c>
      <c r="K3746">
        <v>7</v>
      </c>
      <c r="L3746">
        <v>31</v>
      </c>
      <c r="M3746" t="s">
        <v>93</v>
      </c>
      <c r="N3746">
        <v>0</v>
      </c>
      <c r="O3746">
        <v>0</v>
      </c>
    </row>
    <row r="3747" spans="1:15" x14ac:dyDescent="0.3">
      <c r="A3747">
        <v>3842</v>
      </c>
      <c r="B3747" s="34">
        <v>43313</v>
      </c>
      <c r="C3747">
        <v>1.16906</v>
      </c>
      <c r="D3747">
        <v>0</v>
      </c>
      <c r="F3747">
        <v>0.47879999999999701</v>
      </c>
      <c r="G3747">
        <v>15.376458112407301</v>
      </c>
      <c r="H3747">
        <v>1</v>
      </c>
      <c r="I3747">
        <v>0.522254</v>
      </c>
      <c r="J3747">
        <v>2018</v>
      </c>
      <c r="K3747">
        <v>8</v>
      </c>
      <c r="L3747">
        <v>1</v>
      </c>
      <c r="M3747" t="s">
        <v>89</v>
      </c>
      <c r="N3747">
        <v>0</v>
      </c>
      <c r="O3747">
        <v>0</v>
      </c>
    </row>
    <row r="3748" spans="1:15" x14ac:dyDescent="0.3">
      <c r="A3748">
        <v>3843</v>
      </c>
      <c r="B3748" s="34">
        <v>43314</v>
      </c>
      <c r="C3748">
        <v>1.16594</v>
      </c>
      <c r="D3748">
        <v>0</v>
      </c>
      <c r="F3748">
        <v>0.47879999999999701</v>
      </c>
      <c r="G3748">
        <v>15.376458112407301</v>
      </c>
      <c r="H3748">
        <v>1</v>
      </c>
      <c r="I3748">
        <v>0.52237829999999996</v>
      </c>
      <c r="J3748">
        <v>2018</v>
      </c>
      <c r="K3748">
        <v>8</v>
      </c>
      <c r="L3748">
        <v>2</v>
      </c>
      <c r="M3748" t="s">
        <v>90</v>
      </c>
      <c r="N3748">
        <v>0</v>
      </c>
      <c r="O3748">
        <v>0</v>
      </c>
    </row>
    <row r="3749" spans="1:15" x14ac:dyDescent="0.3">
      <c r="A3749">
        <v>3844</v>
      </c>
      <c r="B3749" s="34">
        <v>43315</v>
      </c>
      <c r="C3749">
        <v>1.1584000000000001</v>
      </c>
      <c r="D3749">
        <v>0</v>
      </c>
      <c r="F3749">
        <v>0.47879999999999701</v>
      </c>
      <c r="G3749">
        <v>15.376458112407301</v>
      </c>
      <c r="H3749">
        <v>0</v>
      </c>
      <c r="I3749">
        <v>0.5222424</v>
      </c>
      <c r="J3749">
        <v>2018</v>
      </c>
      <c r="K3749">
        <v>8</v>
      </c>
      <c r="L3749">
        <v>3</v>
      </c>
      <c r="M3749" t="s">
        <v>91</v>
      </c>
      <c r="N3749">
        <v>0</v>
      </c>
      <c r="O3749">
        <v>0</v>
      </c>
    </row>
    <row r="3750" spans="1:15" x14ac:dyDescent="0.3">
      <c r="A3750">
        <v>3845</v>
      </c>
      <c r="B3750" s="34">
        <v>43318</v>
      </c>
      <c r="C3750">
        <v>1.15672</v>
      </c>
      <c r="D3750">
        <v>0</v>
      </c>
      <c r="F3750">
        <v>0.47879999999999701</v>
      </c>
      <c r="G3750">
        <v>15.376458112407301</v>
      </c>
      <c r="H3750">
        <v>0</v>
      </c>
      <c r="I3750">
        <v>0.52210659999999998</v>
      </c>
      <c r="J3750">
        <v>2018</v>
      </c>
      <c r="K3750">
        <v>8</v>
      </c>
      <c r="L3750">
        <v>6</v>
      </c>
      <c r="M3750" t="s">
        <v>92</v>
      </c>
      <c r="N3750">
        <v>0</v>
      </c>
      <c r="O3750">
        <v>0</v>
      </c>
    </row>
    <row r="3751" spans="1:15" x14ac:dyDescent="0.3">
      <c r="A3751">
        <v>3846</v>
      </c>
      <c r="B3751" s="34">
        <v>43319</v>
      </c>
      <c r="C3751">
        <v>1.1553199999999999</v>
      </c>
      <c r="D3751">
        <v>0</v>
      </c>
      <c r="F3751">
        <v>0.47879999999999701</v>
      </c>
      <c r="G3751">
        <v>15.376458112407301</v>
      </c>
      <c r="H3751">
        <v>0</v>
      </c>
      <c r="I3751">
        <v>0.52197090000000002</v>
      </c>
      <c r="J3751">
        <v>2018</v>
      </c>
      <c r="K3751">
        <v>8</v>
      </c>
      <c r="L3751">
        <v>7</v>
      </c>
      <c r="M3751" t="s">
        <v>93</v>
      </c>
      <c r="N3751">
        <v>0</v>
      </c>
      <c r="O3751">
        <v>0</v>
      </c>
    </row>
    <row r="3752" spans="1:15" x14ac:dyDescent="0.3">
      <c r="A3752">
        <v>3847</v>
      </c>
      <c r="B3752" s="34">
        <v>43320</v>
      </c>
      <c r="C3752">
        <v>1.1597900000000001</v>
      </c>
      <c r="D3752">
        <v>0</v>
      </c>
      <c r="F3752">
        <v>0.47879999999999701</v>
      </c>
      <c r="G3752">
        <v>15.376458112407301</v>
      </c>
      <c r="H3752">
        <v>1</v>
      </c>
      <c r="I3752">
        <v>0.52209510000000003</v>
      </c>
      <c r="J3752">
        <v>2018</v>
      </c>
      <c r="K3752">
        <v>8</v>
      </c>
      <c r="L3752">
        <v>8</v>
      </c>
      <c r="M3752" t="s">
        <v>89</v>
      </c>
      <c r="N3752">
        <v>0</v>
      </c>
      <c r="O3752">
        <v>0</v>
      </c>
    </row>
    <row r="3753" spans="1:15" x14ac:dyDescent="0.3">
      <c r="A3753">
        <v>3848</v>
      </c>
      <c r="B3753" s="34">
        <v>43321</v>
      </c>
      <c r="C3753">
        <v>1.16096</v>
      </c>
      <c r="D3753">
        <v>0</v>
      </c>
      <c r="F3753">
        <v>0.47879999999999701</v>
      </c>
      <c r="G3753">
        <v>15.376458112407301</v>
      </c>
      <c r="H3753">
        <v>0</v>
      </c>
      <c r="I3753">
        <v>0.52195950000000002</v>
      </c>
      <c r="J3753">
        <v>2018</v>
      </c>
      <c r="K3753">
        <v>8</v>
      </c>
      <c r="L3753">
        <v>9</v>
      </c>
      <c r="M3753" t="s">
        <v>90</v>
      </c>
      <c r="N3753">
        <v>0</v>
      </c>
      <c r="O3753">
        <v>0</v>
      </c>
    </row>
    <row r="3754" spans="1:15" x14ac:dyDescent="0.3">
      <c r="A3754">
        <v>3849</v>
      </c>
      <c r="B3754" s="34">
        <v>43322</v>
      </c>
      <c r="C3754">
        <v>1.15265</v>
      </c>
      <c r="D3754">
        <v>0</v>
      </c>
      <c r="F3754">
        <v>0.47879999999999701</v>
      </c>
      <c r="G3754">
        <v>15.376458112407301</v>
      </c>
      <c r="H3754">
        <v>1</v>
      </c>
      <c r="I3754">
        <v>0.52208359999999998</v>
      </c>
      <c r="J3754">
        <v>2018</v>
      </c>
      <c r="K3754">
        <v>8</v>
      </c>
      <c r="L3754">
        <v>10</v>
      </c>
      <c r="M3754" t="s">
        <v>91</v>
      </c>
      <c r="N3754">
        <v>0</v>
      </c>
      <c r="O3754">
        <v>0</v>
      </c>
    </row>
    <row r="3755" spans="1:15" x14ac:dyDescent="0.3">
      <c r="A3755">
        <v>3850</v>
      </c>
      <c r="B3755" s="34">
        <v>43325</v>
      </c>
      <c r="C3755">
        <v>1.1411100000000001</v>
      </c>
      <c r="D3755">
        <v>0</v>
      </c>
      <c r="F3755">
        <v>0.47879999999999701</v>
      </c>
      <c r="G3755">
        <v>15.376458112407301</v>
      </c>
      <c r="H3755">
        <v>0</v>
      </c>
      <c r="I3755">
        <v>0.52194799999999997</v>
      </c>
      <c r="J3755">
        <v>2018</v>
      </c>
      <c r="K3755">
        <v>8</v>
      </c>
      <c r="L3755">
        <v>13</v>
      </c>
      <c r="M3755" t="s">
        <v>92</v>
      </c>
      <c r="N3755">
        <v>0</v>
      </c>
      <c r="O3755">
        <v>0</v>
      </c>
    </row>
    <row r="3756" spans="1:15" x14ac:dyDescent="0.3">
      <c r="A3756">
        <v>3851</v>
      </c>
      <c r="B3756" s="34">
        <v>43326</v>
      </c>
      <c r="C3756">
        <v>1.14096</v>
      </c>
      <c r="D3756">
        <v>0</v>
      </c>
      <c r="F3756">
        <v>0.47879999999999701</v>
      </c>
      <c r="G3756">
        <v>15.376458112407301</v>
      </c>
      <c r="H3756">
        <v>0</v>
      </c>
      <c r="I3756">
        <v>0.52181250000000001</v>
      </c>
      <c r="J3756">
        <v>2018</v>
      </c>
      <c r="K3756">
        <v>8</v>
      </c>
      <c r="L3756">
        <v>14</v>
      </c>
      <c r="M3756" t="s">
        <v>93</v>
      </c>
      <c r="N3756">
        <v>0</v>
      </c>
      <c r="O3756">
        <v>0</v>
      </c>
    </row>
    <row r="3757" spans="1:15" x14ac:dyDescent="0.3">
      <c r="A3757">
        <v>3852</v>
      </c>
      <c r="B3757" s="34">
        <v>43327</v>
      </c>
      <c r="C3757">
        <v>1.13436</v>
      </c>
      <c r="D3757">
        <v>0</v>
      </c>
      <c r="F3757">
        <v>0.47879999999999701</v>
      </c>
      <c r="G3757">
        <v>15.376458112407301</v>
      </c>
      <c r="H3757">
        <v>0</v>
      </c>
      <c r="I3757">
        <v>0.5216771</v>
      </c>
      <c r="J3757">
        <v>2018</v>
      </c>
      <c r="K3757">
        <v>8</v>
      </c>
      <c r="L3757">
        <v>15</v>
      </c>
      <c r="M3757" t="s">
        <v>89</v>
      </c>
      <c r="N3757">
        <v>0</v>
      </c>
      <c r="O3757">
        <v>0</v>
      </c>
    </row>
    <row r="3758" spans="1:15" x14ac:dyDescent="0.3">
      <c r="A3758">
        <v>3853</v>
      </c>
      <c r="B3758" s="34">
        <v>43328</v>
      </c>
      <c r="C3758">
        <v>1.1344399999999999</v>
      </c>
      <c r="D3758">
        <v>0</v>
      </c>
      <c r="F3758">
        <v>0.47879999999999701</v>
      </c>
      <c r="G3758">
        <v>15.376458112407301</v>
      </c>
      <c r="H3758">
        <v>1</v>
      </c>
      <c r="I3758">
        <v>0.52180119999999997</v>
      </c>
      <c r="J3758">
        <v>2018</v>
      </c>
      <c r="K3758">
        <v>8</v>
      </c>
      <c r="L3758">
        <v>16</v>
      </c>
      <c r="M3758" t="s">
        <v>90</v>
      </c>
      <c r="N3758">
        <v>0</v>
      </c>
      <c r="O3758">
        <v>0</v>
      </c>
    </row>
    <row r="3759" spans="1:15" x14ac:dyDescent="0.3">
      <c r="A3759">
        <v>3854</v>
      </c>
      <c r="B3759" s="34">
        <v>43329</v>
      </c>
      <c r="C3759">
        <v>1.13758</v>
      </c>
      <c r="D3759">
        <v>0</v>
      </c>
      <c r="F3759">
        <v>0.47879999999999701</v>
      </c>
      <c r="G3759">
        <v>15.376458112407301</v>
      </c>
      <c r="H3759">
        <v>1</v>
      </c>
      <c r="I3759">
        <v>0.52192530000000004</v>
      </c>
      <c r="J3759">
        <v>2018</v>
      </c>
      <c r="K3759">
        <v>8</v>
      </c>
      <c r="L3759">
        <v>17</v>
      </c>
      <c r="M3759" t="s">
        <v>91</v>
      </c>
      <c r="N3759">
        <v>0</v>
      </c>
      <c r="O3759">
        <v>0</v>
      </c>
    </row>
    <row r="3760" spans="1:15" x14ac:dyDescent="0.3">
      <c r="A3760">
        <v>3855</v>
      </c>
      <c r="B3760" s="34">
        <v>43332</v>
      </c>
      <c r="C3760">
        <v>1.14381</v>
      </c>
      <c r="D3760">
        <v>0</v>
      </c>
      <c r="F3760">
        <v>0.47879999999999701</v>
      </c>
      <c r="G3760">
        <v>15.376458112407301</v>
      </c>
      <c r="H3760">
        <v>0</v>
      </c>
      <c r="I3760">
        <v>0.52178990000000003</v>
      </c>
      <c r="J3760">
        <v>2018</v>
      </c>
      <c r="K3760">
        <v>8</v>
      </c>
      <c r="L3760">
        <v>20</v>
      </c>
      <c r="M3760" t="s">
        <v>92</v>
      </c>
      <c r="N3760">
        <v>0</v>
      </c>
      <c r="O3760">
        <v>0</v>
      </c>
    </row>
    <row r="3761" spans="1:15" x14ac:dyDescent="0.3">
      <c r="A3761">
        <v>3856</v>
      </c>
      <c r="B3761" s="34">
        <v>43333</v>
      </c>
      <c r="C3761">
        <v>1.1480699999999999</v>
      </c>
      <c r="D3761">
        <v>0</v>
      </c>
      <c r="F3761">
        <v>0.47879999999999701</v>
      </c>
      <c r="G3761">
        <v>15.376458112407301</v>
      </c>
      <c r="H3761">
        <v>0</v>
      </c>
      <c r="I3761">
        <v>0.52165450000000002</v>
      </c>
      <c r="J3761">
        <v>2018</v>
      </c>
      <c r="K3761">
        <v>8</v>
      </c>
      <c r="L3761">
        <v>21</v>
      </c>
      <c r="M3761" t="s">
        <v>93</v>
      </c>
      <c r="N3761">
        <v>0</v>
      </c>
      <c r="O3761">
        <v>0</v>
      </c>
    </row>
    <row r="3762" spans="1:15" x14ac:dyDescent="0.3">
      <c r="A3762">
        <v>3857</v>
      </c>
      <c r="B3762" s="34">
        <v>43334</v>
      </c>
      <c r="C3762">
        <v>1.157</v>
      </c>
      <c r="D3762">
        <v>0</v>
      </c>
      <c r="F3762">
        <v>0.47879999999999701</v>
      </c>
      <c r="G3762">
        <v>15.376458112407301</v>
      </c>
      <c r="H3762">
        <v>0</v>
      </c>
      <c r="I3762">
        <v>0.52151930000000002</v>
      </c>
      <c r="J3762">
        <v>2018</v>
      </c>
      <c r="K3762">
        <v>8</v>
      </c>
      <c r="L3762">
        <v>22</v>
      </c>
      <c r="M3762" t="s">
        <v>89</v>
      </c>
      <c r="N3762">
        <v>0</v>
      </c>
      <c r="O3762">
        <v>0</v>
      </c>
    </row>
    <row r="3763" spans="1:15" x14ac:dyDescent="0.3">
      <c r="A3763">
        <v>3858</v>
      </c>
      <c r="B3763" s="34">
        <v>43335</v>
      </c>
      <c r="C3763">
        <v>1.1595800000000001</v>
      </c>
      <c r="D3763">
        <v>0</v>
      </c>
      <c r="F3763">
        <v>0.47879999999999701</v>
      </c>
      <c r="G3763">
        <v>15.376458112407301</v>
      </c>
      <c r="H3763">
        <v>0</v>
      </c>
      <c r="I3763">
        <v>0.52138410000000002</v>
      </c>
      <c r="J3763">
        <v>2018</v>
      </c>
      <c r="K3763">
        <v>8</v>
      </c>
      <c r="L3763">
        <v>23</v>
      </c>
      <c r="M3763" t="s">
        <v>90</v>
      </c>
      <c r="N3763">
        <v>0</v>
      </c>
      <c r="O3763">
        <v>0</v>
      </c>
    </row>
    <row r="3764" spans="1:15" x14ac:dyDescent="0.3">
      <c r="A3764">
        <v>3859</v>
      </c>
      <c r="B3764" s="34">
        <v>43336</v>
      </c>
      <c r="C3764">
        <v>1.15378</v>
      </c>
      <c r="D3764">
        <v>0</v>
      </c>
      <c r="F3764">
        <v>0.47879999999999701</v>
      </c>
      <c r="G3764">
        <v>15.376458112407301</v>
      </c>
      <c r="H3764">
        <v>1</v>
      </c>
      <c r="I3764">
        <v>0.52150819999999998</v>
      </c>
      <c r="J3764">
        <v>2018</v>
      </c>
      <c r="K3764">
        <v>8</v>
      </c>
      <c r="L3764">
        <v>24</v>
      </c>
      <c r="M3764" t="s">
        <v>91</v>
      </c>
      <c r="N3764">
        <v>0</v>
      </c>
      <c r="O3764">
        <v>0</v>
      </c>
    </row>
    <row r="3765" spans="1:15" x14ac:dyDescent="0.3">
      <c r="A3765">
        <v>3860</v>
      </c>
      <c r="B3765" s="34">
        <v>43339</v>
      </c>
      <c r="C3765">
        <v>1.16218</v>
      </c>
      <c r="D3765">
        <v>0</v>
      </c>
      <c r="F3765">
        <v>0.47879999999999701</v>
      </c>
      <c r="G3765">
        <v>15.376458112407301</v>
      </c>
      <c r="H3765">
        <v>0</v>
      </c>
      <c r="I3765">
        <v>0.52137299999999998</v>
      </c>
      <c r="J3765">
        <v>2018</v>
      </c>
      <c r="K3765">
        <v>8</v>
      </c>
      <c r="L3765">
        <v>27</v>
      </c>
      <c r="M3765" t="s">
        <v>92</v>
      </c>
      <c r="N3765">
        <v>0</v>
      </c>
      <c r="O3765">
        <v>0</v>
      </c>
    </row>
    <row r="3766" spans="1:15" x14ac:dyDescent="0.3">
      <c r="A3766">
        <v>3861</v>
      </c>
      <c r="B3766" s="34">
        <v>43340</v>
      </c>
      <c r="C3766">
        <v>1.16777</v>
      </c>
      <c r="D3766">
        <v>0</v>
      </c>
      <c r="F3766">
        <v>0.47879999999999701</v>
      </c>
      <c r="G3766">
        <v>15.376458112407301</v>
      </c>
      <c r="H3766">
        <v>1</v>
      </c>
      <c r="I3766">
        <v>0.52149699999999999</v>
      </c>
      <c r="J3766">
        <v>2018</v>
      </c>
      <c r="K3766">
        <v>8</v>
      </c>
      <c r="L3766">
        <v>28</v>
      </c>
      <c r="M3766" t="s">
        <v>93</v>
      </c>
      <c r="N3766">
        <v>0</v>
      </c>
      <c r="O3766">
        <v>0</v>
      </c>
    </row>
    <row r="3767" spans="1:15" x14ac:dyDescent="0.3">
      <c r="A3767">
        <v>3862</v>
      </c>
      <c r="B3767" s="34">
        <v>43341</v>
      </c>
      <c r="C3767">
        <v>1.1693899999999999</v>
      </c>
      <c r="D3767">
        <v>0</v>
      </c>
      <c r="F3767">
        <v>0.47879999999999701</v>
      </c>
      <c r="G3767">
        <v>15.376458112407301</v>
      </c>
      <c r="H3767">
        <v>0</v>
      </c>
      <c r="I3767">
        <v>0.52136199999999999</v>
      </c>
      <c r="J3767">
        <v>2018</v>
      </c>
      <c r="K3767">
        <v>8</v>
      </c>
      <c r="L3767">
        <v>29</v>
      </c>
      <c r="M3767" t="s">
        <v>89</v>
      </c>
      <c r="N3767">
        <v>0</v>
      </c>
      <c r="O3767">
        <v>0</v>
      </c>
    </row>
    <row r="3768" spans="1:15" x14ac:dyDescent="0.3">
      <c r="A3768">
        <v>3863</v>
      </c>
      <c r="B3768" s="34">
        <v>43342</v>
      </c>
      <c r="C3768">
        <v>1.1706300000000001</v>
      </c>
      <c r="D3768">
        <v>0</v>
      </c>
      <c r="F3768">
        <v>0.47879999999999701</v>
      </c>
      <c r="G3768">
        <v>15.376458112407301</v>
      </c>
      <c r="H3768">
        <v>0</v>
      </c>
      <c r="I3768">
        <v>0.521227</v>
      </c>
      <c r="J3768">
        <v>2018</v>
      </c>
      <c r="K3768">
        <v>8</v>
      </c>
      <c r="L3768">
        <v>30</v>
      </c>
      <c r="M3768" t="s">
        <v>90</v>
      </c>
      <c r="N3768">
        <v>0</v>
      </c>
      <c r="O3768">
        <v>0</v>
      </c>
    </row>
    <row r="3769" spans="1:15" x14ac:dyDescent="0.3">
      <c r="A3769">
        <v>3864</v>
      </c>
      <c r="B3769" s="34">
        <v>43343</v>
      </c>
      <c r="C3769">
        <v>1.1669700000000001</v>
      </c>
      <c r="D3769">
        <v>0</v>
      </c>
      <c r="F3769">
        <v>0.47879999999999701</v>
      </c>
      <c r="G3769">
        <v>15.376458112407301</v>
      </c>
      <c r="H3769">
        <v>1</v>
      </c>
      <c r="I3769">
        <v>0.52135089999999995</v>
      </c>
      <c r="J3769">
        <v>2018</v>
      </c>
      <c r="K3769">
        <v>8</v>
      </c>
      <c r="L3769">
        <v>31</v>
      </c>
      <c r="M3769" t="s">
        <v>91</v>
      </c>
      <c r="N3769">
        <v>0</v>
      </c>
      <c r="O3769">
        <v>0</v>
      </c>
    </row>
    <row r="3770" spans="1:15" x14ac:dyDescent="0.3">
      <c r="A3770">
        <v>3865</v>
      </c>
      <c r="B3770" s="34">
        <v>43346</v>
      </c>
      <c r="C3770">
        <v>1.16021</v>
      </c>
      <c r="D3770">
        <v>0</v>
      </c>
      <c r="F3770">
        <v>0.47879999999999701</v>
      </c>
      <c r="G3770">
        <v>15.376458112407301</v>
      </c>
      <c r="H3770">
        <v>1</v>
      </c>
      <c r="I3770">
        <v>0.52147480000000002</v>
      </c>
      <c r="J3770">
        <v>2018</v>
      </c>
      <c r="K3770">
        <v>9</v>
      </c>
      <c r="L3770">
        <v>3</v>
      </c>
      <c r="M3770" t="s">
        <v>92</v>
      </c>
      <c r="N3770">
        <v>0</v>
      </c>
      <c r="O3770">
        <v>0</v>
      </c>
    </row>
    <row r="3771" spans="1:15" x14ac:dyDescent="0.3">
      <c r="A3771">
        <v>3866</v>
      </c>
      <c r="B3771" s="34">
        <v>43347</v>
      </c>
      <c r="C3771">
        <v>1.1617999999999999</v>
      </c>
      <c r="D3771">
        <v>0</v>
      </c>
      <c r="F3771">
        <v>0.47879999999999701</v>
      </c>
      <c r="G3771">
        <v>15.376458112407301</v>
      </c>
      <c r="H3771">
        <v>1</v>
      </c>
      <c r="I3771">
        <v>0.52159860000000002</v>
      </c>
      <c r="J3771">
        <v>2018</v>
      </c>
      <c r="K3771">
        <v>9</v>
      </c>
      <c r="L3771">
        <v>4</v>
      </c>
      <c r="M3771" t="s">
        <v>93</v>
      </c>
      <c r="N3771">
        <v>0</v>
      </c>
      <c r="O3771">
        <v>0</v>
      </c>
    </row>
    <row r="3772" spans="1:15" x14ac:dyDescent="0.3">
      <c r="A3772">
        <v>3867</v>
      </c>
      <c r="B3772" s="34">
        <v>43348</v>
      </c>
      <c r="C3772">
        <v>1.15804</v>
      </c>
      <c r="D3772">
        <v>6</v>
      </c>
      <c r="E3772" t="s">
        <v>441</v>
      </c>
      <c r="F3772">
        <v>0.48364999999999703</v>
      </c>
      <c r="G3772">
        <v>14.519264757865001</v>
      </c>
      <c r="H3772">
        <v>0</v>
      </c>
      <c r="I3772">
        <v>0.52146369999999997</v>
      </c>
      <c r="J3772">
        <v>2018</v>
      </c>
      <c r="K3772">
        <v>9</v>
      </c>
      <c r="L3772">
        <v>5</v>
      </c>
      <c r="M3772" t="s">
        <v>89</v>
      </c>
      <c r="N3772">
        <v>0</v>
      </c>
      <c r="O3772">
        <v>0</v>
      </c>
    </row>
    <row r="3773" spans="1:15" x14ac:dyDescent="0.3">
      <c r="A3773">
        <v>3868</v>
      </c>
      <c r="B3773" s="34">
        <v>43349</v>
      </c>
      <c r="C3773">
        <v>1.16289</v>
      </c>
      <c r="D3773">
        <v>0</v>
      </c>
      <c r="F3773">
        <v>0.48364999999999703</v>
      </c>
      <c r="G3773">
        <v>14.519264757865001</v>
      </c>
      <c r="H3773">
        <v>1</v>
      </c>
      <c r="I3773">
        <v>0.52158740000000003</v>
      </c>
      <c r="J3773">
        <v>2018</v>
      </c>
      <c r="K3773">
        <v>9</v>
      </c>
      <c r="L3773">
        <v>6</v>
      </c>
      <c r="M3773" t="s">
        <v>90</v>
      </c>
      <c r="N3773">
        <v>0</v>
      </c>
      <c r="O3773">
        <v>0</v>
      </c>
    </row>
    <row r="3774" spans="1:15" x14ac:dyDescent="0.3">
      <c r="A3774">
        <v>3869</v>
      </c>
      <c r="B3774" s="34">
        <v>43350</v>
      </c>
      <c r="C3774">
        <v>1.1622600000000001</v>
      </c>
      <c r="D3774">
        <v>0</v>
      </c>
      <c r="F3774">
        <v>0.48364999999999703</v>
      </c>
      <c r="G3774">
        <v>14.519264757865001</v>
      </c>
      <c r="H3774">
        <v>1</v>
      </c>
      <c r="I3774">
        <v>0.52171109999999998</v>
      </c>
      <c r="J3774">
        <v>2018</v>
      </c>
      <c r="K3774">
        <v>9</v>
      </c>
      <c r="L3774">
        <v>7</v>
      </c>
      <c r="M3774" t="s">
        <v>91</v>
      </c>
      <c r="N3774">
        <v>0</v>
      </c>
      <c r="O3774">
        <v>0</v>
      </c>
    </row>
    <row r="3775" spans="1:15" x14ac:dyDescent="0.3">
      <c r="A3775">
        <v>3870</v>
      </c>
      <c r="B3775" s="34">
        <v>43353</v>
      </c>
      <c r="C3775">
        <v>1.15526</v>
      </c>
      <c r="D3775">
        <v>0</v>
      </c>
      <c r="F3775">
        <v>0.48364999999999703</v>
      </c>
      <c r="G3775">
        <v>14.519264757865001</v>
      </c>
      <c r="H3775">
        <v>1</v>
      </c>
      <c r="I3775">
        <v>0.52183460000000004</v>
      </c>
      <c r="J3775">
        <v>2018</v>
      </c>
      <c r="K3775">
        <v>9</v>
      </c>
      <c r="L3775">
        <v>10</v>
      </c>
      <c r="M3775" t="s">
        <v>92</v>
      </c>
      <c r="N3775">
        <v>0</v>
      </c>
      <c r="O3775">
        <v>0</v>
      </c>
    </row>
    <row r="3776" spans="1:15" x14ac:dyDescent="0.3">
      <c r="A3776">
        <v>3871</v>
      </c>
      <c r="B3776" s="34">
        <v>43354</v>
      </c>
      <c r="C3776">
        <v>1.1593</v>
      </c>
      <c r="D3776">
        <v>0</v>
      </c>
      <c r="F3776">
        <v>0.48364999999999703</v>
      </c>
      <c r="G3776">
        <v>14.519264757865001</v>
      </c>
      <c r="H3776">
        <v>1</v>
      </c>
      <c r="I3776">
        <v>0.52195820000000004</v>
      </c>
      <c r="J3776">
        <v>2018</v>
      </c>
      <c r="K3776">
        <v>9</v>
      </c>
      <c r="L3776">
        <v>11</v>
      </c>
      <c r="M3776" t="s">
        <v>93</v>
      </c>
      <c r="N3776">
        <v>0</v>
      </c>
      <c r="O3776">
        <v>0</v>
      </c>
    </row>
    <row r="3777" spans="1:15" x14ac:dyDescent="0.3">
      <c r="A3777">
        <v>3872</v>
      </c>
      <c r="B3777" s="34">
        <v>43355</v>
      </c>
      <c r="C3777">
        <v>1.16045</v>
      </c>
      <c r="D3777">
        <v>-4</v>
      </c>
      <c r="F3777">
        <v>0.48157999999999701</v>
      </c>
      <c r="G3777">
        <v>14.8851184164016</v>
      </c>
      <c r="H3777">
        <v>1</v>
      </c>
      <c r="I3777">
        <v>0.52208160000000003</v>
      </c>
      <c r="J3777">
        <v>2018</v>
      </c>
      <c r="K3777">
        <v>9</v>
      </c>
      <c r="L3777">
        <v>12</v>
      </c>
      <c r="M3777" t="s">
        <v>89</v>
      </c>
      <c r="N3777">
        <v>0</v>
      </c>
      <c r="O3777">
        <v>0</v>
      </c>
    </row>
    <row r="3778" spans="1:15" x14ac:dyDescent="0.3">
      <c r="A3778">
        <v>3873</v>
      </c>
      <c r="B3778" s="34">
        <v>43356</v>
      </c>
      <c r="C3778">
        <v>1.16252</v>
      </c>
      <c r="D3778">
        <v>0</v>
      </c>
      <c r="F3778">
        <v>0.48157999999999701</v>
      </c>
      <c r="G3778">
        <v>14.8851184164016</v>
      </c>
      <c r="H3778">
        <v>0</v>
      </c>
      <c r="I3778">
        <v>0.52194680000000004</v>
      </c>
      <c r="J3778">
        <v>2018</v>
      </c>
      <c r="K3778">
        <v>9</v>
      </c>
      <c r="L3778">
        <v>13</v>
      </c>
      <c r="M3778" t="s">
        <v>90</v>
      </c>
      <c r="N3778">
        <v>0</v>
      </c>
      <c r="O3778">
        <v>0</v>
      </c>
    </row>
    <row r="3779" spans="1:15" x14ac:dyDescent="0.3">
      <c r="A3779">
        <v>3874</v>
      </c>
      <c r="B3779" s="34">
        <v>43357</v>
      </c>
      <c r="C3779">
        <v>1.1689700000000001</v>
      </c>
      <c r="D3779">
        <v>0</v>
      </c>
      <c r="F3779">
        <v>0.48157999999999701</v>
      </c>
      <c r="G3779">
        <v>14.8851184164016</v>
      </c>
      <c r="H3779">
        <v>0</v>
      </c>
      <c r="I3779">
        <v>0.5218121</v>
      </c>
      <c r="J3779">
        <v>2018</v>
      </c>
      <c r="K3779">
        <v>9</v>
      </c>
      <c r="L3779">
        <v>14</v>
      </c>
      <c r="M3779" t="s">
        <v>91</v>
      </c>
      <c r="N3779">
        <v>0</v>
      </c>
      <c r="O3779">
        <v>0</v>
      </c>
    </row>
    <row r="3780" spans="1:15" x14ac:dyDescent="0.3">
      <c r="A3780">
        <v>3875</v>
      </c>
      <c r="B3780" s="34">
        <v>43360</v>
      </c>
      <c r="C3780">
        <v>1.1621900000000001</v>
      </c>
      <c r="D3780">
        <v>0</v>
      </c>
      <c r="F3780">
        <v>0.48157999999999701</v>
      </c>
      <c r="G3780">
        <v>14.8851184164016</v>
      </c>
      <c r="H3780">
        <v>1</v>
      </c>
      <c r="I3780">
        <v>0.5219355</v>
      </c>
      <c r="J3780">
        <v>2018</v>
      </c>
      <c r="K3780">
        <v>9</v>
      </c>
      <c r="L3780">
        <v>17</v>
      </c>
      <c r="M3780" t="s">
        <v>92</v>
      </c>
      <c r="N3780">
        <v>0</v>
      </c>
      <c r="O3780">
        <v>0</v>
      </c>
    </row>
    <row r="3781" spans="1:15" x14ac:dyDescent="0.3">
      <c r="A3781">
        <v>3876</v>
      </c>
      <c r="B3781" s="34">
        <v>43361</v>
      </c>
      <c r="C3781">
        <v>1.1682900000000001</v>
      </c>
      <c r="D3781">
        <v>0</v>
      </c>
      <c r="F3781">
        <v>0.48157999999999701</v>
      </c>
      <c r="G3781">
        <v>14.8851184164016</v>
      </c>
      <c r="H3781">
        <v>0</v>
      </c>
      <c r="I3781">
        <v>0.52180079999999995</v>
      </c>
      <c r="J3781">
        <v>2018</v>
      </c>
      <c r="K3781">
        <v>9</v>
      </c>
      <c r="L3781">
        <v>18</v>
      </c>
      <c r="M3781" t="s">
        <v>93</v>
      </c>
      <c r="N3781">
        <v>0</v>
      </c>
      <c r="O3781">
        <v>0</v>
      </c>
    </row>
    <row r="3782" spans="1:15" x14ac:dyDescent="0.3">
      <c r="A3782">
        <v>3877</v>
      </c>
      <c r="B3782" s="34">
        <v>43362</v>
      </c>
      <c r="C3782">
        <v>1.1665000000000001</v>
      </c>
      <c r="D3782">
        <v>0</v>
      </c>
      <c r="F3782">
        <v>0.48157999999999701</v>
      </c>
      <c r="G3782">
        <v>14.8851184164016</v>
      </c>
      <c r="H3782">
        <v>1</v>
      </c>
      <c r="I3782">
        <v>0.52192419999999995</v>
      </c>
      <c r="J3782">
        <v>2018</v>
      </c>
      <c r="K3782">
        <v>9</v>
      </c>
      <c r="L3782">
        <v>19</v>
      </c>
      <c r="M3782" t="s">
        <v>89</v>
      </c>
      <c r="N3782">
        <v>0</v>
      </c>
      <c r="O3782">
        <v>0</v>
      </c>
    </row>
    <row r="3783" spans="1:15" x14ac:dyDescent="0.3">
      <c r="A3783">
        <v>3878</v>
      </c>
      <c r="B3783" s="34">
        <v>43363</v>
      </c>
      <c r="C3783">
        <v>1.1672</v>
      </c>
      <c r="D3783">
        <v>-2</v>
      </c>
      <c r="F3783">
        <v>0.471129999999997</v>
      </c>
      <c r="G3783">
        <v>16.732060798869</v>
      </c>
      <c r="H3783">
        <v>0</v>
      </c>
      <c r="I3783">
        <v>0.52178959999999996</v>
      </c>
      <c r="J3783">
        <v>2018</v>
      </c>
      <c r="K3783">
        <v>9</v>
      </c>
      <c r="L3783">
        <v>20</v>
      </c>
      <c r="M3783" t="s">
        <v>90</v>
      </c>
      <c r="N3783">
        <v>0</v>
      </c>
      <c r="O3783">
        <v>0</v>
      </c>
    </row>
    <row r="3784" spans="1:15" x14ac:dyDescent="0.3">
      <c r="A3784">
        <v>3879</v>
      </c>
      <c r="B3784" s="34">
        <v>43364</v>
      </c>
      <c r="C3784">
        <v>1.1776500000000001</v>
      </c>
      <c r="D3784">
        <v>0</v>
      </c>
      <c r="F3784">
        <v>0.471129999999997</v>
      </c>
      <c r="G3784">
        <v>16.732060798869</v>
      </c>
      <c r="H3784">
        <v>0</v>
      </c>
      <c r="I3784">
        <v>0.52165510000000004</v>
      </c>
      <c r="J3784">
        <v>2018</v>
      </c>
      <c r="K3784">
        <v>9</v>
      </c>
      <c r="L3784">
        <v>21</v>
      </c>
      <c r="M3784" t="s">
        <v>91</v>
      </c>
      <c r="N3784">
        <v>0</v>
      </c>
      <c r="O3784">
        <v>0</v>
      </c>
    </row>
    <row r="3785" spans="1:15" x14ac:dyDescent="0.3">
      <c r="A3785">
        <v>3880</v>
      </c>
      <c r="B3785" s="34">
        <v>43367</v>
      </c>
      <c r="C3785">
        <v>1.17537</v>
      </c>
      <c r="D3785">
        <v>0</v>
      </c>
      <c r="F3785">
        <v>0.471129999999997</v>
      </c>
      <c r="G3785">
        <v>16.732060798869</v>
      </c>
      <c r="H3785">
        <v>1</v>
      </c>
      <c r="I3785">
        <v>0.52177830000000003</v>
      </c>
      <c r="J3785">
        <v>2018</v>
      </c>
      <c r="K3785">
        <v>9</v>
      </c>
      <c r="L3785">
        <v>24</v>
      </c>
      <c r="M3785" t="s">
        <v>92</v>
      </c>
      <c r="N3785">
        <v>0</v>
      </c>
      <c r="O3785">
        <v>0</v>
      </c>
    </row>
    <row r="3786" spans="1:15" x14ac:dyDescent="0.3">
      <c r="A3786">
        <v>3881</v>
      </c>
      <c r="B3786" s="34">
        <v>43368</v>
      </c>
      <c r="C3786">
        <v>1.17472</v>
      </c>
      <c r="D3786">
        <v>0</v>
      </c>
      <c r="F3786">
        <v>0.471129999999997</v>
      </c>
      <c r="G3786">
        <v>16.732060798869</v>
      </c>
      <c r="H3786">
        <v>1</v>
      </c>
      <c r="I3786">
        <v>0.52190150000000002</v>
      </c>
      <c r="J3786">
        <v>2018</v>
      </c>
      <c r="K3786">
        <v>9</v>
      </c>
      <c r="L3786">
        <v>25</v>
      </c>
      <c r="M3786" t="s">
        <v>93</v>
      </c>
      <c r="N3786">
        <v>0</v>
      </c>
      <c r="O3786">
        <v>0</v>
      </c>
    </row>
    <row r="3787" spans="1:15" x14ac:dyDescent="0.3">
      <c r="A3787">
        <v>3882</v>
      </c>
      <c r="B3787" s="34">
        <v>43369</v>
      </c>
      <c r="C3787">
        <v>1.17658</v>
      </c>
      <c r="D3787">
        <v>0</v>
      </c>
      <c r="F3787">
        <v>0.471129999999997</v>
      </c>
      <c r="G3787">
        <v>16.732060798869</v>
      </c>
      <c r="H3787">
        <v>0</v>
      </c>
      <c r="I3787">
        <v>0.52176710000000004</v>
      </c>
      <c r="J3787">
        <v>2018</v>
      </c>
      <c r="K3787">
        <v>9</v>
      </c>
      <c r="L3787">
        <v>26</v>
      </c>
      <c r="M3787" t="s">
        <v>89</v>
      </c>
      <c r="N3787">
        <v>0</v>
      </c>
      <c r="O3787">
        <v>0</v>
      </c>
    </row>
    <row r="3788" spans="1:15" x14ac:dyDescent="0.3">
      <c r="A3788">
        <v>3883</v>
      </c>
      <c r="B3788" s="34">
        <v>43370</v>
      </c>
      <c r="C3788">
        <v>1.1737899999999999</v>
      </c>
      <c r="D3788">
        <v>0</v>
      </c>
      <c r="F3788">
        <v>0.471129999999997</v>
      </c>
      <c r="G3788">
        <v>16.732060798869</v>
      </c>
      <c r="H3788">
        <v>1</v>
      </c>
      <c r="I3788">
        <v>0.52189030000000003</v>
      </c>
      <c r="J3788">
        <v>2018</v>
      </c>
      <c r="K3788">
        <v>9</v>
      </c>
      <c r="L3788">
        <v>27</v>
      </c>
      <c r="M3788" t="s">
        <v>90</v>
      </c>
      <c r="N3788">
        <v>0</v>
      </c>
      <c r="O3788">
        <v>0</v>
      </c>
    </row>
    <row r="3789" spans="1:15" x14ac:dyDescent="0.3">
      <c r="A3789">
        <v>3884</v>
      </c>
      <c r="B3789" s="34">
        <v>43371</v>
      </c>
      <c r="C3789">
        <v>1.1640699999999999</v>
      </c>
      <c r="D3789">
        <v>0</v>
      </c>
      <c r="F3789">
        <v>0.471129999999997</v>
      </c>
      <c r="G3789">
        <v>16.732060798869</v>
      </c>
      <c r="H3789">
        <v>0</v>
      </c>
      <c r="I3789">
        <v>0.52175590000000005</v>
      </c>
      <c r="J3789">
        <v>2018</v>
      </c>
      <c r="K3789">
        <v>9</v>
      </c>
      <c r="L3789">
        <v>28</v>
      </c>
      <c r="M3789" t="s">
        <v>91</v>
      </c>
      <c r="N3789">
        <v>0</v>
      </c>
      <c r="O3789">
        <v>0</v>
      </c>
    </row>
    <row r="3790" spans="1:15" x14ac:dyDescent="0.3">
      <c r="A3790">
        <v>3885</v>
      </c>
      <c r="B3790" s="34">
        <v>43374</v>
      </c>
      <c r="C3790">
        <v>1.1601999999999999</v>
      </c>
      <c r="D3790">
        <v>0</v>
      </c>
      <c r="F3790">
        <v>0.471129999999997</v>
      </c>
      <c r="G3790">
        <v>16.732060798869</v>
      </c>
      <c r="H3790">
        <v>0</v>
      </c>
      <c r="I3790">
        <v>0.52162160000000002</v>
      </c>
      <c r="J3790">
        <v>2018</v>
      </c>
      <c r="K3790">
        <v>10</v>
      </c>
      <c r="L3790">
        <v>1</v>
      </c>
      <c r="M3790" t="s">
        <v>92</v>
      </c>
      <c r="N3790">
        <v>0</v>
      </c>
      <c r="O3790">
        <v>0</v>
      </c>
    </row>
    <row r="3791" spans="1:15" x14ac:dyDescent="0.3">
      <c r="A3791">
        <v>3886</v>
      </c>
      <c r="B3791" s="34">
        <v>43375</v>
      </c>
      <c r="C3791">
        <v>1.15778</v>
      </c>
      <c r="D3791">
        <v>0</v>
      </c>
      <c r="F3791">
        <v>0.471129999999997</v>
      </c>
      <c r="G3791">
        <v>16.732060798869</v>
      </c>
      <c r="H3791">
        <v>0</v>
      </c>
      <c r="I3791">
        <v>0.52148740000000005</v>
      </c>
      <c r="J3791">
        <v>2018</v>
      </c>
      <c r="K3791">
        <v>10</v>
      </c>
      <c r="L3791">
        <v>2</v>
      </c>
      <c r="M3791" t="s">
        <v>93</v>
      </c>
      <c r="N3791">
        <v>0</v>
      </c>
      <c r="O3791">
        <v>0</v>
      </c>
    </row>
    <row r="3792" spans="1:15" x14ac:dyDescent="0.3">
      <c r="A3792">
        <v>3887</v>
      </c>
      <c r="B3792" s="34">
        <v>43376</v>
      </c>
      <c r="C3792">
        <v>1.1546000000000001</v>
      </c>
      <c r="D3792">
        <v>0</v>
      </c>
      <c r="F3792">
        <v>0.471129999999997</v>
      </c>
      <c r="G3792">
        <v>16.732060798869</v>
      </c>
      <c r="H3792">
        <v>0</v>
      </c>
      <c r="I3792">
        <v>0.52135319999999996</v>
      </c>
      <c r="J3792">
        <v>2018</v>
      </c>
      <c r="K3792">
        <v>10</v>
      </c>
      <c r="L3792">
        <v>3</v>
      </c>
      <c r="M3792" t="s">
        <v>89</v>
      </c>
      <c r="N3792">
        <v>0</v>
      </c>
      <c r="O3792">
        <v>0</v>
      </c>
    </row>
    <row r="3793" spans="1:15" x14ac:dyDescent="0.3">
      <c r="A3793">
        <v>3888</v>
      </c>
      <c r="B3793" s="34">
        <v>43377</v>
      </c>
      <c r="C3793">
        <v>1.1476599999999999</v>
      </c>
      <c r="D3793">
        <v>1</v>
      </c>
      <c r="E3793" t="s">
        <v>442</v>
      </c>
      <c r="F3793">
        <v>0.47480999999999701</v>
      </c>
      <c r="G3793">
        <v>16.081654294803901</v>
      </c>
      <c r="H3793">
        <v>0</v>
      </c>
      <c r="I3793">
        <v>0.52121910000000005</v>
      </c>
      <c r="J3793">
        <v>2018</v>
      </c>
      <c r="K3793">
        <v>10</v>
      </c>
      <c r="L3793">
        <v>4</v>
      </c>
      <c r="M3793" t="s">
        <v>90</v>
      </c>
      <c r="N3793">
        <v>0</v>
      </c>
      <c r="O3793">
        <v>0</v>
      </c>
    </row>
    <row r="3794" spans="1:15" x14ac:dyDescent="0.3">
      <c r="A3794">
        <v>3889</v>
      </c>
      <c r="B3794" s="34">
        <v>43378</v>
      </c>
      <c r="C3794">
        <v>1.15134</v>
      </c>
      <c r="D3794">
        <v>0</v>
      </c>
      <c r="F3794">
        <v>0.47480999999999701</v>
      </c>
      <c r="G3794">
        <v>16.081654294803901</v>
      </c>
      <c r="H3794">
        <v>1</v>
      </c>
      <c r="I3794">
        <v>0.52134219999999998</v>
      </c>
      <c r="J3794">
        <v>2018</v>
      </c>
      <c r="K3794">
        <v>10</v>
      </c>
      <c r="L3794">
        <v>5</v>
      </c>
      <c r="M3794" t="s">
        <v>91</v>
      </c>
      <c r="N3794">
        <v>0</v>
      </c>
      <c r="O3794">
        <v>0</v>
      </c>
    </row>
    <row r="3795" spans="1:15" x14ac:dyDescent="0.3">
      <c r="A3795">
        <v>3890</v>
      </c>
      <c r="B3795" s="34">
        <v>43381</v>
      </c>
      <c r="C3795">
        <v>1.1523399999999999</v>
      </c>
      <c r="D3795">
        <v>0</v>
      </c>
      <c r="F3795">
        <v>0.47480999999999701</v>
      </c>
      <c r="G3795">
        <v>16.081654294803901</v>
      </c>
      <c r="H3795">
        <v>0</v>
      </c>
      <c r="I3795">
        <v>0.52120820000000001</v>
      </c>
      <c r="J3795">
        <v>2018</v>
      </c>
      <c r="K3795">
        <v>10</v>
      </c>
      <c r="L3795">
        <v>8</v>
      </c>
      <c r="M3795" t="s">
        <v>92</v>
      </c>
      <c r="N3795">
        <v>0</v>
      </c>
      <c r="O3795">
        <v>0</v>
      </c>
    </row>
    <row r="3796" spans="1:15" x14ac:dyDescent="0.3">
      <c r="A3796">
        <v>3891</v>
      </c>
      <c r="B3796" s="34">
        <v>43382</v>
      </c>
      <c r="C3796">
        <v>1.14907</v>
      </c>
      <c r="D3796">
        <v>0</v>
      </c>
      <c r="F3796">
        <v>0.47480999999999701</v>
      </c>
      <c r="G3796">
        <v>16.081654294803901</v>
      </c>
      <c r="H3796">
        <v>1</v>
      </c>
      <c r="I3796">
        <v>0.52133130000000005</v>
      </c>
      <c r="J3796">
        <v>2018</v>
      </c>
      <c r="K3796">
        <v>10</v>
      </c>
      <c r="L3796">
        <v>9</v>
      </c>
      <c r="M3796" t="s">
        <v>93</v>
      </c>
      <c r="N3796">
        <v>0</v>
      </c>
      <c r="O3796">
        <v>0</v>
      </c>
    </row>
    <row r="3797" spans="1:15" x14ac:dyDescent="0.3">
      <c r="A3797">
        <v>3892</v>
      </c>
      <c r="B3797" s="34">
        <v>43383</v>
      </c>
      <c r="C3797">
        <v>1.14899</v>
      </c>
      <c r="D3797">
        <v>0</v>
      </c>
      <c r="F3797">
        <v>0.47480999999999701</v>
      </c>
      <c r="G3797">
        <v>16.081654294803901</v>
      </c>
      <c r="H3797">
        <v>0</v>
      </c>
      <c r="I3797">
        <v>0.52119729999999997</v>
      </c>
      <c r="J3797">
        <v>2018</v>
      </c>
      <c r="K3797">
        <v>10</v>
      </c>
      <c r="L3797">
        <v>10</v>
      </c>
      <c r="M3797" t="s">
        <v>89</v>
      </c>
      <c r="N3797">
        <v>0</v>
      </c>
      <c r="O3797">
        <v>0</v>
      </c>
    </row>
    <row r="3798" spans="1:15" x14ac:dyDescent="0.3">
      <c r="A3798">
        <v>3893</v>
      </c>
      <c r="B3798" s="34">
        <v>43384</v>
      </c>
      <c r="C3798">
        <v>1.1518200000000001</v>
      </c>
      <c r="D3798">
        <v>0</v>
      </c>
      <c r="F3798">
        <v>0.47480999999999701</v>
      </c>
      <c r="G3798">
        <v>16.081654294803901</v>
      </c>
      <c r="H3798">
        <v>1</v>
      </c>
      <c r="I3798">
        <v>0.52132029999999996</v>
      </c>
      <c r="J3798">
        <v>2018</v>
      </c>
      <c r="K3798">
        <v>10</v>
      </c>
      <c r="L3798">
        <v>11</v>
      </c>
      <c r="M3798" t="s">
        <v>90</v>
      </c>
      <c r="N3798">
        <v>0</v>
      </c>
      <c r="O3798">
        <v>0</v>
      </c>
    </row>
    <row r="3799" spans="1:15" x14ac:dyDescent="0.3">
      <c r="A3799">
        <v>3894</v>
      </c>
      <c r="B3799" s="34">
        <v>43385</v>
      </c>
      <c r="C3799">
        <v>1.1593</v>
      </c>
      <c r="D3799">
        <v>0</v>
      </c>
      <c r="F3799">
        <v>0.47480999999999701</v>
      </c>
      <c r="G3799">
        <v>16.081654294803901</v>
      </c>
      <c r="H3799">
        <v>0</v>
      </c>
      <c r="I3799">
        <v>0.52118640000000005</v>
      </c>
      <c r="J3799">
        <v>2018</v>
      </c>
      <c r="K3799">
        <v>10</v>
      </c>
      <c r="L3799">
        <v>12</v>
      </c>
      <c r="M3799" t="s">
        <v>91</v>
      </c>
      <c r="N3799">
        <v>0</v>
      </c>
      <c r="O3799">
        <v>0</v>
      </c>
    </row>
    <row r="3800" spans="1:15" x14ac:dyDescent="0.3">
      <c r="A3800">
        <v>3895</v>
      </c>
      <c r="B3800" s="34">
        <v>43388</v>
      </c>
      <c r="C3800">
        <v>1.15584</v>
      </c>
      <c r="D3800">
        <v>0</v>
      </c>
      <c r="F3800">
        <v>0.47480999999999701</v>
      </c>
      <c r="G3800">
        <v>16.081654294803901</v>
      </c>
      <c r="H3800">
        <v>1</v>
      </c>
      <c r="I3800">
        <v>0.52130940000000003</v>
      </c>
      <c r="J3800">
        <v>2018</v>
      </c>
      <c r="K3800">
        <v>10</v>
      </c>
      <c r="L3800">
        <v>15</v>
      </c>
      <c r="M3800" t="s">
        <v>92</v>
      </c>
      <c r="N3800">
        <v>0</v>
      </c>
      <c r="O3800">
        <v>0</v>
      </c>
    </row>
    <row r="3801" spans="1:15" x14ac:dyDescent="0.3">
      <c r="A3801">
        <v>3896</v>
      </c>
      <c r="B3801" s="34">
        <v>43389</v>
      </c>
      <c r="C3801">
        <v>1.15784</v>
      </c>
      <c r="D3801">
        <v>0</v>
      </c>
      <c r="F3801">
        <v>0.47480999999999701</v>
      </c>
      <c r="G3801">
        <v>16.081654294803901</v>
      </c>
      <c r="H3801">
        <v>0</v>
      </c>
      <c r="I3801">
        <v>0.52117559999999996</v>
      </c>
      <c r="J3801">
        <v>2018</v>
      </c>
      <c r="K3801">
        <v>10</v>
      </c>
      <c r="L3801">
        <v>16</v>
      </c>
      <c r="M3801" t="s">
        <v>93</v>
      </c>
      <c r="N3801">
        <v>0</v>
      </c>
      <c r="O3801">
        <v>0</v>
      </c>
    </row>
    <row r="3802" spans="1:15" x14ac:dyDescent="0.3">
      <c r="A3802">
        <v>3897</v>
      </c>
      <c r="B3802" s="34">
        <v>43390</v>
      </c>
      <c r="C3802">
        <v>1.15733</v>
      </c>
      <c r="D3802">
        <v>0</v>
      </c>
      <c r="F3802">
        <v>0.47480999999999701</v>
      </c>
      <c r="G3802">
        <v>16.081654294803901</v>
      </c>
      <c r="H3802">
        <v>1</v>
      </c>
      <c r="I3802">
        <v>0.52129840000000005</v>
      </c>
      <c r="J3802">
        <v>2018</v>
      </c>
      <c r="K3802">
        <v>10</v>
      </c>
      <c r="L3802">
        <v>17</v>
      </c>
      <c r="M3802" t="s">
        <v>89</v>
      </c>
      <c r="N3802">
        <v>0</v>
      </c>
      <c r="O3802">
        <v>0</v>
      </c>
    </row>
    <row r="3803" spans="1:15" x14ac:dyDescent="0.3">
      <c r="A3803">
        <v>3898</v>
      </c>
      <c r="B3803" s="34">
        <v>43391</v>
      </c>
      <c r="C3803">
        <v>1.1499900000000001</v>
      </c>
      <c r="D3803">
        <v>0</v>
      </c>
      <c r="F3803">
        <v>0.47480999999999701</v>
      </c>
      <c r="G3803">
        <v>16.081654294803901</v>
      </c>
      <c r="H3803">
        <v>1</v>
      </c>
      <c r="I3803">
        <v>0.52142129999999998</v>
      </c>
      <c r="J3803">
        <v>2018</v>
      </c>
      <c r="K3803">
        <v>10</v>
      </c>
      <c r="L3803">
        <v>18</v>
      </c>
      <c r="M3803" t="s">
        <v>90</v>
      </c>
      <c r="N3803">
        <v>0</v>
      </c>
      <c r="O3803">
        <v>0</v>
      </c>
    </row>
    <row r="3804" spans="1:15" x14ac:dyDescent="0.3">
      <c r="A3804">
        <v>3899</v>
      </c>
      <c r="B3804" s="34">
        <v>43392</v>
      </c>
      <c r="C3804">
        <v>1.14523</v>
      </c>
      <c r="D3804">
        <v>0</v>
      </c>
      <c r="F3804">
        <v>0.47480999999999701</v>
      </c>
      <c r="G3804">
        <v>16.081654294803901</v>
      </c>
      <c r="H3804">
        <v>0</v>
      </c>
      <c r="I3804">
        <v>0.52128750000000001</v>
      </c>
      <c r="J3804">
        <v>2018</v>
      </c>
      <c r="K3804">
        <v>10</v>
      </c>
      <c r="L3804">
        <v>19</v>
      </c>
      <c r="M3804" t="s">
        <v>91</v>
      </c>
      <c r="N3804">
        <v>0</v>
      </c>
      <c r="O3804">
        <v>0</v>
      </c>
    </row>
    <row r="3805" spans="1:15" x14ac:dyDescent="0.3">
      <c r="A3805">
        <v>3900</v>
      </c>
      <c r="B3805" s="34">
        <v>43409</v>
      </c>
      <c r="C3805">
        <v>1.15185</v>
      </c>
      <c r="D3805">
        <v>0</v>
      </c>
      <c r="F3805">
        <v>0.47480999999999701</v>
      </c>
      <c r="G3805">
        <v>16.081654294803901</v>
      </c>
      <c r="H3805">
        <v>1</v>
      </c>
      <c r="I3805">
        <v>0.52141020000000005</v>
      </c>
      <c r="J3805">
        <v>2018</v>
      </c>
      <c r="K3805">
        <v>11</v>
      </c>
      <c r="L3805">
        <v>5</v>
      </c>
      <c r="M3805" t="s">
        <v>92</v>
      </c>
      <c r="N3805">
        <v>0</v>
      </c>
      <c r="O3805">
        <v>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12"/>
  <sheetViews>
    <sheetView workbookViewId="0">
      <selection activeCell="A6" sqref="A6"/>
    </sheetView>
  </sheetViews>
  <sheetFormatPr defaultRowHeight="14.4" x14ac:dyDescent="0.3"/>
  <cols>
    <col min="1" max="7" width="20.33203125" customWidth="1"/>
  </cols>
  <sheetData>
    <row r="1" spans="1:8" s="1" customFormat="1" x14ac:dyDescent="0.3">
      <c r="A1" s="1" t="s">
        <v>60</v>
      </c>
      <c r="B1" s="1" t="s">
        <v>61</v>
      </c>
      <c r="C1" s="1" t="s">
        <v>62</v>
      </c>
      <c r="D1" s="1" t="s">
        <v>63</v>
      </c>
      <c r="E1" s="1" t="s">
        <v>64</v>
      </c>
      <c r="F1" s="1" t="s">
        <v>65</v>
      </c>
      <c r="G1" s="1" t="s">
        <v>66</v>
      </c>
      <c r="H1" s="1" t="s">
        <v>67</v>
      </c>
    </row>
    <row r="2" spans="1:8" x14ac:dyDescent="0.3">
      <c r="A2" t="s">
        <v>52</v>
      </c>
      <c r="B2">
        <v>20</v>
      </c>
      <c r="C2">
        <v>0.5</v>
      </c>
      <c r="D2">
        <v>0.95</v>
      </c>
      <c r="E2">
        <v>1</v>
      </c>
      <c r="F2">
        <v>0.5</v>
      </c>
      <c r="G2">
        <v>0.68047000000000002</v>
      </c>
      <c r="H2">
        <v>0</v>
      </c>
    </row>
    <row r="3" spans="1:8" x14ac:dyDescent="0.3">
      <c r="A3" t="s">
        <v>55</v>
      </c>
      <c r="B3">
        <v>85</v>
      </c>
      <c r="C3">
        <v>0.5</v>
      </c>
      <c r="D3">
        <v>0.95</v>
      </c>
      <c r="E3">
        <v>1</v>
      </c>
      <c r="F3">
        <v>0.51500000000000001</v>
      </c>
      <c r="G3">
        <v>0.64790000000000003</v>
      </c>
      <c r="H3">
        <v>0</v>
      </c>
    </row>
    <row r="4" spans="1:8" x14ac:dyDescent="0.3">
      <c r="A4" t="s">
        <v>50</v>
      </c>
      <c r="B4">
        <v>80</v>
      </c>
      <c r="C4">
        <v>0.5</v>
      </c>
      <c r="D4">
        <v>0.95</v>
      </c>
      <c r="E4">
        <v>1</v>
      </c>
      <c r="F4">
        <v>0.5</v>
      </c>
      <c r="G4">
        <v>0.58172000000000001</v>
      </c>
      <c r="H4">
        <v>0</v>
      </c>
    </row>
    <row r="5" spans="1:8" x14ac:dyDescent="0.3">
      <c r="A5" t="s">
        <v>59</v>
      </c>
      <c r="B5">
        <v>40</v>
      </c>
      <c r="C5">
        <v>0.5</v>
      </c>
      <c r="D5">
        <v>0.95</v>
      </c>
      <c r="E5">
        <v>1</v>
      </c>
      <c r="F5">
        <v>0.5</v>
      </c>
      <c r="G5">
        <v>0.52078000000000002</v>
      </c>
      <c r="H5">
        <v>-1.95E-2</v>
      </c>
    </row>
    <row r="6" spans="1:8" x14ac:dyDescent="0.3">
      <c r="A6" t="s">
        <v>51</v>
      </c>
      <c r="B6">
        <v>80</v>
      </c>
      <c r="C6">
        <v>0.5</v>
      </c>
      <c r="D6">
        <v>0.95</v>
      </c>
      <c r="E6">
        <v>1</v>
      </c>
      <c r="F6">
        <v>0.51500000000000001</v>
      </c>
      <c r="G6">
        <v>0.51087000000000005</v>
      </c>
      <c r="H6">
        <v>-6.0299999999999999E-2</v>
      </c>
    </row>
    <row r="7" spans="1:8" x14ac:dyDescent="0.3">
      <c r="A7" t="s">
        <v>53</v>
      </c>
      <c r="B7">
        <v>95</v>
      </c>
      <c r="C7">
        <v>0.5</v>
      </c>
      <c r="D7">
        <v>0.95</v>
      </c>
      <c r="E7">
        <v>1</v>
      </c>
      <c r="F7">
        <v>0.5</v>
      </c>
      <c r="G7">
        <v>0.42454999999999998</v>
      </c>
      <c r="H7">
        <v>0</v>
      </c>
    </row>
    <row r="8" spans="1:8" x14ac:dyDescent="0.3">
      <c r="A8" t="s">
        <v>57</v>
      </c>
      <c r="B8">
        <v>15</v>
      </c>
      <c r="C8">
        <v>0.5</v>
      </c>
      <c r="D8">
        <v>0.95</v>
      </c>
      <c r="E8">
        <v>1</v>
      </c>
      <c r="F8">
        <v>0.52</v>
      </c>
      <c r="G8">
        <v>0.40704000000000001</v>
      </c>
      <c r="H8">
        <v>-1.4E-3</v>
      </c>
    </row>
    <row r="9" spans="1:8" x14ac:dyDescent="0.3">
      <c r="A9" t="s">
        <v>58</v>
      </c>
      <c r="B9">
        <v>40</v>
      </c>
      <c r="C9">
        <v>0.5</v>
      </c>
      <c r="D9">
        <v>0.95</v>
      </c>
      <c r="E9">
        <v>1</v>
      </c>
      <c r="F9">
        <v>0.52</v>
      </c>
      <c r="G9">
        <v>0.38789000000000001</v>
      </c>
      <c r="H9">
        <v>-6.9999999999999999E-4</v>
      </c>
    </row>
    <row r="10" spans="1:8" x14ac:dyDescent="0.3">
      <c r="A10" t="s">
        <v>49</v>
      </c>
      <c r="B10">
        <v>70</v>
      </c>
      <c r="C10">
        <v>0.5</v>
      </c>
      <c r="D10">
        <v>0.5</v>
      </c>
      <c r="E10">
        <v>1</v>
      </c>
      <c r="F10">
        <v>0.5</v>
      </c>
      <c r="G10">
        <v>0.36886000000000002</v>
      </c>
      <c r="H10">
        <v>0</v>
      </c>
    </row>
    <row r="11" spans="1:8" x14ac:dyDescent="0.3">
      <c r="A11" t="s">
        <v>56</v>
      </c>
      <c r="B11">
        <v>15</v>
      </c>
      <c r="C11">
        <v>0.5</v>
      </c>
      <c r="D11">
        <v>0.95</v>
      </c>
      <c r="E11">
        <v>1</v>
      </c>
      <c r="F11">
        <v>0.5</v>
      </c>
      <c r="G11">
        <v>0.30292000000000002</v>
      </c>
      <c r="H11">
        <v>0</v>
      </c>
    </row>
    <row r="12" spans="1:8" x14ac:dyDescent="0.3">
      <c r="A12" t="s">
        <v>54</v>
      </c>
      <c r="B12">
        <v>60</v>
      </c>
      <c r="C12">
        <v>0.5</v>
      </c>
      <c r="D12">
        <v>0.95</v>
      </c>
      <c r="E12">
        <v>1</v>
      </c>
      <c r="F12">
        <v>0.51</v>
      </c>
      <c r="G12">
        <v>0.26418000000000003</v>
      </c>
      <c r="H12">
        <v>0</v>
      </c>
    </row>
  </sheetData>
  <autoFilter ref="A1:O1">
    <sortState ref="A2:O12">
      <sortCondition descending="1" ref="G1"/>
    </sortState>
  </autoFilter>
  <pageMargins left="0.7" right="0.7" top="0.75" bottom="0.75" header="0.3" footer="0.3"/>
  <pageSetup paperSize="9"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C220"/>
  <sheetViews>
    <sheetView tabSelected="1" workbookViewId="0">
      <selection activeCell="C1" sqref="C1:C220"/>
    </sheetView>
  </sheetViews>
  <sheetFormatPr defaultRowHeight="14.4" x14ac:dyDescent="0.3"/>
  <cols>
    <col min="1" max="1" width="21.109375" customWidth="1"/>
  </cols>
  <sheetData>
    <row r="1" spans="1:3" x14ac:dyDescent="0.3">
      <c r="A1" t="s">
        <v>448</v>
      </c>
      <c r="C1" t="str">
        <f>"select * from sber_parts where file='"&amp;A1&amp;"' order by pnl desc limit 1  INTO OUTFILE ""C:\\ProgramData\\MySQL\\MySQL Server 8.0\\Uploads\\"&amp;A1&amp;".csv""" &amp;";"</f>
        <v>select * from sber_parts where file='05k_SBER_702group.pkl' order by pnl desc limit 1  INTO OUTFILE "C:\\ProgramData\\MySQL\\MySQL Server 8.0\\Uploads\\05k_SBER_702group.pkl.csv";</v>
      </c>
    </row>
    <row r="2" spans="1:3" x14ac:dyDescent="0.3">
      <c r="A2" t="s">
        <v>449</v>
      </c>
      <c r="C2" t="str">
        <f t="shared" ref="C2:C65" si="0">"select * from sber_parts where file='"&amp;A2&amp;"' order by pnl desc limit 1  INTO OUTFILE ""C:\\ProgramData\\MySQL\\MySQL Server 8.0\\Uploads\\"&amp;A2&amp;".csv""" &amp;";"</f>
        <v>select * from sber_parts where file='05k_SBER_807group.pkl' order by pnl desc limit 1  INTO OUTFILE "C:\\ProgramData\\MySQL\\MySQL Server 8.0\\Uploads\\05k_SBER_807group.pkl.csv";</v>
      </c>
    </row>
    <row r="3" spans="1:3" x14ac:dyDescent="0.3">
      <c r="A3" t="s">
        <v>450</v>
      </c>
      <c r="C3" t="str">
        <f t="shared" si="0"/>
        <v>select * from sber_parts where file='05k_SBER_804group.pkl' order by pnl desc limit 1  INTO OUTFILE "C:\\ProgramData\\MySQL\\MySQL Server 8.0\\Uploads\\05k_SBER_804group.pkl.csv";</v>
      </c>
    </row>
    <row r="4" spans="1:3" x14ac:dyDescent="0.3">
      <c r="A4" t="s">
        <v>451</v>
      </c>
      <c r="C4" t="str">
        <f t="shared" si="0"/>
        <v>select * from sber_parts where file='05k_SBER_803group.pkl' order by pnl desc limit 1  INTO OUTFILE "C:\\ProgramData\\MySQL\\MySQL Server 8.0\\Uploads\\05k_SBER_803group.pkl.csv";</v>
      </c>
    </row>
    <row r="5" spans="1:3" x14ac:dyDescent="0.3">
      <c r="A5" t="s">
        <v>452</v>
      </c>
      <c r="C5" t="str">
        <f t="shared" si="0"/>
        <v>select * from sber_parts where file='05k_SBER_809group.pkl' order by pnl desc limit 1  INTO OUTFILE "C:\\ProgramData\\MySQL\\MySQL Server 8.0\\Uploads\\05k_SBER_809group.pkl.csv";</v>
      </c>
    </row>
    <row r="6" spans="1:3" x14ac:dyDescent="0.3">
      <c r="A6" t="s">
        <v>453</v>
      </c>
      <c r="C6" t="str">
        <f t="shared" si="0"/>
        <v>select * from sber_parts where file='05k_SBER_805group.pkl' order by pnl desc limit 1  INTO OUTFILE "C:\\ProgramData\\MySQL\\MySQL Server 8.0\\Uploads\\05k_SBER_805group.pkl.csv";</v>
      </c>
    </row>
    <row r="7" spans="1:3" x14ac:dyDescent="0.3">
      <c r="A7" t="s">
        <v>454</v>
      </c>
      <c r="C7" t="str">
        <f t="shared" si="0"/>
        <v>select * from sber_parts where file='05k_SBER_801group.pkl' order by pnl desc limit 1  INTO OUTFILE "C:\\ProgramData\\MySQL\\MySQL Server 8.0\\Uploads\\05k_SBER_801group.pkl.csv";</v>
      </c>
    </row>
    <row r="8" spans="1:3" x14ac:dyDescent="0.3">
      <c r="A8" t="s">
        <v>455</v>
      </c>
      <c r="C8" t="str">
        <f t="shared" si="0"/>
        <v>select * from sber_parts where file='05k_SBER_802group.pkl' order by pnl desc limit 1  INTO OUTFILE "C:\\ProgramData\\MySQL\\MySQL Server 8.0\\Uploads\\05k_SBER_802group.pkl.csv";</v>
      </c>
    </row>
    <row r="9" spans="1:3" x14ac:dyDescent="0.3">
      <c r="A9" t="s">
        <v>456</v>
      </c>
      <c r="C9" t="str">
        <f t="shared" si="0"/>
        <v>select * from sber_parts where file='05k_SBER_703group.pkl' order by pnl desc limit 1  INTO OUTFILE "C:\\ProgramData\\MySQL\\MySQL Server 8.0\\Uploads\\05k_SBER_703group.pkl.csv";</v>
      </c>
    </row>
    <row r="10" spans="1:3" x14ac:dyDescent="0.3">
      <c r="A10" t="s">
        <v>457</v>
      </c>
      <c r="C10" t="str">
        <f t="shared" si="0"/>
        <v>select * from sber_parts where file='05k_SBER_808group.pkl' order by pnl desc limit 1  INTO OUTFILE "C:\\ProgramData\\MySQL\\MySQL Server 8.0\\Uploads\\05k_SBER_808group.pkl.csv";</v>
      </c>
    </row>
    <row r="11" spans="1:3" x14ac:dyDescent="0.3">
      <c r="A11" t="s">
        <v>458</v>
      </c>
      <c r="C11" t="str">
        <f t="shared" si="0"/>
        <v>select * from sber_parts where file='05k_SBER_700group.pkl' order by pnl desc limit 1  INTO OUTFILE "C:\\ProgramData\\MySQL\\MySQL Server 8.0\\Uploads\\05k_SBER_700group.pkl.csv";</v>
      </c>
    </row>
    <row r="12" spans="1:3" x14ac:dyDescent="0.3">
      <c r="A12" t="s">
        <v>459</v>
      </c>
      <c r="C12" t="str">
        <f t="shared" si="0"/>
        <v>select * from sber_parts where file='05k_SBER_705group.pkl' order by pnl desc limit 1  INTO OUTFILE "C:\\ProgramData\\MySQL\\MySQL Server 8.0\\Uploads\\05k_SBER_705group.pkl.csv";</v>
      </c>
    </row>
    <row r="13" spans="1:3" x14ac:dyDescent="0.3">
      <c r="A13" t="s">
        <v>460</v>
      </c>
      <c r="C13" t="str">
        <f t="shared" si="0"/>
        <v>select * from sber_parts where file='05k_SBER_800group.pkl' order by pnl desc limit 1  INTO OUTFILE "C:\\ProgramData\\MySQL\\MySQL Server 8.0\\Uploads\\05k_SBER_800group.pkl.csv";</v>
      </c>
    </row>
    <row r="14" spans="1:3" x14ac:dyDescent="0.3">
      <c r="A14" t="s">
        <v>461</v>
      </c>
      <c r="C14" t="str">
        <f t="shared" si="0"/>
        <v>select * from sber_parts where file='05k_SBER_708group.pkl' order by pnl desc limit 1  INTO OUTFILE "C:\\ProgramData\\MySQL\\MySQL Server 8.0\\Uploads\\05k_SBER_708group.pkl.csv";</v>
      </c>
    </row>
    <row r="15" spans="1:3" x14ac:dyDescent="0.3">
      <c r="A15" t="s">
        <v>462</v>
      </c>
      <c r="C15" t="str">
        <f t="shared" si="0"/>
        <v>select * from sber_parts where file='05k_SBER_704group.pkl' order by pnl desc limit 1  INTO OUTFILE "C:\\ProgramData\\MySQL\\MySQL Server 8.0\\Uploads\\05k_SBER_704group.pkl.csv";</v>
      </c>
    </row>
    <row r="16" spans="1:3" x14ac:dyDescent="0.3">
      <c r="A16" t="s">
        <v>463</v>
      </c>
      <c r="C16" t="str">
        <f t="shared" si="0"/>
        <v>select * from sber_parts where file='05k_SBER_701group.pkl' order by pnl desc limit 1  INTO OUTFILE "C:\\ProgramData\\MySQL\\MySQL Server 8.0\\Uploads\\05k_SBER_701group.pkl.csv";</v>
      </c>
    </row>
    <row r="17" spans="1:3" x14ac:dyDescent="0.3">
      <c r="A17" t="s">
        <v>464</v>
      </c>
      <c r="C17" t="str">
        <f t="shared" si="0"/>
        <v>select * from sber_parts where file='05k_SBER_709group.pkl' order by pnl desc limit 1  INTO OUTFILE "C:\\ProgramData\\MySQL\\MySQL Server 8.0\\Uploads\\05k_SBER_709group.pkl.csv";</v>
      </c>
    </row>
    <row r="18" spans="1:3" x14ac:dyDescent="0.3">
      <c r="A18" t="s">
        <v>465</v>
      </c>
      <c r="C18" t="str">
        <f t="shared" si="0"/>
        <v>select * from sber_parts where file='05k_SBER_806group.pkl' order by pnl desc limit 1  INTO OUTFILE "C:\\ProgramData\\MySQL\\MySQL Server 8.0\\Uploads\\05k_SBER_806group.pkl.csv";</v>
      </c>
    </row>
    <row r="19" spans="1:3" x14ac:dyDescent="0.3">
      <c r="A19" t="s">
        <v>466</v>
      </c>
      <c r="C19" t="str">
        <f t="shared" si="0"/>
        <v>select * from sber_parts where file='05k_SBER_707group.pkl' order by pnl desc limit 1  INTO OUTFILE "C:\\ProgramData\\MySQL\\MySQL Server 8.0\\Uploads\\05k_SBER_707group.pkl.csv";</v>
      </c>
    </row>
    <row r="20" spans="1:3" x14ac:dyDescent="0.3">
      <c r="A20" t="s">
        <v>467</v>
      </c>
      <c r="C20" t="str">
        <f t="shared" si="0"/>
        <v>select * from sber_parts where file='05k_SBER_706group.pkl' order by pnl desc limit 1  INTO OUTFILE "C:\\ProgramData\\MySQL\\MySQL Server 8.0\\Uploads\\05k_SBER_706group.pkl.csv";</v>
      </c>
    </row>
    <row r="21" spans="1:3" x14ac:dyDescent="0.3">
      <c r="A21" s="36" t="s">
        <v>468</v>
      </c>
      <c r="C21" t="str">
        <f t="shared" si="0"/>
        <v>select * from sber_parts where file='05k_SBER_7001group.pkl' order by pnl desc limit 1  INTO OUTFILE "C:\\ProgramData\\MySQL\\MySQL Server 8.0\\Uploads\\05k_SBER_7001group.pkl.csv";</v>
      </c>
    </row>
    <row r="22" spans="1:3" x14ac:dyDescent="0.3">
      <c r="A22" s="36" t="s">
        <v>469</v>
      </c>
      <c r="C22" t="str">
        <f t="shared" si="0"/>
        <v>select * from sber_parts where file='05k_SBER_7002group.pkl' order by pnl desc limit 1  INTO OUTFILE "C:\\ProgramData\\MySQL\\MySQL Server 8.0\\Uploads\\05k_SBER_7002group.pkl.csv";</v>
      </c>
    </row>
    <row r="23" spans="1:3" x14ac:dyDescent="0.3">
      <c r="A23" s="36" t="s">
        <v>470</v>
      </c>
      <c r="C23" t="str">
        <f t="shared" si="0"/>
        <v>select * from sber_parts where file='05k_SBER_7003group.pkl' order by pnl desc limit 1  INTO OUTFILE "C:\\ProgramData\\MySQL\\MySQL Server 8.0\\Uploads\\05k_SBER_7003group.pkl.csv";</v>
      </c>
    </row>
    <row r="24" spans="1:3" x14ac:dyDescent="0.3">
      <c r="A24" s="36" t="s">
        <v>471</v>
      </c>
      <c r="C24" t="str">
        <f t="shared" si="0"/>
        <v>select * from sber_parts where file='05k_SBER_7004group.pkl' order by pnl desc limit 1  INTO OUTFILE "C:\\ProgramData\\MySQL\\MySQL Server 8.0\\Uploads\\05k_SBER_7004group.pkl.csv";</v>
      </c>
    </row>
    <row r="25" spans="1:3" x14ac:dyDescent="0.3">
      <c r="A25" s="36" t="s">
        <v>472</v>
      </c>
      <c r="C25" t="str">
        <f t="shared" si="0"/>
        <v>select * from sber_parts where file='05k_SBER_7005group.pkl' order by pnl desc limit 1  INTO OUTFILE "C:\\ProgramData\\MySQL\\MySQL Server 8.0\\Uploads\\05k_SBER_7005group.pkl.csv";</v>
      </c>
    </row>
    <row r="26" spans="1:3" x14ac:dyDescent="0.3">
      <c r="A26" s="36" t="s">
        <v>473</v>
      </c>
      <c r="C26" t="str">
        <f t="shared" si="0"/>
        <v>select * from sber_parts where file='05k_SBER_7006group.pkl' order by pnl desc limit 1  INTO OUTFILE "C:\\ProgramData\\MySQL\\MySQL Server 8.0\\Uploads\\05k_SBER_7006group.pkl.csv";</v>
      </c>
    </row>
    <row r="27" spans="1:3" x14ac:dyDescent="0.3">
      <c r="A27" s="36" t="s">
        <v>474</v>
      </c>
      <c r="C27" t="str">
        <f t="shared" si="0"/>
        <v>select * from sber_parts where file='05k_SBER_7007group.pkl' order by pnl desc limit 1  INTO OUTFILE "C:\\ProgramData\\MySQL\\MySQL Server 8.0\\Uploads\\05k_SBER_7007group.pkl.csv";</v>
      </c>
    </row>
    <row r="28" spans="1:3" x14ac:dyDescent="0.3">
      <c r="A28" s="36" t="s">
        <v>475</v>
      </c>
      <c r="C28" t="str">
        <f t="shared" si="0"/>
        <v>select * from sber_parts where file='05k_SBER_7008group.pkl' order by pnl desc limit 1  INTO OUTFILE "C:\\ProgramData\\MySQL\\MySQL Server 8.0\\Uploads\\05k_SBER_7008group.pkl.csv";</v>
      </c>
    </row>
    <row r="29" spans="1:3" x14ac:dyDescent="0.3">
      <c r="A29" s="36" t="s">
        <v>476</v>
      </c>
      <c r="C29" t="str">
        <f t="shared" si="0"/>
        <v>select * from sber_parts where file='05k_SBER_7009group.pkl' order by pnl desc limit 1  INTO OUTFILE "C:\\ProgramData\\MySQL\\MySQL Server 8.0\\Uploads\\05k_SBER_7009group.pkl.csv";</v>
      </c>
    </row>
    <row r="30" spans="1:3" x14ac:dyDescent="0.3">
      <c r="A30" s="36" t="s">
        <v>477</v>
      </c>
      <c r="C30" t="str">
        <f t="shared" si="0"/>
        <v>select * from sber_parts where file='05k_SBER_7010group.pkl' order by pnl desc limit 1  INTO OUTFILE "C:\\ProgramData\\MySQL\\MySQL Server 8.0\\Uploads\\05k_SBER_7010group.pkl.csv";</v>
      </c>
    </row>
    <row r="31" spans="1:3" x14ac:dyDescent="0.3">
      <c r="A31" s="36" t="s">
        <v>478</v>
      </c>
      <c r="C31" t="str">
        <f t="shared" si="0"/>
        <v>select * from sber_parts where file='05k_SBER_7011group.pkl' order by pnl desc limit 1  INTO OUTFILE "C:\\ProgramData\\MySQL\\MySQL Server 8.0\\Uploads\\05k_SBER_7011group.pkl.csv";</v>
      </c>
    </row>
    <row r="32" spans="1:3" x14ac:dyDescent="0.3">
      <c r="A32" s="36" t="s">
        <v>479</v>
      </c>
      <c r="C32" t="str">
        <f t="shared" si="0"/>
        <v>select * from sber_parts where file='05k_SBER_7012group.pkl' order by pnl desc limit 1  INTO OUTFILE "C:\\ProgramData\\MySQL\\MySQL Server 8.0\\Uploads\\05k_SBER_7012group.pkl.csv";</v>
      </c>
    </row>
    <row r="33" spans="1:3" x14ac:dyDescent="0.3">
      <c r="A33" s="36" t="s">
        <v>480</v>
      </c>
      <c r="C33" t="str">
        <f t="shared" si="0"/>
        <v>select * from sber_parts where file='05k_SBER_7013group.pkl' order by pnl desc limit 1  INTO OUTFILE "C:\\ProgramData\\MySQL\\MySQL Server 8.0\\Uploads\\05k_SBER_7013group.pkl.csv";</v>
      </c>
    </row>
    <row r="34" spans="1:3" x14ac:dyDescent="0.3">
      <c r="A34" s="36" t="s">
        <v>481</v>
      </c>
      <c r="C34" t="str">
        <f t="shared" si="0"/>
        <v>select * from sber_parts where file='05k_SBER_7014group.pkl' order by pnl desc limit 1  INTO OUTFILE "C:\\ProgramData\\MySQL\\MySQL Server 8.0\\Uploads\\05k_SBER_7014group.pkl.csv";</v>
      </c>
    </row>
    <row r="35" spans="1:3" x14ac:dyDescent="0.3">
      <c r="A35" s="36" t="s">
        <v>482</v>
      </c>
      <c r="C35" t="str">
        <f t="shared" si="0"/>
        <v>select * from sber_parts where file='05k_SBER_7015group.pkl' order by pnl desc limit 1  INTO OUTFILE "C:\\ProgramData\\MySQL\\MySQL Server 8.0\\Uploads\\05k_SBER_7015group.pkl.csv";</v>
      </c>
    </row>
    <row r="36" spans="1:3" x14ac:dyDescent="0.3">
      <c r="A36" s="36" t="s">
        <v>483</v>
      </c>
      <c r="C36" t="str">
        <f t="shared" si="0"/>
        <v>select * from sber_parts where file='05k_SBER_7016group.pkl' order by pnl desc limit 1  INTO OUTFILE "C:\\ProgramData\\MySQL\\MySQL Server 8.0\\Uploads\\05k_SBER_7016group.pkl.csv";</v>
      </c>
    </row>
    <row r="37" spans="1:3" x14ac:dyDescent="0.3">
      <c r="A37" s="36" t="s">
        <v>484</v>
      </c>
      <c r="C37" t="str">
        <f t="shared" si="0"/>
        <v>select * from sber_parts where file='05k_SBER_7017group.pkl' order by pnl desc limit 1  INTO OUTFILE "C:\\ProgramData\\MySQL\\MySQL Server 8.0\\Uploads\\05k_SBER_7017group.pkl.csv";</v>
      </c>
    </row>
    <row r="38" spans="1:3" x14ac:dyDescent="0.3">
      <c r="A38" s="36" t="s">
        <v>485</v>
      </c>
      <c r="C38" t="str">
        <f t="shared" si="0"/>
        <v>select * from sber_parts where file='05k_SBER_7018group.pkl' order by pnl desc limit 1  INTO OUTFILE "C:\\ProgramData\\MySQL\\MySQL Server 8.0\\Uploads\\05k_SBER_7018group.pkl.csv";</v>
      </c>
    </row>
    <row r="39" spans="1:3" x14ac:dyDescent="0.3">
      <c r="A39" s="36" t="s">
        <v>486</v>
      </c>
      <c r="C39" t="str">
        <f t="shared" si="0"/>
        <v>select * from sber_parts where file='05k_SBER_7019group.pkl' order by pnl desc limit 1  INTO OUTFILE "C:\\ProgramData\\MySQL\\MySQL Server 8.0\\Uploads\\05k_SBER_7019group.pkl.csv";</v>
      </c>
    </row>
    <row r="40" spans="1:3" x14ac:dyDescent="0.3">
      <c r="A40" s="36" t="s">
        <v>487</v>
      </c>
      <c r="C40" t="str">
        <f t="shared" si="0"/>
        <v>select * from sber_parts where file='05k_SBER_7020group.pkl' order by pnl desc limit 1  INTO OUTFILE "C:\\ProgramData\\MySQL\\MySQL Server 8.0\\Uploads\\05k_SBER_7020group.pkl.csv";</v>
      </c>
    </row>
    <row r="41" spans="1:3" x14ac:dyDescent="0.3">
      <c r="A41" s="36" t="s">
        <v>488</v>
      </c>
      <c r="C41" t="str">
        <f t="shared" si="0"/>
        <v>select * from sber_parts where file='05k_SBER_7021group.pkl' order by pnl desc limit 1  INTO OUTFILE "C:\\ProgramData\\MySQL\\MySQL Server 8.0\\Uploads\\05k_SBER_7021group.pkl.csv";</v>
      </c>
    </row>
    <row r="42" spans="1:3" x14ac:dyDescent="0.3">
      <c r="A42" s="36" t="s">
        <v>489</v>
      </c>
      <c r="C42" t="str">
        <f t="shared" si="0"/>
        <v>select * from sber_parts where file='05k_SBER_7022group.pkl' order by pnl desc limit 1  INTO OUTFILE "C:\\ProgramData\\MySQL\\MySQL Server 8.0\\Uploads\\05k_SBER_7022group.pkl.csv";</v>
      </c>
    </row>
    <row r="43" spans="1:3" x14ac:dyDescent="0.3">
      <c r="A43" s="36" t="s">
        <v>490</v>
      </c>
      <c r="C43" t="str">
        <f t="shared" si="0"/>
        <v>select * from sber_parts where file='05k_SBER_7023group.pkl' order by pnl desc limit 1  INTO OUTFILE "C:\\ProgramData\\MySQL\\MySQL Server 8.0\\Uploads\\05k_SBER_7023group.pkl.csv";</v>
      </c>
    </row>
    <row r="44" spans="1:3" x14ac:dyDescent="0.3">
      <c r="A44" s="36" t="s">
        <v>491</v>
      </c>
      <c r="C44" t="str">
        <f t="shared" si="0"/>
        <v>select * from sber_parts where file='05k_SBER_7024group.pkl' order by pnl desc limit 1  INTO OUTFILE "C:\\ProgramData\\MySQL\\MySQL Server 8.0\\Uploads\\05k_SBER_7024group.pkl.csv";</v>
      </c>
    </row>
    <row r="45" spans="1:3" x14ac:dyDescent="0.3">
      <c r="A45" s="36" t="s">
        <v>492</v>
      </c>
      <c r="C45" t="str">
        <f t="shared" si="0"/>
        <v>select * from sber_parts where file='05k_SBER_7025group.pkl' order by pnl desc limit 1  INTO OUTFILE "C:\\ProgramData\\MySQL\\MySQL Server 8.0\\Uploads\\05k_SBER_7025group.pkl.csv";</v>
      </c>
    </row>
    <row r="46" spans="1:3" x14ac:dyDescent="0.3">
      <c r="A46" s="36" t="s">
        <v>493</v>
      </c>
      <c r="C46" t="str">
        <f t="shared" si="0"/>
        <v>select * from sber_parts where file='05k_SBER_7026group.pkl' order by pnl desc limit 1  INTO OUTFILE "C:\\ProgramData\\MySQL\\MySQL Server 8.0\\Uploads\\05k_SBER_7026group.pkl.csv";</v>
      </c>
    </row>
    <row r="47" spans="1:3" x14ac:dyDescent="0.3">
      <c r="A47" s="36" t="s">
        <v>494</v>
      </c>
      <c r="C47" t="str">
        <f t="shared" si="0"/>
        <v>select * from sber_parts where file='05k_SBER_7027group.pkl' order by pnl desc limit 1  INTO OUTFILE "C:\\ProgramData\\MySQL\\MySQL Server 8.0\\Uploads\\05k_SBER_7027group.pkl.csv";</v>
      </c>
    </row>
    <row r="48" spans="1:3" x14ac:dyDescent="0.3">
      <c r="A48" s="36" t="s">
        <v>495</v>
      </c>
      <c r="C48" t="str">
        <f t="shared" si="0"/>
        <v>select * from sber_parts where file='05k_SBER_7028group.pkl' order by pnl desc limit 1  INTO OUTFILE "C:\\ProgramData\\MySQL\\MySQL Server 8.0\\Uploads\\05k_SBER_7028group.pkl.csv";</v>
      </c>
    </row>
    <row r="49" spans="1:3" x14ac:dyDescent="0.3">
      <c r="A49" s="36" t="s">
        <v>496</v>
      </c>
      <c r="C49" t="str">
        <f t="shared" si="0"/>
        <v>select * from sber_parts where file='05k_SBER_7029group.pkl' order by pnl desc limit 1  INTO OUTFILE "C:\\ProgramData\\MySQL\\MySQL Server 8.0\\Uploads\\05k_SBER_7029group.pkl.csv";</v>
      </c>
    </row>
    <row r="50" spans="1:3" x14ac:dyDescent="0.3">
      <c r="A50" s="36" t="s">
        <v>497</v>
      </c>
      <c r="C50" t="str">
        <f t="shared" si="0"/>
        <v>select * from sber_parts where file='05k_SBER_7030group.pkl' order by pnl desc limit 1  INTO OUTFILE "C:\\ProgramData\\MySQL\\MySQL Server 8.0\\Uploads\\05k_SBER_7030group.pkl.csv";</v>
      </c>
    </row>
    <row r="51" spans="1:3" x14ac:dyDescent="0.3">
      <c r="A51" s="36" t="s">
        <v>498</v>
      </c>
      <c r="C51" t="str">
        <f t="shared" si="0"/>
        <v>select * from sber_parts where file='05k_SBER_7031group.pkl' order by pnl desc limit 1  INTO OUTFILE "C:\\ProgramData\\MySQL\\MySQL Server 8.0\\Uploads\\05k_SBER_7031group.pkl.csv";</v>
      </c>
    </row>
    <row r="52" spans="1:3" x14ac:dyDescent="0.3">
      <c r="A52" s="36" t="s">
        <v>499</v>
      </c>
      <c r="C52" t="str">
        <f t="shared" si="0"/>
        <v>select * from sber_parts where file='05k_SBER_7032group.pkl' order by pnl desc limit 1  INTO OUTFILE "C:\\ProgramData\\MySQL\\MySQL Server 8.0\\Uploads\\05k_SBER_7032group.pkl.csv";</v>
      </c>
    </row>
    <row r="53" spans="1:3" x14ac:dyDescent="0.3">
      <c r="A53" s="36" t="s">
        <v>500</v>
      </c>
      <c r="C53" t="str">
        <f t="shared" si="0"/>
        <v>select * from sber_parts where file='05k_SBER_7033group.pkl' order by pnl desc limit 1  INTO OUTFILE "C:\\ProgramData\\MySQL\\MySQL Server 8.0\\Uploads\\05k_SBER_7033group.pkl.csv";</v>
      </c>
    </row>
    <row r="54" spans="1:3" x14ac:dyDescent="0.3">
      <c r="A54" s="36" t="s">
        <v>501</v>
      </c>
      <c r="C54" t="str">
        <f t="shared" si="0"/>
        <v>select * from sber_parts where file='05k_SBER_7034group.pkl' order by pnl desc limit 1  INTO OUTFILE "C:\\ProgramData\\MySQL\\MySQL Server 8.0\\Uploads\\05k_SBER_7034group.pkl.csv";</v>
      </c>
    </row>
    <row r="55" spans="1:3" x14ac:dyDescent="0.3">
      <c r="A55" s="36" t="s">
        <v>502</v>
      </c>
      <c r="C55" t="str">
        <f t="shared" si="0"/>
        <v>select * from sber_parts where file='05k_SBER_7035group.pkl' order by pnl desc limit 1  INTO OUTFILE "C:\\ProgramData\\MySQL\\MySQL Server 8.0\\Uploads\\05k_SBER_7035group.pkl.csv";</v>
      </c>
    </row>
    <row r="56" spans="1:3" x14ac:dyDescent="0.3">
      <c r="A56" s="36" t="s">
        <v>503</v>
      </c>
      <c r="C56" t="str">
        <f t="shared" si="0"/>
        <v>select * from sber_parts where file='05k_SBER_7036group.pkl' order by pnl desc limit 1  INTO OUTFILE "C:\\ProgramData\\MySQL\\MySQL Server 8.0\\Uploads\\05k_SBER_7036group.pkl.csv";</v>
      </c>
    </row>
    <row r="57" spans="1:3" x14ac:dyDescent="0.3">
      <c r="A57" s="36" t="s">
        <v>504</v>
      </c>
      <c r="C57" t="str">
        <f t="shared" si="0"/>
        <v>select * from sber_parts where file='05k_SBER_7037group.pkl' order by pnl desc limit 1  INTO OUTFILE "C:\\ProgramData\\MySQL\\MySQL Server 8.0\\Uploads\\05k_SBER_7037group.pkl.csv";</v>
      </c>
    </row>
    <row r="58" spans="1:3" x14ac:dyDescent="0.3">
      <c r="A58" s="36" t="s">
        <v>505</v>
      </c>
      <c r="C58" t="str">
        <f t="shared" si="0"/>
        <v>select * from sber_parts where file='05k_SBER_7038group.pkl' order by pnl desc limit 1  INTO OUTFILE "C:\\ProgramData\\MySQL\\MySQL Server 8.0\\Uploads\\05k_SBER_7038group.pkl.csv";</v>
      </c>
    </row>
    <row r="59" spans="1:3" x14ac:dyDescent="0.3">
      <c r="A59" s="36" t="s">
        <v>506</v>
      </c>
      <c r="C59" t="str">
        <f t="shared" si="0"/>
        <v>select * from sber_parts where file='05k_SBER_7039group.pkl' order by pnl desc limit 1  INTO OUTFILE "C:\\ProgramData\\MySQL\\MySQL Server 8.0\\Uploads\\05k_SBER_7039group.pkl.csv";</v>
      </c>
    </row>
    <row r="60" spans="1:3" x14ac:dyDescent="0.3">
      <c r="A60" s="36" t="s">
        <v>507</v>
      </c>
      <c r="C60" t="str">
        <f t="shared" si="0"/>
        <v>select * from sber_parts where file='05k_SBER_7040group.pkl' order by pnl desc limit 1  INTO OUTFILE "C:\\ProgramData\\MySQL\\MySQL Server 8.0\\Uploads\\05k_SBER_7040group.pkl.csv";</v>
      </c>
    </row>
    <row r="61" spans="1:3" x14ac:dyDescent="0.3">
      <c r="A61" s="36" t="s">
        <v>508</v>
      </c>
      <c r="C61" t="str">
        <f t="shared" si="0"/>
        <v>select * from sber_parts where file='05k_SBER_7041group.pkl' order by pnl desc limit 1  INTO OUTFILE "C:\\ProgramData\\MySQL\\MySQL Server 8.0\\Uploads\\05k_SBER_7041group.pkl.csv";</v>
      </c>
    </row>
    <row r="62" spans="1:3" x14ac:dyDescent="0.3">
      <c r="A62" s="36" t="s">
        <v>509</v>
      </c>
      <c r="C62" t="str">
        <f t="shared" si="0"/>
        <v>select * from sber_parts where file='05k_SBER_7042group.pkl' order by pnl desc limit 1  INTO OUTFILE "C:\\ProgramData\\MySQL\\MySQL Server 8.0\\Uploads\\05k_SBER_7042group.pkl.csv";</v>
      </c>
    </row>
    <row r="63" spans="1:3" x14ac:dyDescent="0.3">
      <c r="A63" s="36" t="s">
        <v>510</v>
      </c>
      <c r="C63" t="str">
        <f t="shared" si="0"/>
        <v>select * from sber_parts where file='05k_SBER_7043group.pkl' order by pnl desc limit 1  INTO OUTFILE "C:\\ProgramData\\MySQL\\MySQL Server 8.0\\Uploads\\05k_SBER_7043group.pkl.csv";</v>
      </c>
    </row>
    <row r="64" spans="1:3" x14ac:dyDescent="0.3">
      <c r="A64" s="36" t="s">
        <v>511</v>
      </c>
      <c r="C64" t="str">
        <f t="shared" si="0"/>
        <v>select * from sber_parts where file='05k_SBER_7044group.pkl' order by pnl desc limit 1  INTO OUTFILE "C:\\ProgramData\\MySQL\\MySQL Server 8.0\\Uploads\\05k_SBER_7044group.pkl.csv";</v>
      </c>
    </row>
    <row r="65" spans="1:3" x14ac:dyDescent="0.3">
      <c r="A65" s="36" t="s">
        <v>512</v>
      </c>
      <c r="C65" t="str">
        <f t="shared" si="0"/>
        <v>select * from sber_parts where file='05k_SBER_7045group.pkl' order by pnl desc limit 1  INTO OUTFILE "C:\\ProgramData\\MySQL\\MySQL Server 8.0\\Uploads\\05k_SBER_7045group.pkl.csv";</v>
      </c>
    </row>
    <row r="66" spans="1:3" x14ac:dyDescent="0.3">
      <c r="A66" s="36" t="s">
        <v>513</v>
      </c>
      <c r="C66" t="str">
        <f t="shared" ref="C66:C129" si="1">"select * from sber_parts where file='"&amp;A66&amp;"' order by pnl desc limit 1  INTO OUTFILE ""C:\\ProgramData\\MySQL\\MySQL Server 8.0\\Uploads\\"&amp;A66&amp;".csv""" &amp;";"</f>
        <v>select * from sber_parts where file='05k_SBER_7046group.pkl' order by pnl desc limit 1  INTO OUTFILE "C:\\ProgramData\\MySQL\\MySQL Server 8.0\\Uploads\\05k_SBER_7046group.pkl.csv";</v>
      </c>
    </row>
    <row r="67" spans="1:3" x14ac:dyDescent="0.3">
      <c r="A67" s="36" t="s">
        <v>514</v>
      </c>
      <c r="C67" t="str">
        <f t="shared" si="1"/>
        <v>select * from sber_parts where file='05k_SBER_7047group.pkl' order by pnl desc limit 1  INTO OUTFILE "C:\\ProgramData\\MySQL\\MySQL Server 8.0\\Uploads\\05k_SBER_7047group.pkl.csv";</v>
      </c>
    </row>
    <row r="68" spans="1:3" x14ac:dyDescent="0.3">
      <c r="A68" s="36" t="s">
        <v>515</v>
      </c>
      <c r="C68" t="str">
        <f t="shared" si="1"/>
        <v>select * from sber_parts where file='05k_SBER_7048group.pkl' order by pnl desc limit 1  INTO OUTFILE "C:\\ProgramData\\MySQL\\MySQL Server 8.0\\Uploads\\05k_SBER_7048group.pkl.csv";</v>
      </c>
    </row>
    <row r="69" spans="1:3" x14ac:dyDescent="0.3">
      <c r="A69" s="36" t="s">
        <v>516</v>
      </c>
      <c r="C69" t="str">
        <f t="shared" si="1"/>
        <v>select * from sber_parts where file='05k_SBER_7049group.pkl' order by pnl desc limit 1  INTO OUTFILE "C:\\ProgramData\\MySQL\\MySQL Server 8.0\\Uploads\\05k_SBER_7049group.pkl.csv";</v>
      </c>
    </row>
    <row r="70" spans="1:3" x14ac:dyDescent="0.3">
      <c r="A70" s="36" t="s">
        <v>517</v>
      </c>
      <c r="C70" t="str">
        <f t="shared" si="1"/>
        <v>select * from sber_parts where file='05k_SBER_7050group.pkl' order by pnl desc limit 1  INTO OUTFILE "C:\\ProgramData\\MySQL\\MySQL Server 8.0\\Uploads\\05k_SBER_7050group.pkl.csv";</v>
      </c>
    </row>
    <row r="71" spans="1:3" x14ac:dyDescent="0.3">
      <c r="A71" s="36" t="s">
        <v>518</v>
      </c>
      <c r="C71" t="str">
        <f t="shared" si="1"/>
        <v>select * from sber_parts where file='05k_SBER_7051group.pkl' order by pnl desc limit 1  INTO OUTFILE "C:\\ProgramData\\MySQL\\MySQL Server 8.0\\Uploads\\05k_SBER_7051group.pkl.csv";</v>
      </c>
    </row>
    <row r="72" spans="1:3" x14ac:dyDescent="0.3">
      <c r="A72" s="36" t="s">
        <v>519</v>
      </c>
      <c r="C72" t="str">
        <f t="shared" si="1"/>
        <v>select * from sber_parts where file='05k_SBER_7052group.pkl' order by pnl desc limit 1  INTO OUTFILE "C:\\ProgramData\\MySQL\\MySQL Server 8.0\\Uploads\\05k_SBER_7052group.pkl.csv";</v>
      </c>
    </row>
    <row r="73" spans="1:3" x14ac:dyDescent="0.3">
      <c r="A73" s="36" t="s">
        <v>520</v>
      </c>
      <c r="C73" t="str">
        <f t="shared" si="1"/>
        <v>select * from sber_parts where file='05k_SBER_7053group.pkl' order by pnl desc limit 1  INTO OUTFILE "C:\\ProgramData\\MySQL\\MySQL Server 8.0\\Uploads\\05k_SBER_7053group.pkl.csv";</v>
      </c>
    </row>
    <row r="74" spans="1:3" x14ac:dyDescent="0.3">
      <c r="A74" s="36" t="s">
        <v>521</v>
      </c>
      <c r="C74" t="str">
        <f t="shared" si="1"/>
        <v>select * from sber_parts where file='05k_SBER_7054group.pkl' order by pnl desc limit 1  INTO OUTFILE "C:\\ProgramData\\MySQL\\MySQL Server 8.0\\Uploads\\05k_SBER_7054group.pkl.csv";</v>
      </c>
    </row>
    <row r="75" spans="1:3" x14ac:dyDescent="0.3">
      <c r="A75" s="36" t="s">
        <v>522</v>
      </c>
      <c r="C75" t="str">
        <f t="shared" si="1"/>
        <v>select * from sber_parts where file='05k_SBER_7055group.pkl' order by pnl desc limit 1  INTO OUTFILE "C:\\ProgramData\\MySQL\\MySQL Server 8.0\\Uploads\\05k_SBER_7055group.pkl.csv";</v>
      </c>
    </row>
    <row r="76" spans="1:3" x14ac:dyDescent="0.3">
      <c r="A76" s="36" t="s">
        <v>523</v>
      </c>
      <c r="C76" t="str">
        <f t="shared" si="1"/>
        <v>select * from sber_parts where file='05k_SBER_7056group.pkl' order by pnl desc limit 1  INTO OUTFILE "C:\\ProgramData\\MySQL\\MySQL Server 8.0\\Uploads\\05k_SBER_7056group.pkl.csv";</v>
      </c>
    </row>
    <row r="77" spans="1:3" x14ac:dyDescent="0.3">
      <c r="A77" s="36" t="s">
        <v>524</v>
      </c>
      <c r="C77" t="str">
        <f t="shared" si="1"/>
        <v>select * from sber_parts where file='05k_SBER_7057group.pkl' order by pnl desc limit 1  INTO OUTFILE "C:\\ProgramData\\MySQL\\MySQL Server 8.0\\Uploads\\05k_SBER_7057group.pkl.csv";</v>
      </c>
    </row>
    <row r="78" spans="1:3" x14ac:dyDescent="0.3">
      <c r="A78" s="36" t="s">
        <v>525</v>
      </c>
      <c r="C78" t="str">
        <f t="shared" si="1"/>
        <v>select * from sber_parts where file='05k_SBER_7058group.pkl' order by pnl desc limit 1  INTO OUTFILE "C:\\ProgramData\\MySQL\\MySQL Server 8.0\\Uploads\\05k_SBER_7058group.pkl.csv";</v>
      </c>
    </row>
    <row r="79" spans="1:3" x14ac:dyDescent="0.3">
      <c r="A79" s="36" t="s">
        <v>526</v>
      </c>
      <c r="C79" t="str">
        <f t="shared" si="1"/>
        <v>select * from sber_parts where file='05k_SBER_7059group.pkl' order by pnl desc limit 1  INTO OUTFILE "C:\\ProgramData\\MySQL\\MySQL Server 8.0\\Uploads\\05k_SBER_7059group.pkl.csv";</v>
      </c>
    </row>
    <row r="80" spans="1:3" x14ac:dyDescent="0.3">
      <c r="A80" s="36" t="s">
        <v>527</v>
      </c>
      <c r="C80" t="str">
        <f t="shared" si="1"/>
        <v>select * from sber_parts where file='05k_SBER_7060group.pkl' order by pnl desc limit 1  INTO OUTFILE "C:\\ProgramData\\MySQL\\MySQL Server 8.0\\Uploads\\05k_SBER_7060group.pkl.csv";</v>
      </c>
    </row>
    <row r="81" spans="1:3" x14ac:dyDescent="0.3">
      <c r="A81" s="36" t="s">
        <v>528</v>
      </c>
      <c r="C81" t="str">
        <f t="shared" si="1"/>
        <v>select * from sber_parts where file='05k_SBER_7061group.pkl' order by pnl desc limit 1  INTO OUTFILE "C:\\ProgramData\\MySQL\\MySQL Server 8.0\\Uploads\\05k_SBER_7061group.pkl.csv";</v>
      </c>
    </row>
    <row r="82" spans="1:3" x14ac:dyDescent="0.3">
      <c r="A82" s="36" t="s">
        <v>529</v>
      </c>
      <c r="C82" t="str">
        <f t="shared" si="1"/>
        <v>select * from sber_parts where file='05k_SBER_7062group.pkl' order by pnl desc limit 1  INTO OUTFILE "C:\\ProgramData\\MySQL\\MySQL Server 8.0\\Uploads\\05k_SBER_7062group.pkl.csv";</v>
      </c>
    </row>
    <row r="83" spans="1:3" x14ac:dyDescent="0.3">
      <c r="A83" s="36" t="s">
        <v>530</v>
      </c>
      <c r="C83" t="str">
        <f t="shared" si="1"/>
        <v>select * from sber_parts where file='05k_SBER_7063group.pkl' order by pnl desc limit 1  INTO OUTFILE "C:\\ProgramData\\MySQL\\MySQL Server 8.0\\Uploads\\05k_SBER_7063group.pkl.csv";</v>
      </c>
    </row>
    <row r="84" spans="1:3" x14ac:dyDescent="0.3">
      <c r="A84" s="36" t="s">
        <v>531</v>
      </c>
      <c r="C84" t="str">
        <f t="shared" si="1"/>
        <v>select * from sber_parts where file='05k_SBER_7064group.pkl' order by pnl desc limit 1  INTO OUTFILE "C:\\ProgramData\\MySQL\\MySQL Server 8.0\\Uploads\\05k_SBER_7064group.pkl.csv";</v>
      </c>
    </row>
    <row r="85" spans="1:3" x14ac:dyDescent="0.3">
      <c r="A85" s="36" t="s">
        <v>532</v>
      </c>
      <c r="C85" t="str">
        <f t="shared" si="1"/>
        <v>select * from sber_parts where file='05k_SBER_7065group.pkl' order by pnl desc limit 1  INTO OUTFILE "C:\\ProgramData\\MySQL\\MySQL Server 8.0\\Uploads\\05k_SBER_7065group.pkl.csv";</v>
      </c>
    </row>
    <row r="86" spans="1:3" x14ac:dyDescent="0.3">
      <c r="A86" s="36" t="s">
        <v>533</v>
      </c>
      <c r="C86" t="str">
        <f t="shared" si="1"/>
        <v>select * from sber_parts where file='05k_SBER_7066group.pkl' order by pnl desc limit 1  INTO OUTFILE "C:\\ProgramData\\MySQL\\MySQL Server 8.0\\Uploads\\05k_SBER_7066group.pkl.csv";</v>
      </c>
    </row>
    <row r="87" spans="1:3" x14ac:dyDescent="0.3">
      <c r="A87" s="36" t="s">
        <v>534</v>
      </c>
      <c r="C87" t="str">
        <f t="shared" si="1"/>
        <v>select * from sber_parts where file='05k_SBER_7067group.pkl' order by pnl desc limit 1  INTO OUTFILE "C:\\ProgramData\\MySQL\\MySQL Server 8.0\\Uploads\\05k_SBER_7067group.pkl.csv";</v>
      </c>
    </row>
    <row r="88" spans="1:3" x14ac:dyDescent="0.3">
      <c r="A88" s="36" t="s">
        <v>535</v>
      </c>
      <c r="C88" t="str">
        <f t="shared" si="1"/>
        <v>select * from sber_parts where file='05k_SBER_7068group.pkl' order by pnl desc limit 1  INTO OUTFILE "C:\\ProgramData\\MySQL\\MySQL Server 8.0\\Uploads\\05k_SBER_7068group.pkl.csv";</v>
      </c>
    </row>
    <row r="89" spans="1:3" x14ac:dyDescent="0.3">
      <c r="A89" s="36" t="s">
        <v>536</v>
      </c>
      <c r="C89" t="str">
        <f t="shared" si="1"/>
        <v>select * from sber_parts where file='05k_SBER_7069group.pkl' order by pnl desc limit 1  INTO OUTFILE "C:\\ProgramData\\MySQL\\MySQL Server 8.0\\Uploads\\05k_SBER_7069group.pkl.csv";</v>
      </c>
    </row>
    <row r="90" spans="1:3" x14ac:dyDescent="0.3">
      <c r="A90" s="36" t="s">
        <v>537</v>
      </c>
      <c r="C90" t="str">
        <f t="shared" si="1"/>
        <v>select * from sber_parts where file='05k_SBER_7070group.pkl' order by pnl desc limit 1  INTO OUTFILE "C:\\ProgramData\\MySQL\\MySQL Server 8.0\\Uploads\\05k_SBER_7070group.pkl.csv";</v>
      </c>
    </row>
    <row r="91" spans="1:3" x14ac:dyDescent="0.3">
      <c r="A91" s="36" t="s">
        <v>538</v>
      </c>
      <c r="C91" t="str">
        <f t="shared" si="1"/>
        <v>select * from sber_parts where file='05k_SBER_7071group.pkl' order by pnl desc limit 1  INTO OUTFILE "C:\\ProgramData\\MySQL\\MySQL Server 8.0\\Uploads\\05k_SBER_7071group.pkl.csv";</v>
      </c>
    </row>
    <row r="92" spans="1:3" x14ac:dyDescent="0.3">
      <c r="A92" s="36" t="s">
        <v>539</v>
      </c>
      <c r="C92" t="str">
        <f t="shared" si="1"/>
        <v>select * from sber_parts where file='05k_SBER_7072group.pkl' order by pnl desc limit 1  INTO OUTFILE "C:\\ProgramData\\MySQL\\MySQL Server 8.0\\Uploads\\05k_SBER_7072group.pkl.csv";</v>
      </c>
    </row>
    <row r="93" spans="1:3" x14ac:dyDescent="0.3">
      <c r="A93" s="36" t="s">
        <v>540</v>
      </c>
      <c r="C93" t="str">
        <f t="shared" si="1"/>
        <v>select * from sber_parts where file='05k_SBER_7073group.pkl' order by pnl desc limit 1  INTO OUTFILE "C:\\ProgramData\\MySQL\\MySQL Server 8.0\\Uploads\\05k_SBER_7073group.pkl.csv";</v>
      </c>
    </row>
    <row r="94" spans="1:3" x14ac:dyDescent="0.3">
      <c r="A94" s="36" t="s">
        <v>541</v>
      </c>
      <c r="C94" t="str">
        <f t="shared" si="1"/>
        <v>select * from sber_parts where file='05k_SBER_7074group.pkl' order by pnl desc limit 1  INTO OUTFILE "C:\\ProgramData\\MySQL\\MySQL Server 8.0\\Uploads\\05k_SBER_7074group.pkl.csv";</v>
      </c>
    </row>
    <row r="95" spans="1:3" x14ac:dyDescent="0.3">
      <c r="A95" s="36" t="s">
        <v>542</v>
      </c>
      <c r="C95" t="str">
        <f t="shared" si="1"/>
        <v>select * from sber_parts where file='05k_SBER_7075group.pkl' order by pnl desc limit 1  INTO OUTFILE "C:\\ProgramData\\MySQL\\MySQL Server 8.0\\Uploads\\05k_SBER_7075group.pkl.csv";</v>
      </c>
    </row>
    <row r="96" spans="1:3" x14ac:dyDescent="0.3">
      <c r="A96" s="36" t="s">
        <v>543</v>
      </c>
      <c r="C96" t="str">
        <f t="shared" si="1"/>
        <v>select * from sber_parts where file='05k_SBER_7076group.pkl' order by pnl desc limit 1  INTO OUTFILE "C:\\ProgramData\\MySQL\\MySQL Server 8.0\\Uploads\\05k_SBER_7076group.pkl.csv";</v>
      </c>
    </row>
    <row r="97" spans="1:3" x14ac:dyDescent="0.3">
      <c r="A97" s="36" t="s">
        <v>544</v>
      </c>
      <c r="C97" t="str">
        <f t="shared" si="1"/>
        <v>select * from sber_parts where file='05k_SBER_7077group.pkl' order by pnl desc limit 1  INTO OUTFILE "C:\\ProgramData\\MySQL\\MySQL Server 8.0\\Uploads\\05k_SBER_7077group.pkl.csv";</v>
      </c>
    </row>
    <row r="98" spans="1:3" x14ac:dyDescent="0.3">
      <c r="A98" s="36" t="s">
        <v>545</v>
      </c>
      <c r="C98" t="str">
        <f t="shared" si="1"/>
        <v>select * from sber_parts where file='05k_SBER_7078group.pkl' order by pnl desc limit 1  INTO OUTFILE "C:\\ProgramData\\MySQL\\MySQL Server 8.0\\Uploads\\05k_SBER_7078group.pkl.csv";</v>
      </c>
    </row>
    <row r="99" spans="1:3" x14ac:dyDescent="0.3">
      <c r="A99" s="36" t="s">
        <v>546</v>
      </c>
      <c r="C99" t="str">
        <f t="shared" si="1"/>
        <v>select * from sber_parts where file='05k_SBER_7079group.pkl' order by pnl desc limit 1  INTO OUTFILE "C:\\ProgramData\\MySQL\\MySQL Server 8.0\\Uploads\\05k_SBER_7079group.pkl.csv";</v>
      </c>
    </row>
    <row r="100" spans="1:3" x14ac:dyDescent="0.3">
      <c r="A100" s="36" t="s">
        <v>547</v>
      </c>
      <c r="C100" t="str">
        <f t="shared" si="1"/>
        <v>select * from sber_parts where file='05k_SBER_7080group.pkl' order by pnl desc limit 1  INTO OUTFILE "C:\\ProgramData\\MySQL\\MySQL Server 8.0\\Uploads\\05k_SBER_7080group.pkl.csv";</v>
      </c>
    </row>
    <row r="101" spans="1:3" x14ac:dyDescent="0.3">
      <c r="A101" s="36" t="s">
        <v>548</v>
      </c>
      <c r="C101" t="str">
        <f t="shared" si="1"/>
        <v>select * from sber_parts where file='05k_SBER_7081group.pkl' order by pnl desc limit 1  INTO OUTFILE "C:\\ProgramData\\MySQL\\MySQL Server 8.0\\Uploads\\05k_SBER_7081group.pkl.csv";</v>
      </c>
    </row>
    <row r="102" spans="1:3" x14ac:dyDescent="0.3">
      <c r="A102" s="36" t="s">
        <v>549</v>
      </c>
      <c r="C102" t="str">
        <f t="shared" si="1"/>
        <v>select * from sber_parts where file='05k_SBER_7082group.pkl' order by pnl desc limit 1  INTO OUTFILE "C:\\ProgramData\\MySQL\\MySQL Server 8.0\\Uploads\\05k_SBER_7082group.pkl.csv";</v>
      </c>
    </row>
    <row r="103" spans="1:3" x14ac:dyDescent="0.3">
      <c r="A103" s="36" t="s">
        <v>550</v>
      </c>
      <c r="C103" t="str">
        <f t="shared" si="1"/>
        <v>select * from sber_parts where file='05k_SBER_7083group.pkl' order by pnl desc limit 1  INTO OUTFILE "C:\\ProgramData\\MySQL\\MySQL Server 8.0\\Uploads\\05k_SBER_7083group.pkl.csv";</v>
      </c>
    </row>
    <row r="104" spans="1:3" x14ac:dyDescent="0.3">
      <c r="A104" s="36" t="s">
        <v>551</v>
      </c>
      <c r="C104" t="str">
        <f t="shared" si="1"/>
        <v>select * from sber_parts where file='05k_SBER_7084group.pkl' order by pnl desc limit 1  INTO OUTFILE "C:\\ProgramData\\MySQL\\MySQL Server 8.0\\Uploads\\05k_SBER_7084group.pkl.csv";</v>
      </c>
    </row>
    <row r="105" spans="1:3" x14ac:dyDescent="0.3">
      <c r="A105" s="36" t="s">
        <v>552</v>
      </c>
      <c r="C105" t="str">
        <f t="shared" si="1"/>
        <v>select * from sber_parts where file='05k_SBER_7085group.pkl' order by pnl desc limit 1  INTO OUTFILE "C:\\ProgramData\\MySQL\\MySQL Server 8.0\\Uploads\\05k_SBER_7085group.pkl.csv";</v>
      </c>
    </row>
    <row r="106" spans="1:3" x14ac:dyDescent="0.3">
      <c r="A106" s="36" t="s">
        <v>553</v>
      </c>
      <c r="C106" t="str">
        <f t="shared" si="1"/>
        <v>select * from sber_parts where file='05k_SBER_7086group.pkl' order by pnl desc limit 1  INTO OUTFILE "C:\\ProgramData\\MySQL\\MySQL Server 8.0\\Uploads\\05k_SBER_7086group.pkl.csv";</v>
      </c>
    </row>
    <row r="107" spans="1:3" x14ac:dyDescent="0.3">
      <c r="A107" s="36" t="s">
        <v>554</v>
      </c>
      <c r="C107" t="str">
        <f t="shared" si="1"/>
        <v>select * from sber_parts where file='05k_SBER_7087group.pkl' order by pnl desc limit 1  INTO OUTFILE "C:\\ProgramData\\MySQL\\MySQL Server 8.0\\Uploads\\05k_SBER_7087group.pkl.csv";</v>
      </c>
    </row>
    <row r="108" spans="1:3" x14ac:dyDescent="0.3">
      <c r="A108" s="36" t="s">
        <v>555</v>
      </c>
      <c r="C108" t="str">
        <f t="shared" si="1"/>
        <v>select * from sber_parts where file='05k_SBER_7088group.pkl' order by pnl desc limit 1  INTO OUTFILE "C:\\ProgramData\\MySQL\\MySQL Server 8.0\\Uploads\\05k_SBER_7088group.pkl.csv";</v>
      </c>
    </row>
    <row r="109" spans="1:3" x14ac:dyDescent="0.3">
      <c r="A109" s="36" t="s">
        <v>556</v>
      </c>
      <c r="C109" t="str">
        <f t="shared" si="1"/>
        <v>select * from sber_parts where file='05k_SBER_7089group.pkl' order by pnl desc limit 1  INTO OUTFILE "C:\\ProgramData\\MySQL\\MySQL Server 8.0\\Uploads\\05k_SBER_7089group.pkl.csv";</v>
      </c>
    </row>
    <row r="110" spans="1:3" x14ac:dyDescent="0.3">
      <c r="A110" s="36" t="s">
        <v>557</v>
      </c>
      <c r="C110" t="str">
        <f t="shared" si="1"/>
        <v>select * from sber_parts where file='05k_SBER_7090group.pkl' order by pnl desc limit 1  INTO OUTFILE "C:\\ProgramData\\MySQL\\MySQL Server 8.0\\Uploads\\05k_SBER_7090group.pkl.csv";</v>
      </c>
    </row>
    <row r="111" spans="1:3" x14ac:dyDescent="0.3">
      <c r="A111" s="36" t="s">
        <v>558</v>
      </c>
      <c r="C111" t="str">
        <f t="shared" si="1"/>
        <v>select * from sber_parts where file='05k_SBER_7091group.pkl' order by pnl desc limit 1  INTO OUTFILE "C:\\ProgramData\\MySQL\\MySQL Server 8.0\\Uploads\\05k_SBER_7091group.pkl.csv";</v>
      </c>
    </row>
    <row r="112" spans="1:3" x14ac:dyDescent="0.3">
      <c r="A112" s="36" t="s">
        <v>559</v>
      </c>
      <c r="C112" t="str">
        <f t="shared" si="1"/>
        <v>select * from sber_parts where file='05k_SBER_7092group.pkl' order by pnl desc limit 1  INTO OUTFILE "C:\\ProgramData\\MySQL\\MySQL Server 8.0\\Uploads\\05k_SBER_7092group.pkl.csv";</v>
      </c>
    </row>
    <row r="113" spans="1:3" x14ac:dyDescent="0.3">
      <c r="A113" s="36" t="s">
        <v>560</v>
      </c>
      <c r="C113" t="str">
        <f t="shared" si="1"/>
        <v>select * from sber_parts where file='05k_SBER_7093group.pkl' order by pnl desc limit 1  INTO OUTFILE "C:\\ProgramData\\MySQL\\MySQL Server 8.0\\Uploads\\05k_SBER_7093group.pkl.csv";</v>
      </c>
    </row>
    <row r="114" spans="1:3" x14ac:dyDescent="0.3">
      <c r="A114" s="36" t="s">
        <v>561</v>
      </c>
      <c r="C114" t="str">
        <f t="shared" si="1"/>
        <v>select * from sber_parts where file='05k_SBER_7094group.pkl' order by pnl desc limit 1  INTO OUTFILE "C:\\ProgramData\\MySQL\\MySQL Server 8.0\\Uploads\\05k_SBER_7094group.pkl.csv";</v>
      </c>
    </row>
    <row r="115" spans="1:3" x14ac:dyDescent="0.3">
      <c r="A115" s="36" t="s">
        <v>562</v>
      </c>
      <c r="C115" t="str">
        <f t="shared" si="1"/>
        <v>select * from sber_parts where file='05k_SBER_7095group.pkl' order by pnl desc limit 1  INTO OUTFILE "C:\\ProgramData\\MySQL\\MySQL Server 8.0\\Uploads\\05k_SBER_7095group.pkl.csv";</v>
      </c>
    </row>
    <row r="116" spans="1:3" x14ac:dyDescent="0.3">
      <c r="A116" s="36" t="s">
        <v>563</v>
      </c>
      <c r="C116" t="str">
        <f t="shared" si="1"/>
        <v>select * from sber_parts where file='05k_SBER_7096group.pkl' order by pnl desc limit 1  INTO OUTFILE "C:\\ProgramData\\MySQL\\MySQL Server 8.0\\Uploads\\05k_SBER_7096group.pkl.csv";</v>
      </c>
    </row>
    <row r="117" spans="1:3" x14ac:dyDescent="0.3">
      <c r="A117" s="36" t="s">
        <v>564</v>
      </c>
      <c r="C117" t="str">
        <f t="shared" si="1"/>
        <v>select * from sber_parts where file='05k_SBER_7097group.pkl' order by pnl desc limit 1  INTO OUTFILE "C:\\ProgramData\\MySQL\\MySQL Server 8.0\\Uploads\\05k_SBER_7097group.pkl.csv";</v>
      </c>
    </row>
    <row r="118" spans="1:3" x14ac:dyDescent="0.3">
      <c r="A118" s="36" t="s">
        <v>565</v>
      </c>
      <c r="C118" t="str">
        <f t="shared" si="1"/>
        <v>select * from sber_parts where file='05k_SBER_7098group.pkl' order by pnl desc limit 1  INTO OUTFILE "C:\\ProgramData\\MySQL\\MySQL Server 8.0\\Uploads\\05k_SBER_7098group.pkl.csv";</v>
      </c>
    </row>
    <row r="119" spans="1:3" x14ac:dyDescent="0.3">
      <c r="A119" s="36" t="s">
        <v>566</v>
      </c>
      <c r="C119" t="str">
        <f t="shared" si="1"/>
        <v>select * from sber_parts where file='05k_SBER_7099group.pkl' order by pnl desc limit 1  INTO OUTFILE "C:\\ProgramData\\MySQL\\MySQL Server 8.0\\Uploads\\05k_SBER_7099group.pkl.csv";</v>
      </c>
    </row>
    <row r="120" spans="1:3" x14ac:dyDescent="0.3">
      <c r="A120" s="36" t="s">
        <v>567</v>
      </c>
      <c r="C120" t="str">
        <f t="shared" si="1"/>
        <v>select * from sber_parts where file='05k_SBER_7100group.pkl' order by pnl desc limit 1  INTO OUTFILE "C:\\ProgramData\\MySQL\\MySQL Server 8.0\\Uploads\\05k_SBER_7100group.pkl.csv";</v>
      </c>
    </row>
    <row r="121" spans="1:3" x14ac:dyDescent="0.3">
      <c r="A121" s="36" t="s">
        <v>568</v>
      </c>
      <c r="C121" t="str">
        <f t="shared" si="1"/>
        <v>select * from sber_parts where file='05k_SBER_8001group.pkl' order by pnl desc limit 1  INTO OUTFILE "C:\\ProgramData\\MySQL\\MySQL Server 8.0\\Uploads\\05k_SBER_8001group.pkl.csv";</v>
      </c>
    </row>
    <row r="122" spans="1:3" x14ac:dyDescent="0.3">
      <c r="A122" s="36" t="s">
        <v>569</v>
      </c>
      <c r="C122" t="str">
        <f t="shared" si="1"/>
        <v>select * from sber_parts where file='05k_SBER_8002group.pkl' order by pnl desc limit 1  INTO OUTFILE "C:\\ProgramData\\MySQL\\MySQL Server 8.0\\Uploads\\05k_SBER_8002group.pkl.csv";</v>
      </c>
    </row>
    <row r="123" spans="1:3" x14ac:dyDescent="0.3">
      <c r="A123" s="36" t="s">
        <v>570</v>
      </c>
      <c r="C123" t="str">
        <f t="shared" si="1"/>
        <v>select * from sber_parts where file='05k_SBER_8003group.pkl' order by pnl desc limit 1  INTO OUTFILE "C:\\ProgramData\\MySQL\\MySQL Server 8.0\\Uploads\\05k_SBER_8003group.pkl.csv";</v>
      </c>
    </row>
    <row r="124" spans="1:3" x14ac:dyDescent="0.3">
      <c r="A124" s="36" t="s">
        <v>571</v>
      </c>
      <c r="C124" t="str">
        <f t="shared" si="1"/>
        <v>select * from sber_parts where file='05k_SBER_8004group.pkl' order by pnl desc limit 1  INTO OUTFILE "C:\\ProgramData\\MySQL\\MySQL Server 8.0\\Uploads\\05k_SBER_8004group.pkl.csv";</v>
      </c>
    </row>
    <row r="125" spans="1:3" x14ac:dyDescent="0.3">
      <c r="A125" s="36" t="s">
        <v>572</v>
      </c>
      <c r="C125" t="str">
        <f t="shared" si="1"/>
        <v>select * from sber_parts where file='05k_SBER_8005group.pkl' order by pnl desc limit 1  INTO OUTFILE "C:\\ProgramData\\MySQL\\MySQL Server 8.0\\Uploads\\05k_SBER_8005group.pkl.csv";</v>
      </c>
    </row>
    <row r="126" spans="1:3" x14ac:dyDescent="0.3">
      <c r="A126" s="36" t="s">
        <v>573</v>
      </c>
      <c r="C126" t="str">
        <f t="shared" si="1"/>
        <v>select * from sber_parts where file='05k_SBER_8006group.pkl' order by pnl desc limit 1  INTO OUTFILE "C:\\ProgramData\\MySQL\\MySQL Server 8.0\\Uploads\\05k_SBER_8006group.pkl.csv";</v>
      </c>
    </row>
    <row r="127" spans="1:3" x14ac:dyDescent="0.3">
      <c r="A127" s="36" t="s">
        <v>574</v>
      </c>
      <c r="C127" t="str">
        <f t="shared" si="1"/>
        <v>select * from sber_parts where file='05k_SBER_8007group.pkl' order by pnl desc limit 1  INTO OUTFILE "C:\\ProgramData\\MySQL\\MySQL Server 8.0\\Uploads\\05k_SBER_8007group.pkl.csv";</v>
      </c>
    </row>
    <row r="128" spans="1:3" x14ac:dyDescent="0.3">
      <c r="A128" s="36" t="s">
        <v>575</v>
      </c>
      <c r="C128" t="str">
        <f t="shared" si="1"/>
        <v>select * from sber_parts where file='05k_SBER_8008group.pkl' order by pnl desc limit 1  INTO OUTFILE "C:\\ProgramData\\MySQL\\MySQL Server 8.0\\Uploads\\05k_SBER_8008group.pkl.csv";</v>
      </c>
    </row>
    <row r="129" spans="1:3" x14ac:dyDescent="0.3">
      <c r="A129" s="36" t="s">
        <v>576</v>
      </c>
      <c r="C129" t="str">
        <f t="shared" si="1"/>
        <v>select * from sber_parts where file='05k_SBER_8009group.pkl' order by pnl desc limit 1  INTO OUTFILE "C:\\ProgramData\\MySQL\\MySQL Server 8.0\\Uploads\\05k_SBER_8009group.pkl.csv";</v>
      </c>
    </row>
    <row r="130" spans="1:3" x14ac:dyDescent="0.3">
      <c r="A130" s="36" t="s">
        <v>577</v>
      </c>
      <c r="C130" t="str">
        <f t="shared" ref="C130:C193" si="2">"select * from sber_parts where file='"&amp;A130&amp;"' order by pnl desc limit 1  INTO OUTFILE ""C:\\ProgramData\\MySQL\\MySQL Server 8.0\\Uploads\\"&amp;A130&amp;".csv""" &amp;";"</f>
        <v>select * from sber_parts where file='05k_SBER_8010group.pkl' order by pnl desc limit 1  INTO OUTFILE "C:\\ProgramData\\MySQL\\MySQL Server 8.0\\Uploads\\05k_SBER_8010group.pkl.csv";</v>
      </c>
    </row>
    <row r="131" spans="1:3" x14ac:dyDescent="0.3">
      <c r="A131" s="36" t="s">
        <v>578</v>
      </c>
      <c r="C131" t="str">
        <f t="shared" si="2"/>
        <v>select * from sber_parts where file='05k_SBER_8011group.pkl' order by pnl desc limit 1  INTO OUTFILE "C:\\ProgramData\\MySQL\\MySQL Server 8.0\\Uploads\\05k_SBER_8011group.pkl.csv";</v>
      </c>
    </row>
    <row r="132" spans="1:3" x14ac:dyDescent="0.3">
      <c r="A132" s="36" t="s">
        <v>579</v>
      </c>
      <c r="C132" t="str">
        <f t="shared" si="2"/>
        <v>select * from sber_parts where file='05k_SBER_8012group.pkl' order by pnl desc limit 1  INTO OUTFILE "C:\\ProgramData\\MySQL\\MySQL Server 8.0\\Uploads\\05k_SBER_8012group.pkl.csv";</v>
      </c>
    </row>
    <row r="133" spans="1:3" x14ac:dyDescent="0.3">
      <c r="A133" s="36" t="s">
        <v>580</v>
      </c>
      <c r="C133" t="str">
        <f t="shared" si="2"/>
        <v>select * from sber_parts where file='05k_SBER_8013group.pkl' order by pnl desc limit 1  INTO OUTFILE "C:\\ProgramData\\MySQL\\MySQL Server 8.0\\Uploads\\05k_SBER_8013group.pkl.csv";</v>
      </c>
    </row>
    <row r="134" spans="1:3" x14ac:dyDescent="0.3">
      <c r="A134" s="36" t="s">
        <v>581</v>
      </c>
      <c r="C134" t="str">
        <f t="shared" si="2"/>
        <v>select * from sber_parts where file='05k_SBER_8014group.pkl' order by pnl desc limit 1  INTO OUTFILE "C:\\ProgramData\\MySQL\\MySQL Server 8.0\\Uploads\\05k_SBER_8014group.pkl.csv";</v>
      </c>
    </row>
    <row r="135" spans="1:3" x14ac:dyDescent="0.3">
      <c r="A135" s="36" t="s">
        <v>582</v>
      </c>
      <c r="C135" t="str">
        <f t="shared" si="2"/>
        <v>select * from sber_parts where file='05k_SBER_8015group.pkl' order by pnl desc limit 1  INTO OUTFILE "C:\\ProgramData\\MySQL\\MySQL Server 8.0\\Uploads\\05k_SBER_8015group.pkl.csv";</v>
      </c>
    </row>
    <row r="136" spans="1:3" x14ac:dyDescent="0.3">
      <c r="A136" s="36" t="s">
        <v>583</v>
      </c>
      <c r="C136" t="str">
        <f t="shared" si="2"/>
        <v>select * from sber_parts where file='05k_SBER_8016group.pkl' order by pnl desc limit 1  INTO OUTFILE "C:\\ProgramData\\MySQL\\MySQL Server 8.0\\Uploads\\05k_SBER_8016group.pkl.csv";</v>
      </c>
    </row>
    <row r="137" spans="1:3" x14ac:dyDescent="0.3">
      <c r="A137" s="36" t="s">
        <v>584</v>
      </c>
      <c r="C137" t="str">
        <f t="shared" si="2"/>
        <v>select * from sber_parts where file='05k_SBER_8017group.pkl' order by pnl desc limit 1  INTO OUTFILE "C:\\ProgramData\\MySQL\\MySQL Server 8.0\\Uploads\\05k_SBER_8017group.pkl.csv";</v>
      </c>
    </row>
    <row r="138" spans="1:3" x14ac:dyDescent="0.3">
      <c r="A138" s="36" t="s">
        <v>585</v>
      </c>
      <c r="C138" t="str">
        <f t="shared" si="2"/>
        <v>select * from sber_parts where file='05k_SBER_8018group.pkl' order by pnl desc limit 1  INTO OUTFILE "C:\\ProgramData\\MySQL\\MySQL Server 8.0\\Uploads\\05k_SBER_8018group.pkl.csv";</v>
      </c>
    </row>
    <row r="139" spans="1:3" x14ac:dyDescent="0.3">
      <c r="A139" s="36" t="s">
        <v>586</v>
      </c>
      <c r="C139" t="str">
        <f t="shared" si="2"/>
        <v>select * from sber_parts where file='05k_SBER_8019group.pkl' order by pnl desc limit 1  INTO OUTFILE "C:\\ProgramData\\MySQL\\MySQL Server 8.0\\Uploads\\05k_SBER_8019group.pkl.csv";</v>
      </c>
    </row>
    <row r="140" spans="1:3" x14ac:dyDescent="0.3">
      <c r="A140" s="36" t="s">
        <v>587</v>
      </c>
      <c r="C140" t="str">
        <f t="shared" si="2"/>
        <v>select * from sber_parts where file='05k_SBER_8020group.pkl' order by pnl desc limit 1  INTO OUTFILE "C:\\ProgramData\\MySQL\\MySQL Server 8.0\\Uploads\\05k_SBER_8020group.pkl.csv";</v>
      </c>
    </row>
    <row r="141" spans="1:3" x14ac:dyDescent="0.3">
      <c r="A141" s="36" t="s">
        <v>588</v>
      </c>
      <c r="C141" t="str">
        <f t="shared" si="2"/>
        <v>select * from sber_parts where file='05k_SBER_8021group.pkl' order by pnl desc limit 1  INTO OUTFILE "C:\\ProgramData\\MySQL\\MySQL Server 8.0\\Uploads\\05k_SBER_8021group.pkl.csv";</v>
      </c>
    </row>
    <row r="142" spans="1:3" x14ac:dyDescent="0.3">
      <c r="A142" s="36" t="s">
        <v>589</v>
      </c>
      <c r="C142" t="str">
        <f t="shared" si="2"/>
        <v>select * from sber_parts where file='05k_SBER_8022group.pkl' order by pnl desc limit 1  INTO OUTFILE "C:\\ProgramData\\MySQL\\MySQL Server 8.0\\Uploads\\05k_SBER_8022group.pkl.csv";</v>
      </c>
    </row>
    <row r="143" spans="1:3" x14ac:dyDescent="0.3">
      <c r="A143" s="36" t="s">
        <v>590</v>
      </c>
      <c r="C143" t="str">
        <f t="shared" si="2"/>
        <v>select * from sber_parts where file='05k_SBER_8023group.pkl' order by pnl desc limit 1  INTO OUTFILE "C:\\ProgramData\\MySQL\\MySQL Server 8.0\\Uploads\\05k_SBER_8023group.pkl.csv";</v>
      </c>
    </row>
    <row r="144" spans="1:3" x14ac:dyDescent="0.3">
      <c r="A144" s="36" t="s">
        <v>591</v>
      </c>
      <c r="C144" t="str">
        <f t="shared" si="2"/>
        <v>select * from sber_parts where file='05k_SBER_8024group.pkl' order by pnl desc limit 1  INTO OUTFILE "C:\\ProgramData\\MySQL\\MySQL Server 8.0\\Uploads\\05k_SBER_8024group.pkl.csv";</v>
      </c>
    </row>
    <row r="145" spans="1:3" x14ac:dyDescent="0.3">
      <c r="A145" s="36" t="s">
        <v>592</v>
      </c>
      <c r="C145" t="str">
        <f t="shared" si="2"/>
        <v>select * from sber_parts where file='05k_SBER_8025group.pkl' order by pnl desc limit 1  INTO OUTFILE "C:\\ProgramData\\MySQL\\MySQL Server 8.0\\Uploads\\05k_SBER_8025group.pkl.csv";</v>
      </c>
    </row>
    <row r="146" spans="1:3" x14ac:dyDescent="0.3">
      <c r="A146" s="36" t="s">
        <v>593</v>
      </c>
      <c r="C146" t="str">
        <f t="shared" si="2"/>
        <v>select * from sber_parts where file='05k_SBER_8026group.pkl' order by pnl desc limit 1  INTO OUTFILE "C:\\ProgramData\\MySQL\\MySQL Server 8.0\\Uploads\\05k_SBER_8026group.pkl.csv";</v>
      </c>
    </row>
    <row r="147" spans="1:3" x14ac:dyDescent="0.3">
      <c r="A147" s="36" t="s">
        <v>594</v>
      </c>
      <c r="C147" t="str">
        <f t="shared" si="2"/>
        <v>select * from sber_parts where file='05k_SBER_8027group.pkl' order by pnl desc limit 1  INTO OUTFILE "C:\\ProgramData\\MySQL\\MySQL Server 8.0\\Uploads\\05k_SBER_8027group.pkl.csv";</v>
      </c>
    </row>
    <row r="148" spans="1:3" x14ac:dyDescent="0.3">
      <c r="A148" s="36" t="s">
        <v>595</v>
      </c>
      <c r="C148" t="str">
        <f t="shared" si="2"/>
        <v>select * from sber_parts where file='05k_SBER_8028group.pkl' order by pnl desc limit 1  INTO OUTFILE "C:\\ProgramData\\MySQL\\MySQL Server 8.0\\Uploads\\05k_SBER_8028group.pkl.csv";</v>
      </c>
    </row>
    <row r="149" spans="1:3" x14ac:dyDescent="0.3">
      <c r="A149" s="36" t="s">
        <v>596</v>
      </c>
      <c r="C149" t="str">
        <f t="shared" si="2"/>
        <v>select * from sber_parts where file='05k_SBER_8029group.pkl' order by pnl desc limit 1  INTO OUTFILE "C:\\ProgramData\\MySQL\\MySQL Server 8.0\\Uploads\\05k_SBER_8029group.pkl.csv";</v>
      </c>
    </row>
    <row r="150" spans="1:3" x14ac:dyDescent="0.3">
      <c r="A150" s="36" t="s">
        <v>597</v>
      </c>
      <c r="C150" t="str">
        <f t="shared" si="2"/>
        <v>select * from sber_parts where file='05k_SBER_8030group.pkl' order by pnl desc limit 1  INTO OUTFILE "C:\\ProgramData\\MySQL\\MySQL Server 8.0\\Uploads\\05k_SBER_8030group.pkl.csv";</v>
      </c>
    </row>
    <row r="151" spans="1:3" x14ac:dyDescent="0.3">
      <c r="A151" s="36" t="s">
        <v>598</v>
      </c>
      <c r="C151" t="str">
        <f t="shared" si="2"/>
        <v>select * from sber_parts where file='05k_SBER_8031group.pkl' order by pnl desc limit 1  INTO OUTFILE "C:\\ProgramData\\MySQL\\MySQL Server 8.0\\Uploads\\05k_SBER_8031group.pkl.csv";</v>
      </c>
    </row>
    <row r="152" spans="1:3" x14ac:dyDescent="0.3">
      <c r="A152" s="36" t="s">
        <v>599</v>
      </c>
      <c r="C152" t="str">
        <f t="shared" si="2"/>
        <v>select * from sber_parts where file='05k_SBER_8032group.pkl' order by pnl desc limit 1  INTO OUTFILE "C:\\ProgramData\\MySQL\\MySQL Server 8.0\\Uploads\\05k_SBER_8032group.pkl.csv";</v>
      </c>
    </row>
    <row r="153" spans="1:3" x14ac:dyDescent="0.3">
      <c r="A153" s="36" t="s">
        <v>600</v>
      </c>
      <c r="C153" t="str">
        <f t="shared" si="2"/>
        <v>select * from sber_parts where file='05k_SBER_8033group.pkl' order by pnl desc limit 1  INTO OUTFILE "C:\\ProgramData\\MySQL\\MySQL Server 8.0\\Uploads\\05k_SBER_8033group.pkl.csv";</v>
      </c>
    </row>
    <row r="154" spans="1:3" x14ac:dyDescent="0.3">
      <c r="A154" s="36" t="s">
        <v>601</v>
      </c>
      <c r="C154" t="str">
        <f t="shared" si="2"/>
        <v>select * from sber_parts where file='05k_SBER_8034group.pkl' order by pnl desc limit 1  INTO OUTFILE "C:\\ProgramData\\MySQL\\MySQL Server 8.0\\Uploads\\05k_SBER_8034group.pkl.csv";</v>
      </c>
    </row>
    <row r="155" spans="1:3" x14ac:dyDescent="0.3">
      <c r="A155" s="36" t="s">
        <v>602</v>
      </c>
      <c r="C155" t="str">
        <f t="shared" si="2"/>
        <v>select * from sber_parts where file='05k_SBER_8035group.pkl' order by pnl desc limit 1  INTO OUTFILE "C:\\ProgramData\\MySQL\\MySQL Server 8.0\\Uploads\\05k_SBER_8035group.pkl.csv";</v>
      </c>
    </row>
    <row r="156" spans="1:3" x14ac:dyDescent="0.3">
      <c r="A156" s="36" t="s">
        <v>603</v>
      </c>
      <c r="C156" t="str">
        <f t="shared" si="2"/>
        <v>select * from sber_parts where file='05k_SBER_8036group.pkl' order by pnl desc limit 1  INTO OUTFILE "C:\\ProgramData\\MySQL\\MySQL Server 8.0\\Uploads\\05k_SBER_8036group.pkl.csv";</v>
      </c>
    </row>
    <row r="157" spans="1:3" x14ac:dyDescent="0.3">
      <c r="A157" s="36" t="s">
        <v>604</v>
      </c>
      <c r="C157" t="str">
        <f t="shared" si="2"/>
        <v>select * from sber_parts where file='05k_SBER_8037group.pkl' order by pnl desc limit 1  INTO OUTFILE "C:\\ProgramData\\MySQL\\MySQL Server 8.0\\Uploads\\05k_SBER_8037group.pkl.csv";</v>
      </c>
    </row>
    <row r="158" spans="1:3" x14ac:dyDescent="0.3">
      <c r="A158" s="36" t="s">
        <v>605</v>
      </c>
      <c r="C158" t="str">
        <f t="shared" si="2"/>
        <v>select * from sber_parts where file='05k_SBER_8038group.pkl' order by pnl desc limit 1  INTO OUTFILE "C:\\ProgramData\\MySQL\\MySQL Server 8.0\\Uploads\\05k_SBER_8038group.pkl.csv";</v>
      </c>
    </row>
    <row r="159" spans="1:3" x14ac:dyDescent="0.3">
      <c r="A159" s="36" t="s">
        <v>606</v>
      </c>
      <c r="C159" t="str">
        <f t="shared" si="2"/>
        <v>select * from sber_parts where file='05k_SBER_8039group.pkl' order by pnl desc limit 1  INTO OUTFILE "C:\\ProgramData\\MySQL\\MySQL Server 8.0\\Uploads\\05k_SBER_8039group.pkl.csv";</v>
      </c>
    </row>
    <row r="160" spans="1:3" x14ac:dyDescent="0.3">
      <c r="A160" s="36" t="s">
        <v>607</v>
      </c>
      <c r="C160" t="str">
        <f t="shared" si="2"/>
        <v>select * from sber_parts where file='05k_SBER_8040group.pkl' order by pnl desc limit 1  INTO OUTFILE "C:\\ProgramData\\MySQL\\MySQL Server 8.0\\Uploads\\05k_SBER_8040group.pkl.csv";</v>
      </c>
    </row>
    <row r="161" spans="1:3" x14ac:dyDescent="0.3">
      <c r="A161" s="36" t="s">
        <v>608</v>
      </c>
      <c r="C161" t="str">
        <f t="shared" si="2"/>
        <v>select * from sber_parts where file='05k_SBER_8041group.pkl' order by pnl desc limit 1  INTO OUTFILE "C:\\ProgramData\\MySQL\\MySQL Server 8.0\\Uploads\\05k_SBER_8041group.pkl.csv";</v>
      </c>
    </row>
    <row r="162" spans="1:3" x14ac:dyDescent="0.3">
      <c r="A162" s="36" t="s">
        <v>609</v>
      </c>
      <c r="C162" t="str">
        <f t="shared" si="2"/>
        <v>select * from sber_parts where file='05k_SBER_8042group.pkl' order by pnl desc limit 1  INTO OUTFILE "C:\\ProgramData\\MySQL\\MySQL Server 8.0\\Uploads\\05k_SBER_8042group.pkl.csv";</v>
      </c>
    </row>
    <row r="163" spans="1:3" x14ac:dyDescent="0.3">
      <c r="A163" s="36" t="s">
        <v>610</v>
      </c>
      <c r="C163" t="str">
        <f t="shared" si="2"/>
        <v>select * from sber_parts where file='05k_SBER_8043group.pkl' order by pnl desc limit 1  INTO OUTFILE "C:\\ProgramData\\MySQL\\MySQL Server 8.0\\Uploads\\05k_SBER_8043group.pkl.csv";</v>
      </c>
    </row>
    <row r="164" spans="1:3" x14ac:dyDescent="0.3">
      <c r="A164" s="36" t="s">
        <v>611</v>
      </c>
      <c r="C164" t="str">
        <f t="shared" si="2"/>
        <v>select * from sber_parts where file='05k_SBER_8044group.pkl' order by pnl desc limit 1  INTO OUTFILE "C:\\ProgramData\\MySQL\\MySQL Server 8.0\\Uploads\\05k_SBER_8044group.pkl.csv";</v>
      </c>
    </row>
    <row r="165" spans="1:3" x14ac:dyDescent="0.3">
      <c r="A165" s="36" t="s">
        <v>612</v>
      </c>
      <c r="C165" t="str">
        <f t="shared" si="2"/>
        <v>select * from sber_parts where file='05k_SBER_8045group.pkl' order by pnl desc limit 1  INTO OUTFILE "C:\\ProgramData\\MySQL\\MySQL Server 8.0\\Uploads\\05k_SBER_8045group.pkl.csv";</v>
      </c>
    </row>
    <row r="166" spans="1:3" x14ac:dyDescent="0.3">
      <c r="A166" s="36" t="s">
        <v>613</v>
      </c>
      <c r="C166" t="str">
        <f t="shared" si="2"/>
        <v>select * from sber_parts where file='05k_SBER_8046group.pkl' order by pnl desc limit 1  INTO OUTFILE "C:\\ProgramData\\MySQL\\MySQL Server 8.0\\Uploads\\05k_SBER_8046group.pkl.csv";</v>
      </c>
    </row>
    <row r="167" spans="1:3" x14ac:dyDescent="0.3">
      <c r="A167" s="36" t="s">
        <v>614</v>
      </c>
      <c r="C167" t="str">
        <f t="shared" si="2"/>
        <v>select * from sber_parts where file='05k_SBER_8047group.pkl' order by pnl desc limit 1  INTO OUTFILE "C:\\ProgramData\\MySQL\\MySQL Server 8.0\\Uploads\\05k_SBER_8047group.pkl.csv";</v>
      </c>
    </row>
    <row r="168" spans="1:3" x14ac:dyDescent="0.3">
      <c r="A168" s="36" t="s">
        <v>615</v>
      </c>
      <c r="C168" t="str">
        <f t="shared" si="2"/>
        <v>select * from sber_parts where file='05k_SBER_8048group.pkl' order by pnl desc limit 1  INTO OUTFILE "C:\\ProgramData\\MySQL\\MySQL Server 8.0\\Uploads\\05k_SBER_8048group.pkl.csv";</v>
      </c>
    </row>
    <row r="169" spans="1:3" x14ac:dyDescent="0.3">
      <c r="A169" s="36" t="s">
        <v>616</v>
      </c>
      <c r="C169" t="str">
        <f t="shared" si="2"/>
        <v>select * from sber_parts where file='05k_SBER_8049group.pkl' order by pnl desc limit 1  INTO OUTFILE "C:\\ProgramData\\MySQL\\MySQL Server 8.0\\Uploads\\05k_SBER_8049group.pkl.csv";</v>
      </c>
    </row>
    <row r="170" spans="1:3" x14ac:dyDescent="0.3">
      <c r="A170" s="36" t="s">
        <v>617</v>
      </c>
      <c r="C170" t="str">
        <f t="shared" si="2"/>
        <v>select * from sber_parts where file='05k_SBER_8050group.pkl' order by pnl desc limit 1  INTO OUTFILE "C:\\ProgramData\\MySQL\\MySQL Server 8.0\\Uploads\\05k_SBER_8050group.pkl.csv";</v>
      </c>
    </row>
    <row r="171" spans="1:3" x14ac:dyDescent="0.3">
      <c r="A171" s="36" t="s">
        <v>618</v>
      </c>
      <c r="C171" t="str">
        <f t="shared" si="2"/>
        <v>select * from sber_parts where file='05k_SBER_8051group.pkl' order by pnl desc limit 1  INTO OUTFILE "C:\\ProgramData\\MySQL\\MySQL Server 8.0\\Uploads\\05k_SBER_8051group.pkl.csv";</v>
      </c>
    </row>
    <row r="172" spans="1:3" x14ac:dyDescent="0.3">
      <c r="A172" s="36" t="s">
        <v>619</v>
      </c>
      <c r="C172" t="str">
        <f t="shared" si="2"/>
        <v>select * from sber_parts where file='05k_SBER_8052group.pkl' order by pnl desc limit 1  INTO OUTFILE "C:\\ProgramData\\MySQL\\MySQL Server 8.0\\Uploads\\05k_SBER_8052group.pkl.csv";</v>
      </c>
    </row>
    <row r="173" spans="1:3" x14ac:dyDescent="0.3">
      <c r="A173" s="36" t="s">
        <v>620</v>
      </c>
      <c r="C173" t="str">
        <f t="shared" si="2"/>
        <v>select * from sber_parts where file='05k_SBER_8053group.pkl' order by pnl desc limit 1  INTO OUTFILE "C:\\ProgramData\\MySQL\\MySQL Server 8.0\\Uploads\\05k_SBER_8053group.pkl.csv";</v>
      </c>
    </row>
    <row r="174" spans="1:3" x14ac:dyDescent="0.3">
      <c r="A174" s="36" t="s">
        <v>621</v>
      </c>
      <c r="C174" t="str">
        <f t="shared" si="2"/>
        <v>select * from sber_parts where file='05k_SBER_8054group.pkl' order by pnl desc limit 1  INTO OUTFILE "C:\\ProgramData\\MySQL\\MySQL Server 8.0\\Uploads\\05k_SBER_8054group.pkl.csv";</v>
      </c>
    </row>
    <row r="175" spans="1:3" x14ac:dyDescent="0.3">
      <c r="A175" s="36" t="s">
        <v>622</v>
      </c>
      <c r="C175" t="str">
        <f t="shared" si="2"/>
        <v>select * from sber_parts where file='05k_SBER_8055group.pkl' order by pnl desc limit 1  INTO OUTFILE "C:\\ProgramData\\MySQL\\MySQL Server 8.0\\Uploads\\05k_SBER_8055group.pkl.csv";</v>
      </c>
    </row>
    <row r="176" spans="1:3" x14ac:dyDescent="0.3">
      <c r="A176" s="36" t="s">
        <v>623</v>
      </c>
      <c r="C176" t="str">
        <f t="shared" si="2"/>
        <v>select * from sber_parts where file='05k_SBER_8056group.pkl' order by pnl desc limit 1  INTO OUTFILE "C:\\ProgramData\\MySQL\\MySQL Server 8.0\\Uploads\\05k_SBER_8056group.pkl.csv";</v>
      </c>
    </row>
    <row r="177" spans="1:3" x14ac:dyDescent="0.3">
      <c r="A177" s="36" t="s">
        <v>624</v>
      </c>
      <c r="C177" t="str">
        <f t="shared" si="2"/>
        <v>select * from sber_parts where file='05k_SBER_8057group.pkl' order by pnl desc limit 1  INTO OUTFILE "C:\\ProgramData\\MySQL\\MySQL Server 8.0\\Uploads\\05k_SBER_8057group.pkl.csv";</v>
      </c>
    </row>
    <row r="178" spans="1:3" x14ac:dyDescent="0.3">
      <c r="A178" s="36" t="s">
        <v>625</v>
      </c>
      <c r="C178" t="str">
        <f t="shared" si="2"/>
        <v>select * from sber_parts where file='05k_SBER_8058group.pkl' order by pnl desc limit 1  INTO OUTFILE "C:\\ProgramData\\MySQL\\MySQL Server 8.0\\Uploads\\05k_SBER_8058group.pkl.csv";</v>
      </c>
    </row>
    <row r="179" spans="1:3" x14ac:dyDescent="0.3">
      <c r="A179" s="36" t="s">
        <v>626</v>
      </c>
      <c r="C179" t="str">
        <f t="shared" si="2"/>
        <v>select * from sber_parts where file='05k_SBER_8059group.pkl' order by pnl desc limit 1  INTO OUTFILE "C:\\ProgramData\\MySQL\\MySQL Server 8.0\\Uploads\\05k_SBER_8059group.pkl.csv";</v>
      </c>
    </row>
    <row r="180" spans="1:3" x14ac:dyDescent="0.3">
      <c r="A180" s="36" t="s">
        <v>627</v>
      </c>
      <c r="C180" t="str">
        <f t="shared" si="2"/>
        <v>select * from sber_parts where file='05k_SBER_8060group.pkl' order by pnl desc limit 1  INTO OUTFILE "C:\\ProgramData\\MySQL\\MySQL Server 8.0\\Uploads\\05k_SBER_8060group.pkl.csv";</v>
      </c>
    </row>
    <row r="181" spans="1:3" x14ac:dyDescent="0.3">
      <c r="A181" s="36" t="s">
        <v>628</v>
      </c>
      <c r="C181" t="str">
        <f t="shared" si="2"/>
        <v>select * from sber_parts where file='05k_SBER_8061group.pkl' order by pnl desc limit 1  INTO OUTFILE "C:\\ProgramData\\MySQL\\MySQL Server 8.0\\Uploads\\05k_SBER_8061group.pkl.csv";</v>
      </c>
    </row>
    <row r="182" spans="1:3" x14ac:dyDescent="0.3">
      <c r="A182" s="36" t="s">
        <v>629</v>
      </c>
      <c r="C182" t="str">
        <f t="shared" si="2"/>
        <v>select * from sber_parts where file='05k_SBER_8062group.pkl' order by pnl desc limit 1  INTO OUTFILE "C:\\ProgramData\\MySQL\\MySQL Server 8.0\\Uploads\\05k_SBER_8062group.pkl.csv";</v>
      </c>
    </row>
    <row r="183" spans="1:3" x14ac:dyDescent="0.3">
      <c r="A183" s="36" t="s">
        <v>630</v>
      </c>
      <c r="C183" t="str">
        <f t="shared" si="2"/>
        <v>select * from sber_parts where file='05k_SBER_8063group.pkl' order by pnl desc limit 1  INTO OUTFILE "C:\\ProgramData\\MySQL\\MySQL Server 8.0\\Uploads\\05k_SBER_8063group.pkl.csv";</v>
      </c>
    </row>
    <row r="184" spans="1:3" x14ac:dyDescent="0.3">
      <c r="A184" s="36" t="s">
        <v>631</v>
      </c>
      <c r="C184" t="str">
        <f t="shared" si="2"/>
        <v>select * from sber_parts where file='05k_SBER_8064group.pkl' order by pnl desc limit 1  INTO OUTFILE "C:\\ProgramData\\MySQL\\MySQL Server 8.0\\Uploads\\05k_SBER_8064group.pkl.csv";</v>
      </c>
    </row>
    <row r="185" spans="1:3" x14ac:dyDescent="0.3">
      <c r="A185" s="36" t="s">
        <v>632</v>
      </c>
      <c r="C185" t="str">
        <f t="shared" si="2"/>
        <v>select * from sber_parts where file='05k_SBER_8065group.pkl' order by pnl desc limit 1  INTO OUTFILE "C:\\ProgramData\\MySQL\\MySQL Server 8.0\\Uploads\\05k_SBER_8065group.pkl.csv";</v>
      </c>
    </row>
    <row r="186" spans="1:3" x14ac:dyDescent="0.3">
      <c r="A186" s="36" t="s">
        <v>633</v>
      </c>
      <c r="C186" t="str">
        <f t="shared" si="2"/>
        <v>select * from sber_parts where file='05k_SBER_8066group.pkl' order by pnl desc limit 1  INTO OUTFILE "C:\\ProgramData\\MySQL\\MySQL Server 8.0\\Uploads\\05k_SBER_8066group.pkl.csv";</v>
      </c>
    </row>
    <row r="187" spans="1:3" x14ac:dyDescent="0.3">
      <c r="A187" s="36" t="s">
        <v>634</v>
      </c>
      <c r="C187" t="str">
        <f t="shared" si="2"/>
        <v>select * from sber_parts where file='05k_SBER_8067group.pkl' order by pnl desc limit 1  INTO OUTFILE "C:\\ProgramData\\MySQL\\MySQL Server 8.0\\Uploads\\05k_SBER_8067group.pkl.csv";</v>
      </c>
    </row>
    <row r="188" spans="1:3" x14ac:dyDescent="0.3">
      <c r="A188" s="36" t="s">
        <v>635</v>
      </c>
      <c r="C188" t="str">
        <f t="shared" si="2"/>
        <v>select * from sber_parts where file='05k_SBER_8068group.pkl' order by pnl desc limit 1  INTO OUTFILE "C:\\ProgramData\\MySQL\\MySQL Server 8.0\\Uploads\\05k_SBER_8068group.pkl.csv";</v>
      </c>
    </row>
    <row r="189" spans="1:3" x14ac:dyDescent="0.3">
      <c r="A189" s="36" t="s">
        <v>636</v>
      </c>
      <c r="C189" t="str">
        <f t="shared" si="2"/>
        <v>select * from sber_parts where file='05k_SBER_8069group.pkl' order by pnl desc limit 1  INTO OUTFILE "C:\\ProgramData\\MySQL\\MySQL Server 8.0\\Uploads\\05k_SBER_8069group.pkl.csv";</v>
      </c>
    </row>
    <row r="190" spans="1:3" x14ac:dyDescent="0.3">
      <c r="A190" s="36" t="s">
        <v>637</v>
      </c>
      <c r="C190" t="str">
        <f t="shared" si="2"/>
        <v>select * from sber_parts where file='05k_SBER_8070group.pkl' order by pnl desc limit 1  INTO OUTFILE "C:\\ProgramData\\MySQL\\MySQL Server 8.0\\Uploads\\05k_SBER_8070group.pkl.csv";</v>
      </c>
    </row>
    <row r="191" spans="1:3" x14ac:dyDescent="0.3">
      <c r="A191" s="36" t="s">
        <v>638</v>
      </c>
      <c r="C191" t="str">
        <f t="shared" si="2"/>
        <v>select * from sber_parts where file='05k_SBER_8071group.pkl' order by pnl desc limit 1  INTO OUTFILE "C:\\ProgramData\\MySQL\\MySQL Server 8.0\\Uploads\\05k_SBER_8071group.pkl.csv";</v>
      </c>
    </row>
    <row r="192" spans="1:3" x14ac:dyDescent="0.3">
      <c r="A192" s="36" t="s">
        <v>639</v>
      </c>
      <c r="C192" t="str">
        <f t="shared" si="2"/>
        <v>select * from sber_parts where file='05k_SBER_8072group.pkl' order by pnl desc limit 1  INTO OUTFILE "C:\\ProgramData\\MySQL\\MySQL Server 8.0\\Uploads\\05k_SBER_8072group.pkl.csv";</v>
      </c>
    </row>
    <row r="193" spans="1:3" x14ac:dyDescent="0.3">
      <c r="A193" s="36" t="s">
        <v>640</v>
      </c>
      <c r="C193" t="str">
        <f t="shared" si="2"/>
        <v>select * from sber_parts where file='05k_SBER_8073group.pkl' order by pnl desc limit 1  INTO OUTFILE "C:\\ProgramData\\MySQL\\MySQL Server 8.0\\Uploads\\05k_SBER_8073group.pkl.csv";</v>
      </c>
    </row>
    <row r="194" spans="1:3" x14ac:dyDescent="0.3">
      <c r="A194" s="36" t="s">
        <v>641</v>
      </c>
      <c r="C194" t="str">
        <f t="shared" ref="C194:C220" si="3">"select * from sber_parts where file='"&amp;A194&amp;"' order by pnl desc limit 1  INTO OUTFILE ""C:\\ProgramData\\MySQL\\MySQL Server 8.0\\Uploads\\"&amp;A194&amp;".csv""" &amp;";"</f>
        <v>select * from sber_parts where file='05k_SBER_8074group.pkl' order by pnl desc limit 1  INTO OUTFILE "C:\\ProgramData\\MySQL\\MySQL Server 8.0\\Uploads\\05k_SBER_8074group.pkl.csv";</v>
      </c>
    </row>
    <row r="195" spans="1:3" x14ac:dyDescent="0.3">
      <c r="A195" s="36" t="s">
        <v>642</v>
      </c>
      <c r="C195" t="str">
        <f t="shared" si="3"/>
        <v>select * from sber_parts where file='05k_SBER_8075group.pkl' order by pnl desc limit 1  INTO OUTFILE "C:\\ProgramData\\MySQL\\MySQL Server 8.0\\Uploads\\05k_SBER_8075group.pkl.csv";</v>
      </c>
    </row>
    <row r="196" spans="1:3" x14ac:dyDescent="0.3">
      <c r="A196" s="36" t="s">
        <v>643</v>
      </c>
      <c r="C196" t="str">
        <f t="shared" si="3"/>
        <v>select * from sber_parts where file='05k_SBER_8076group.pkl' order by pnl desc limit 1  INTO OUTFILE "C:\\ProgramData\\MySQL\\MySQL Server 8.0\\Uploads\\05k_SBER_8076group.pkl.csv";</v>
      </c>
    </row>
    <row r="197" spans="1:3" x14ac:dyDescent="0.3">
      <c r="A197" s="36" t="s">
        <v>644</v>
      </c>
      <c r="C197" t="str">
        <f t="shared" si="3"/>
        <v>select * from sber_parts where file='05k_SBER_8077group.pkl' order by pnl desc limit 1  INTO OUTFILE "C:\\ProgramData\\MySQL\\MySQL Server 8.0\\Uploads\\05k_SBER_8077group.pkl.csv";</v>
      </c>
    </row>
    <row r="198" spans="1:3" x14ac:dyDescent="0.3">
      <c r="A198" s="36" t="s">
        <v>645</v>
      </c>
      <c r="C198" t="str">
        <f t="shared" si="3"/>
        <v>select * from sber_parts where file='05k_SBER_8078group.pkl' order by pnl desc limit 1  INTO OUTFILE "C:\\ProgramData\\MySQL\\MySQL Server 8.0\\Uploads\\05k_SBER_8078group.pkl.csv";</v>
      </c>
    </row>
    <row r="199" spans="1:3" x14ac:dyDescent="0.3">
      <c r="A199" s="36" t="s">
        <v>646</v>
      </c>
      <c r="C199" t="str">
        <f t="shared" si="3"/>
        <v>select * from sber_parts where file='05k_SBER_8079group.pkl' order by pnl desc limit 1  INTO OUTFILE "C:\\ProgramData\\MySQL\\MySQL Server 8.0\\Uploads\\05k_SBER_8079group.pkl.csv";</v>
      </c>
    </row>
    <row r="200" spans="1:3" x14ac:dyDescent="0.3">
      <c r="A200" s="36" t="s">
        <v>647</v>
      </c>
      <c r="C200" t="str">
        <f t="shared" si="3"/>
        <v>select * from sber_parts where file='05k_SBER_8080group.pkl' order by pnl desc limit 1  INTO OUTFILE "C:\\ProgramData\\MySQL\\MySQL Server 8.0\\Uploads\\05k_SBER_8080group.pkl.csv";</v>
      </c>
    </row>
    <row r="201" spans="1:3" x14ac:dyDescent="0.3">
      <c r="A201" s="36" t="s">
        <v>648</v>
      </c>
      <c r="C201" t="str">
        <f t="shared" si="3"/>
        <v>select * from sber_parts where file='05k_SBER_8081group.pkl' order by pnl desc limit 1  INTO OUTFILE "C:\\ProgramData\\MySQL\\MySQL Server 8.0\\Uploads\\05k_SBER_8081group.pkl.csv";</v>
      </c>
    </row>
    <row r="202" spans="1:3" x14ac:dyDescent="0.3">
      <c r="A202" s="36" t="s">
        <v>649</v>
      </c>
      <c r="C202" t="str">
        <f t="shared" si="3"/>
        <v>select * from sber_parts where file='05k_SBER_8082group.pkl' order by pnl desc limit 1  INTO OUTFILE "C:\\ProgramData\\MySQL\\MySQL Server 8.0\\Uploads\\05k_SBER_8082group.pkl.csv";</v>
      </c>
    </row>
    <row r="203" spans="1:3" x14ac:dyDescent="0.3">
      <c r="A203" s="36" t="s">
        <v>650</v>
      </c>
      <c r="C203" t="str">
        <f t="shared" si="3"/>
        <v>select * from sber_parts where file='05k_SBER_8083group.pkl' order by pnl desc limit 1  INTO OUTFILE "C:\\ProgramData\\MySQL\\MySQL Server 8.0\\Uploads\\05k_SBER_8083group.pkl.csv";</v>
      </c>
    </row>
    <row r="204" spans="1:3" x14ac:dyDescent="0.3">
      <c r="A204" s="36" t="s">
        <v>651</v>
      </c>
      <c r="C204" t="str">
        <f t="shared" si="3"/>
        <v>select * from sber_parts where file='05k_SBER_8084group.pkl' order by pnl desc limit 1  INTO OUTFILE "C:\\ProgramData\\MySQL\\MySQL Server 8.0\\Uploads\\05k_SBER_8084group.pkl.csv";</v>
      </c>
    </row>
    <row r="205" spans="1:3" x14ac:dyDescent="0.3">
      <c r="A205" s="36" t="s">
        <v>652</v>
      </c>
      <c r="C205" t="str">
        <f t="shared" si="3"/>
        <v>select * from sber_parts where file='05k_SBER_8085group.pkl' order by pnl desc limit 1  INTO OUTFILE "C:\\ProgramData\\MySQL\\MySQL Server 8.0\\Uploads\\05k_SBER_8085group.pkl.csv";</v>
      </c>
    </row>
    <row r="206" spans="1:3" x14ac:dyDescent="0.3">
      <c r="A206" s="36" t="s">
        <v>653</v>
      </c>
      <c r="C206" t="str">
        <f t="shared" si="3"/>
        <v>select * from sber_parts where file='05k_SBER_8086group.pkl' order by pnl desc limit 1  INTO OUTFILE "C:\\ProgramData\\MySQL\\MySQL Server 8.0\\Uploads\\05k_SBER_8086group.pkl.csv";</v>
      </c>
    </row>
    <row r="207" spans="1:3" x14ac:dyDescent="0.3">
      <c r="A207" s="36" t="s">
        <v>654</v>
      </c>
      <c r="C207" t="str">
        <f t="shared" si="3"/>
        <v>select * from sber_parts where file='05k_SBER_8087group.pkl' order by pnl desc limit 1  INTO OUTFILE "C:\\ProgramData\\MySQL\\MySQL Server 8.0\\Uploads\\05k_SBER_8087group.pkl.csv";</v>
      </c>
    </row>
    <row r="208" spans="1:3" x14ac:dyDescent="0.3">
      <c r="A208" s="36" t="s">
        <v>655</v>
      </c>
      <c r="C208" t="str">
        <f t="shared" si="3"/>
        <v>select * from sber_parts where file='05k_SBER_8088group.pkl' order by pnl desc limit 1  INTO OUTFILE "C:\\ProgramData\\MySQL\\MySQL Server 8.0\\Uploads\\05k_SBER_8088group.pkl.csv";</v>
      </c>
    </row>
    <row r="209" spans="1:3" x14ac:dyDescent="0.3">
      <c r="A209" s="36" t="s">
        <v>656</v>
      </c>
      <c r="C209" t="str">
        <f t="shared" si="3"/>
        <v>select * from sber_parts where file='05k_SBER_8089group.pkl' order by pnl desc limit 1  INTO OUTFILE "C:\\ProgramData\\MySQL\\MySQL Server 8.0\\Uploads\\05k_SBER_8089group.pkl.csv";</v>
      </c>
    </row>
    <row r="210" spans="1:3" x14ac:dyDescent="0.3">
      <c r="A210" s="36" t="s">
        <v>657</v>
      </c>
      <c r="C210" t="str">
        <f t="shared" si="3"/>
        <v>select * from sber_parts where file='05k_SBER_8090group.pkl' order by pnl desc limit 1  INTO OUTFILE "C:\\ProgramData\\MySQL\\MySQL Server 8.0\\Uploads\\05k_SBER_8090group.pkl.csv";</v>
      </c>
    </row>
    <row r="211" spans="1:3" x14ac:dyDescent="0.3">
      <c r="A211" s="36" t="s">
        <v>658</v>
      </c>
      <c r="C211" t="str">
        <f t="shared" si="3"/>
        <v>select * from sber_parts where file='05k_SBER_8091group.pkl' order by pnl desc limit 1  INTO OUTFILE "C:\\ProgramData\\MySQL\\MySQL Server 8.0\\Uploads\\05k_SBER_8091group.pkl.csv";</v>
      </c>
    </row>
    <row r="212" spans="1:3" x14ac:dyDescent="0.3">
      <c r="A212" s="36" t="s">
        <v>659</v>
      </c>
      <c r="C212" t="str">
        <f t="shared" si="3"/>
        <v>select * from sber_parts where file='05k_SBER_8092group.pkl' order by pnl desc limit 1  INTO OUTFILE "C:\\ProgramData\\MySQL\\MySQL Server 8.0\\Uploads\\05k_SBER_8092group.pkl.csv";</v>
      </c>
    </row>
    <row r="213" spans="1:3" x14ac:dyDescent="0.3">
      <c r="A213" s="36" t="s">
        <v>660</v>
      </c>
      <c r="C213" t="str">
        <f t="shared" si="3"/>
        <v>select * from sber_parts where file='05k_SBER_8093group.pkl' order by pnl desc limit 1  INTO OUTFILE "C:\\ProgramData\\MySQL\\MySQL Server 8.0\\Uploads\\05k_SBER_8093group.pkl.csv";</v>
      </c>
    </row>
    <row r="214" spans="1:3" x14ac:dyDescent="0.3">
      <c r="A214" s="36" t="s">
        <v>661</v>
      </c>
      <c r="C214" t="str">
        <f t="shared" si="3"/>
        <v>select * from sber_parts where file='05k_SBER_8094group.pkl' order by pnl desc limit 1  INTO OUTFILE "C:\\ProgramData\\MySQL\\MySQL Server 8.0\\Uploads\\05k_SBER_8094group.pkl.csv";</v>
      </c>
    </row>
    <row r="215" spans="1:3" x14ac:dyDescent="0.3">
      <c r="A215" s="36" t="s">
        <v>662</v>
      </c>
      <c r="C215" t="str">
        <f t="shared" si="3"/>
        <v>select * from sber_parts where file='05k_SBER_8095group.pkl' order by pnl desc limit 1  INTO OUTFILE "C:\\ProgramData\\MySQL\\MySQL Server 8.0\\Uploads\\05k_SBER_8095group.pkl.csv";</v>
      </c>
    </row>
    <row r="216" spans="1:3" x14ac:dyDescent="0.3">
      <c r="A216" s="36" t="s">
        <v>663</v>
      </c>
      <c r="C216" t="str">
        <f t="shared" si="3"/>
        <v>select * from sber_parts where file='05k_SBER_8096group.pkl' order by pnl desc limit 1  INTO OUTFILE "C:\\ProgramData\\MySQL\\MySQL Server 8.0\\Uploads\\05k_SBER_8096group.pkl.csv";</v>
      </c>
    </row>
    <row r="217" spans="1:3" x14ac:dyDescent="0.3">
      <c r="A217" s="36" t="s">
        <v>664</v>
      </c>
      <c r="C217" t="str">
        <f t="shared" si="3"/>
        <v>select * from sber_parts where file='05k_SBER_8097group.pkl' order by pnl desc limit 1  INTO OUTFILE "C:\\ProgramData\\MySQL\\MySQL Server 8.0\\Uploads\\05k_SBER_8097group.pkl.csv";</v>
      </c>
    </row>
    <row r="218" spans="1:3" x14ac:dyDescent="0.3">
      <c r="A218" s="36" t="s">
        <v>665</v>
      </c>
      <c r="C218" t="str">
        <f t="shared" si="3"/>
        <v>select * from sber_parts where file='05k_SBER_8098group.pkl' order by pnl desc limit 1  INTO OUTFILE "C:\\ProgramData\\MySQL\\MySQL Server 8.0\\Uploads\\05k_SBER_8098group.pkl.csv";</v>
      </c>
    </row>
    <row r="219" spans="1:3" x14ac:dyDescent="0.3">
      <c r="A219" s="36" t="s">
        <v>666</v>
      </c>
      <c r="C219" t="str">
        <f t="shared" si="3"/>
        <v>select * from sber_parts where file='05k_SBER_8099group.pkl' order by pnl desc limit 1  INTO OUTFILE "C:\\ProgramData\\MySQL\\MySQL Server 8.0\\Uploads\\05k_SBER_8099group.pkl.csv";</v>
      </c>
    </row>
    <row r="220" spans="1:3" x14ac:dyDescent="0.3">
      <c r="A220" s="36" t="s">
        <v>667</v>
      </c>
      <c r="C220" t="str">
        <f t="shared" si="3"/>
        <v>select * from sber_parts where file='05k_SBER_8100group.pkl' order by pnl desc limit 1  INTO OUTFILE "C:\\ProgramData\\MySQL\\MySQL Server 8.0\\Uploads\\05k_SBER_8100group.pkl.csv";</v>
      </c>
    </row>
  </sheetData>
  <sortState ref="A1:A11">
    <sortCondition ref="A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E12"/>
  <sheetViews>
    <sheetView workbookViewId="0">
      <selection activeCell="D28" sqref="D28"/>
    </sheetView>
  </sheetViews>
  <sheetFormatPr defaultRowHeight="14.4" x14ac:dyDescent="0.3"/>
  <cols>
    <col min="1" max="1" width="15.5546875" customWidth="1"/>
  </cols>
  <sheetData>
    <row r="1" spans="1:5" ht="15" thickBot="1" x14ac:dyDescent="0.35">
      <c r="B1" s="32" t="s">
        <v>37</v>
      </c>
      <c r="C1" s="32" t="s">
        <v>38</v>
      </c>
      <c r="D1" s="32" t="s">
        <v>39</v>
      </c>
      <c r="E1" s="32" t="s">
        <v>40</v>
      </c>
    </row>
    <row r="2" spans="1:5" ht="15.6" thickTop="1" thickBot="1" x14ac:dyDescent="0.35">
      <c r="A2" s="1" t="s">
        <v>34</v>
      </c>
      <c r="B2" s="29"/>
      <c r="C2" s="29"/>
      <c r="D2" s="29"/>
      <c r="E2" s="29"/>
    </row>
    <row r="3" spans="1:5" ht="15.6" thickTop="1" thickBot="1" x14ac:dyDescent="0.35">
      <c r="A3" s="1" t="s">
        <v>35</v>
      </c>
      <c r="B3" s="29"/>
      <c r="C3" s="29"/>
      <c r="D3" s="29"/>
      <c r="E3" s="29"/>
    </row>
    <row r="4" spans="1:5" ht="15.6" thickTop="1" thickBot="1" x14ac:dyDescent="0.35">
      <c r="A4" s="1" t="s">
        <v>32</v>
      </c>
      <c r="B4" s="29"/>
      <c r="C4" s="29"/>
      <c r="D4" s="29"/>
      <c r="E4" s="29"/>
    </row>
    <row r="5" spans="1:5" ht="15.6" thickTop="1" thickBot="1" x14ac:dyDescent="0.35">
      <c r="A5" s="1" t="s">
        <v>33</v>
      </c>
      <c r="B5" s="29"/>
      <c r="C5" s="29"/>
      <c r="D5" s="29"/>
      <c r="E5" s="29"/>
    </row>
    <row r="6" spans="1:5" ht="15.6" thickTop="1" thickBot="1" x14ac:dyDescent="0.35">
      <c r="A6" s="1" t="s">
        <v>36</v>
      </c>
      <c r="B6" s="30" t="s">
        <v>41</v>
      </c>
      <c r="C6" s="30" t="s">
        <v>41</v>
      </c>
      <c r="D6" s="30" t="s">
        <v>41</v>
      </c>
      <c r="E6" s="30" t="s">
        <v>41</v>
      </c>
    </row>
    <row r="7" spans="1:5" ht="15" thickTop="1" x14ac:dyDescent="0.3"/>
    <row r="9" spans="1:5" x14ac:dyDescent="0.3">
      <c r="A9" s="31" t="s">
        <v>42</v>
      </c>
    </row>
    <row r="10" spans="1:5" x14ac:dyDescent="0.3">
      <c r="A10" t="s">
        <v>43</v>
      </c>
      <c r="B10" t="s">
        <v>44</v>
      </c>
    </row>
    <row r="11" spans="1:5" x14ac:dyDescent="0.3">
      <c r="A11" t="s">
        <v>45</v>
      </c>
      <c r="B11" t="s">
        <v>44</v>
      </c>
      <c r="E11" t="s">
        <v>46</v>
      </c>
    </row>
    <row r="12" spans="1:5" x14ac:dyDescent="0.3">
      <c r="A12" t="s">
        <v>48</v>
      </c>
      <c r="B12" t="s">
        <v>44</v>
      </c>
      <c r="E12" t="s">
        <v>47</v>
      </c>
    </row>
  </sheetData>
  <pageMargins left="0.7" right="0.7" top="0.75" bottom="0.75" header="0.3" footer="0.3"/>
  <pageSetup paperSize="9"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B1:M72"/>
  <sheetViews>
    <sheetView topLeftCell="A46" workbookViewId="0">
      <selection activeCell="D69" sqref="D69"/>
    </sheetView>
  </sheetViews>
  <sheetFormatPr defaultRowHeight="14.4" x14ac:dyDescent="0.3"/>
  <cols>
    <col min="3" max="3" width="24.5546875" customWidth="1"/>
    <col min="4" max="4" width="13.77734375" customWidth="1"/>
    <col min="9" max="9" width="47.109375" customWidth="1"/>
    <col min="12" max="12" width="12.44140625" customWidth="1"/>
  </cols>
  <sheetData>
    <row r="1" spans="2:13" ht="15" thickBot="1" x14ac:dyDescent="0.35">
      <c r="L1" s="23" t="s">
        <v>26</v>
      </c>
      <c r="M1" s="24" t="s">
        <v>25</v>
      </c>
    </row>
    <row r="2" spans="2:13" ht="15" thickBot="1" x14ac:dyDescent="0.35">
      <c r="B2" s="2"/>
      <c r="C2" s="3"/>
      <c r="D2" s="4" t="s">
        <v>4</v>
      </c>
      <c r="E2" s="4" t="s">
        <v>2</v>
      </c>
      <c r="F2" s="4"/>
      <c r="G2" s="4" t="s">
        <v>3</v>
      </c>
      <c r="H2" s="3"/>
      <c r="I2" s="4" t="s">
        <v>14</v>
      </c>
      <c r="J2" s="5"/>
      <c r="L2" s="23" t="s">
        <v>20</v>
      </c>
      <c r="M2" s="1" t="s">
        <v>32</v>
      </c>
    </row>
    <row r="3" spans="2:13" x14ac:dyDescent="0.3">
      <c r="B3" s="6"/>
      <c r="C3" s="16" t="s">
        <v>0</v>
      </c>
      <c r="D3" s="7"/>
      <c r="E3" s="8">
        <f>E4-D7</f>
        <v>3697</v>
      </c>
      <c r="F3" s="7"/>
      <c r="G3" s="9">
        <f>E3-D8</f>
        <v>3597</v>
      </c>
      <c r="H3" s="20"/>
      <c r="I3" s="21" t="str">
        <f>"N_Agents = """&amp;D13&amp;""""</f>
        <v>N_Agents = "10k"</v>
      </c>
      <c r="J3" s="10"/>
      <c r="L3" s="26" t="s">
        <v>21</v>
      </c>
      <c r="M3">
        <v>100</v>
      </c>
    </row>
    <row r="4" spans="2:13" x14ac:dyDescent="0.3">
      <c r="B4" s="6"/>
      <c r="C4" s="16" t="s">
        <v>1</v>
      </c>
      <c r="D4" s="11">
        <v>43347</v>
      </c>
      <c r="E4" s="12">
        <v>3997</v>
      </c>
      <c r="F4" s="7"/>
      <c r="G4" s="7">
        <f>E4-D8</f>
        <v>3897</v>
      </c>
      <c r="H4" s="7"/>
      <c r="I4" s="21" t="str">
        <f>"AltrevaConfig = """&amp;D12&amp;""" "</f>
        <v xml:space="preserve">AltrevaConfig = "10k-EURUSD-1D-00m-1D00.acn" </v>
      </c>
      <c r="J4" s="13"/>
    </row>
    <row r="5" spans="2:13" x14ac:dyDescent="0.3">
      <c r="B5" s="6"/>
      <c r="C5" s="16" t="s">
        <v>7</v>
      </c>
      <c r="D5" s="7"/>
      <c r="E5" s="7"/>
      <c r="F5" s="7"/>
      <c r="G5" s="7"/>
      <c r="H5" s="7"/>
      <c r="I5" s="21" t="str">
        <f>"UniqueConfPrefix = """&amp;D9&amp;D14&amp;""""</f>
        <v>UniqueConfPrefix = "1D00"</v>
      </c>
      <c r="J5" s="13"/>
    </row>
    <row r="6" spans="2:13" x14ac:dyDescent="0.3">
      <c r="B6" s="6"/>
      <c r="C6" s="16"/>
      <c r="D6" s="7"/>
      <c r="E6" s="7"/>
      <c r="F6" s="7"/>
      <c r="G6" s="7"/>
      <c r="H6" s="7"/>
      <c r="I6" s="21" t="str">
        <f>"ModelsNamePrefix = " &amp;D16</f>
        <v>ModelsNamePrefix = 1000</v>
      </c>
      <c r="J6" s="13"/>
    </row>
    <row r="7" spans="2:13" x14ac:dyDescent="0.3">
      <c r="B7" s="6"/>
      <c r="C7" s="16" t="s">
        <v>5</v>
      </c>
      <c r="D7" s="7">
        <v>300</v>
      </c>
      <c r="E7" s="7"/>
      <c r="F7" s="7"/>
      <c r="G7" s="7"/>
      <c r="H7" s="7"/>
      <c r="I7" s="21" t="str">
        <f>"NumberOfModels = " &amp;D15</f>
        <v>NumberOfModels = 100</v>
      </c>
      <c r="J7" s="13"/>
    </row>
    <row r="8" spans="2:13" x14ac:dyDescent="0.3">
      <c r="B8" s="6"/>
      <c r="C8" s="16" t="s">
        <v>6</v>
      </c>
      <c r="D8" s="7">
        <v>100</v>
      </c>
      <c r="E8" s="7"/>
      <c r="F8" s="7"/>
      <c r="G8" s="7"/>
      <c r="H8" s="7"/>
      <c r="I8" s="21" t="str">
        <f>"Style = """&amp;D17&amp;""""</f>
        <v>Style = "1FDA-style.aps"</v>
      </c>
      <c r="J8" s="13"/>
    </row>
    <row r="9" spans="2:13" x14ac:dyDescent="0.3">
      <c r="B9" s="6"/>
      <c r="C9" s="16" t="s">
        <v>16</v>
      </c>
      <c r="D9" s="12" t="s">
        <v>27</v>
      </c>
      <c r="E9" s="7"/>
      <c r="F9" s="7"/>
      <c r="G9" s="7"/>
      <c r="H9" s="7"/>
      <c r="J9" s="13"/>
    </row>
    <row r="10" spans="2:13" x14ac:dyDescent="0.3">
      <c r="B10" s="6"/>
      <c r="C10" s="16" t="s">
        <v>17</v>
      </c>
      <c r="D10" s="12" t="s">
        <v>28</v>
      </c>
      <c r="E10" s="7"/>
      <c r="F10" s="7"/>
      <c r="G10" s="7"/>
      <c r="H10" s="7"/>
      <c r="I10" s="22" t="s">
        <v>15</v>
      </c>
      <c r="J10" s="13"/>
    </row>
    <row r="11" spans="2:13" x14ac:dyDescent="0.3">
      <c r="B11" s="6"/>
      <c r="C11" s="17" t="s">
        <v>8</v>
      </c>
      <c r="D11" t="s">
        <v>29</v>
      </c>
      <c r="E11" s="7"/>
      <c r="F11" s="7"/>
      <c r="G11" s="7"/>
      <c r="H11" s="7"/>
      <c r="I11" s="25" t="str">
        <f>D12&amp;"-"&amp; D16 &amp; "-.vbs"</f>
        <v>10k-EURUSD-1D-00m-1D00.acn-1000-.vbs</v>
      </c>
      <c r="J11" s="13"/>
    </row>
    <row r="12" spans="2:13" x14ac:dyDescent="0.3">
      <c r="B12" s="6"/>
      <c r="C12" s="17" t="s">
        <v>10</v>
      </c>
      <c r="D12" s="12" t="str">
        <f>D13&amp;"-" &amp; D10&amp;"-"&amp;D9&amp;"-" &amp;D14&amp;"m-" &amp; D18&amp; ".acn"</f>
        <v>10k-EURUSD-1D-00m-1D00.acn</v>
      </c>
      <c r="E12" s="7"/>
      <c r="F12" s="7"/>
      <c r="G12" s="7"/>
      <c r="H12" s="7"/>
      <c r="I12" s="20"/>
      <c r="J12" s="13"/>
    </row>
    <row r="13" spans="2:13" x14ac:dyDescent="0.3">
      <c r="B13" s="6"/>
      <c r="C13" s="17" t="s">
        <v>9</v>
      </c>
      <c r="D13" s="12" t="str">
        <f>$M$2</f>
        <v>10k</v>
      </c>
      <c r="E13" s="7"/>
      <c r="F13" s="7"/>
      <c r="G13" s="7"/>
      <c r="H13" s="7"/>
      <c r="I13" s="7"/>
      <c r="J13" s="13"/>
    </row>
    <row r="14" spans="2:13" x14ac:dyDescent="0.3">
      <c r="B14" s="6"/>
      <c r="C14" s="17" t="s">
        <v>30</v>
      </c>
      <c r="D14" s="12" t="str">
        <f>"00"</f>
        <v>00</v>
      </c>
      <c r="E14" s="7"/>
      <c r="F14" s="7"/>
      <c r="G14" s="7"/>
      <c r="H14" s="7"/>
      <c r="I14" s="7"/>
      <c r="J14" s="13"/>
    </row>
    <row r="15" spans="2:13" x14ac:dyDescent="0.3">
      <c r="B15" s="6"/>
      <c r="C15" s="17" t="s">
        <v>11</v>
      </c>
      <c r="D15" s="12">
        <f>$M$3</f>
        <v>100</v>
      </c>
      <c r="E15" s="7"/>
      <c r="F15" s="7"/>
      <c r="G15" s="7"/>
      <c r="H15" s="7"/>
      <c r="I15" s="7"/>
      <c r="J15" s="13"/>
    </row>
    <row r="16" spans="2:13" x14ac:dyDescent="0.3">
      <c r="B16" s="6"/>
      <c r="C16" s="17" t="s">
        <v>12</v>
      </c>
      <c r="D16" s="12">
        <v>1000</v>
      </c>
      <c r="E16" s="7"/>
      <c r="F16" s="7"/>
      <c r="G16" s="7"/>
      <c r="H16" s="7"/>
      <c r="I16" s="7"/>
      <c r="J16" s="13"/>
    </row>
    <row r="17" spans="2:10" x14ac:dyDescent="0.3">
      <c r="B17" s="6"/>
      <c r="C17" s="17" t="s">
        <v>19</v>
      </c>
      <c r="D17" s="27" t="s">
        <v>22</v>
      </c>
      <c r="E17" s="7"/>
      <c r="F17" s="7"/>
      <c r="G17" s="7"/>
      <c r="H17" s="7" t="s">
        <v>23</v>
      </c>
      <c r="I17" s="28" t="s">
        <v>24</v>
      </c>
      <c r="J17" s="13"/>
    </row>
    <row r="18" spans="2:10" x14ac:dyDescent="0.3">
      <c r="B18" s="14"/>
      <c r="C18" s="18" t="s">
        <v>13</v>
      </c>
      <c r="D18" s="15" t="str">
        <f>D9&amp;D14</f>
        <v>1D00</v>
      </c>
      <c r="E18" s="15"/>
      <c r="F18" s="15"/>
      <c r="G18" s="15"/>
      <c r="H18" s="15"/>
      <c r="I18" s="15"/>
      <c r="J18" s="19"/>
    </row>
    <row r="20" spans="2:10" x14ac:dyDescent="0.3">
      <c r="B20" s="2"/>
      <c r="C20" s="3"/>
      <c r="D20" s="4" t="s">
        <v>4</v>
      </c>
      <c r="E20" s="4" t="s">
        <v>2</v>
      </c>
      <c r="F20" s="4"/>
      <c r="G20" s="4" t="s">
        <v>3</v>
      </c>
      <c r="H20" s="3"/>
      <c r="I20" s="4" t="s">
        <v>14</v>
      </c>
      <c r="J20" s="5"/>
    </row>
    <row r="21" spans="2:10" x14ac:dyDescent="0.3">
      <c r="B21" s="6"/>
      <c r="C21" s="16" t="s">
        <v>0</v>
      </c>
      <c r="D21" s="7"/>
      <c r="E21" s="8">
        <f>E22-D25</f>
        <v>3697</v>
      </c>
      <c r="F21" s="7"/>
      <c r="G21" s="9">
        <f>E21-D26</f>
        <v>3597</v>
      </c>
      <c r="H21" s="20"/>
      <c r="I21" s="21" t="str">
        <f>"N_Agents = """&amp;D31&amp;""""</f>
        <v>N_Agents = "10k"</v>
      </c>
      <c r="J21" s="10"/>
    </row>
    <row r="22" spans="2:10" x14ac:dyDescent="0.3">
      <c r="B22" s="6"/>
      <c r="C22" s="16" t="s">
        <v>1</v>
      </c>
      <c r="D22" s="11">
        <v>43347</v>
      </c>
      <c r="E22" s="12">
        <v>3997</v>
      </c>
      <c r="F22" s="7"/>
      <c r="G22" s="7">
        <f>E22-D26</f>
        <v>3897</v>
      </c>
      <c r="H22" s="7"/>
      <c r="I22" s="21" t="str">
        <f>"AltrevaConfig = """&amp;D30&amp;""" "</f>
        <v xml:space="preserve">AltrevaConfig = "10k-EURUSD-1D-15m-1D15.acn" </v>
      </c>
      <c r="J22" s="13"/>
    </row>
    <row r="23" spans="2:10" x14ac:dyDescent="0.3">
      <c r="B23" s="6"/>
      <c r="C23" s="16" t="s">
        <v>7</v>
      </c>
      <c r="D23" s="7"/>
      <c r="E23" s="7"/>
      <c r="F23" s="7"/>
      <c r="G23" s="7"/>
      <c r="H23" s="7"/>
      <c r="I23" s="21" t="str">
        <f>"UniqueConfPrefix = """&amp;D27&amp;D32&amp;""""</f>
        <v>UniqueConfPrefix = "1D15"</v>
      </c>
      <c r="J23" s="13"/>
    </row>
    <row r="24" spans="2:10" x14ac:dyDescent="0.3">
      <c r="B24" s="6"/>
      <c r="C24" s="16"/>
      <c r="D24" s="7"/>
      <c r="E24" s="7"/>
      <c r="F24" s="7"/>
      <c r="G24" s="7"/>
      <c r="H24" s="7"/>
      <c r="I24" s="21" t="str">
        <f>"ModelsNamePrefix = " &amp;D34</f>
        <v>ModelsNamePrefix = 1000</v>
      </c>
      <c r="J24" s="13"/>
    </row>
    <row r="25" spans="2:10" x14ac:dyDescent="0.3">
      <c r="B25" s="6"/>
      <c r="C25" s="16" t="s">
        <v>5</v>
      </c>
      <c r="D25" s="7">
        <v>300</v>
      </c>
      <c r="E25" s="7"/>
      <c r="F25" s="7"/>
      <c r="G25" s="7"/>
      <c r="H25" s="7"/>
      <c r="I25" s="21" t="str">
        <f>"NumberOfModels = " &amp;D33</f>
        <v>NumberOfModels = 100</v>
      </c>
      <c r="J25" s="13"/>
    </row>
    <row r="26" spans="2:10" x14ac:dyDescent="0.3">
      <c r="B26" s="6"/>
      <c r="C26" s="16" t="s">
        <v>6</v>
      </c>
      <c r="D26" s="7">
        <v>100</v>
      </c>
      <c r="E26" s="7"/>
      <c r="F26" s="7"/>
      <c r="G26" s="7"/>
      <c r="H26" s="7"/>
      <c r="I26" s="21" t="str">
        <f>"Style = """&amp;D35&amp;""""</f>
        <v>Style = "1FDA-style.aps"</v>
      </c>
      <c r="J26" s="13"/>
    </row>
    <row r="27" spans="2:10" x14ac:dyDescent="0.3">
      <c r="B27" s="6"/>
      <c r="C27" s="16" t="s">
        <v>16</v>
      </c>
      <c r="D27" s="12" t="s">
        <v>27</v>
      </c>
      <c r="E27" s="7"/>
      <c r="F27" s="7"/>
      <c r="G27" s="7"/>
      <c r="H27" s="7"/>
      <c r="J27" s="13"/>
    </row>
    <row r="28" spans="2:10" x14ac:dyDescent="0.3">
      <c r="B28" s="6"/>
      <c r="C28" s="16" t="s">
        <v>17</v>
      </c>
      <c r="D28" s="12" t="s">
        <v>28</v>
      </c>
      <c r="E28" s="7"/>
      <c r="F28" s="7"/>
      <c r="G28" s="7"/>
      <c r="H28" s="7"/>
      <c r="I28" s="22" t="s">
        <v>15</v>
      </c>
      <c r="J28" s="13"/>
    </row>
    <row r="29" spans="2:10" x14ac:dyDescent="0.3">
      <c r="B29" s="6"/>
      <c r="C29" s="17" t="s">
        <v>8</v>
      </c>
      <c r="D29" t="s">
        <v>29</v>
      </c>
      <c r="E29" s="7"/>
      <c r="F29" s="7"/>
      <c r="G29" s="7"/>
      <c r="H29" s="7"/>
      <c r="I29" s="25" t="str">
        <f>D30&amp;"-"&amp; D34 &amp; "-.vbs"</f>
        <v>10k-EURUSD-1D-15m-1D15.acn-1000-.vbs</v>
      </c>
      <c r="J29" s="13"/>
    </row>
    <row r="30" spans="2:10" x14ac:dyDescent="0.3">
      <c r="B30" s="6"/>
      <c r="C30" s="17" t="s">
        <v>10</v>
      </c>
      <c r="D30" s="12" t="str">
        <f>D31&amp;"-" &amp; D28&amp;"-"&amp;D27&amp;"-" &amp;D32&amp;"m-" &amp; D36&amp; ".acn"</f>
        <v>10k-EURUSD-1D-15m-1D15.acn</v>
      </c>
      <c r="E30" s="7"/>
      <c r="F30" s="7"/>
      <c r="G30" s="7"/>
      <c r="H30" s="7"/>
      <c r="I30" s="20"/>
      <c r="J30" s="13"/>
    </row>
    <row r="31" spans="2:10" x14ac:dyDescent="0.3">
      <c r="B31" s="6"/>
      <c r="C31" s="17" t="s">
        <v>9</v>
      </c>
      <c r="D31" s="12" t="str">
        <f>$M$2</f>
        <v>10k</v>
      </c>
      <c r="E31" s="7"/>
      <c r="F31" s="7"/>
      <c r="G31" s="7"/>
      <c r="H31" s="7"/>
      <c r="I31" s="7"/>
      <c r="J31" s="13"/>
    </row>
    <row r="32" spans="2:10" x14ac:dyDescent="0.3">
      <c r="B32" s="6"/>
      <c r="C32" s="17" t="s">
        <v>30</v>
      </c>
      <c r="D32" s="12">
        <v>15</v>
      </c>
      <c r="E32" s="7"/>
      <c r="F32" s="7"/>
      <c r="G32" s="7"/>
      <c r="H32" s="7"/>
      <c r="I32" s="7"/>
      <c r="J32" s="13"/>
    </row>
    <row r="33" spans="2:10" x14ac:dyDescent="0.3">
      <c r="B33" s="6"/>
      <c r="C33" s="17" t="s">
        <v>11</v>
      </c>
      <c r="D33" s="12">
        <f>$M$3</f>
        <v>100</v>
      </c>
      <c r="E33" s="7"/>
      <c r="F33" s="7"/>
      <c r="G33" s="7"/>
      <c r="H33" s="7"/>
      <c r="I33" s="7"/>
      <c r="J33" s="13"/>
    </row>
    <row r="34" spans="2:10" x14ac:dyDescent="0.3">
      <c r="B34" s="6"/>
      <c r="C34" s="17" t="s">
        <v>12</v>
      </c>
      <c r="D34" s="12">
        <v>1000</v>
      </c>
      <c r="E34" s="7"/>
      <c r="F34" s="7"/>
      <c r="G34" s="7"/>
      <c r="H34" s="7"/>
      <c r="I34" s="7"/>
      <c r="J34" s="13"/>
    </row>
    <row r="35" spans="2:10" x14ac:dyDescent="0.3">
      <c r="B35" s="6"/>
      <c r="C35" s="17" t="s">
        <v>19</v>
      </c>
      <c r="D35" s="27" t="s">
        <v>22</v>
      </c>
      <c r="E35" s="7"/>
      <c r="F35" s="7"/>
      <c r="G35" s="7"/>
      <c r="H35" s="7" t="s">
        <v>23</v>
      </c>
      <c r="I35" s="28" t="s">
        <v>24</v>
      </c>
      <c r="J35" s="13"/>
    </row>
    <row r="36" spans="2:10" x14ac:dyDescent="0.3">
      <c r="B36" s="14"/>
      <c r="C36" s="18" t="s">
        <v>13</v>
      </c>
      <c r="D36" s="15" t="str">
        <f>D27&amp;D32</f>
        <v>1D15</v>
      </c>
      <c r="E36" s="15"/>
      <c r="F36" s="15"/>
      <c r="G36" s="15"/>
      <c r="H36" s="15"/>
      <c r="I36" s="15"/>
      <c r="J36" s="19"/>
    </row>
    <row r="38" spans="2:10" x14ac:dyDescent="0.3">
      <c r="B38" s="2"/>
      <c r="C38" s="3"/>
      <c r="D38" s="4" t="s">
        <v>4</v>
      </c>
      <c r="E38" s="4" t="s">
        <v>2</v>
      </c>
      <c r="F38" s="4"/>
      <c r="G38" s="4" t="s">
        <v>3</v>
      </c>
      <c r="H38" s="3"/>
      <c r="I38" s="4" t="s">
        <v>14</v>
      </c>
      <c r="J38" s="5"/>
    </row>
    <row r="39" spans="2:10" x14ac:dyDescent="0.3">
      <c r="B39" s="6"/>
      <c r="C39" s="16" t="s">
        <v>0</v>
      </c>
      <c r="D39" s="7"/>
      <c r="E39" s="8">
        <f>E40-D43</f>
        <v>3697</v>
      </c>
      <c r="F39" s="7"/>
      <c r="G39" s="9">
        <f>E39-D44</f>
        <v>3597</v>
      </c>
      <c r="H39" s="20"/>
      <c r="I39" s="21" t="str">
        <f>"N_Agents = """&amp;D49&amp;""""</f>
        <v>N_Agents = "10k"</v>
      </c>
      <c r="J39" s="10"/>
    </row>
    <row r="40" spans="2:10" x14ac:dyDescent="0.3">
      <c r="B40" s="6"/>
      <c r="C40" s="16" t="s">
        <v>1</v>
      </c>
      <c r="D40" s="11">
        <v>43347</v>
      </c>
      <c r="E40" s="12">
        <v>3997</v>
      </c>
      <c r="F40" s="7"/>
      <c r="G40" s="7">
        <f>E40-D44</f>
        <v>3897</v>
      </c>
      <c r="H40" s="7"/>
      <c r="I40" s="21" t="str">
        <f>"AltrevaConfig = """&amp;D48&amp;""" "</f>
        <v xml:space="preserve">AltrevaConfig = "10k-EURUSD-1D-30m-1D30.acn" </v>
      </c>
      <c r="J40" s="13"/>
    </row>
    <row r="41" spans="2:10" x14ac:dyDescent="0.3">
      <c r="B41" s="6"/>
      <c r="C41" s="16" t="s">
        <v>7</v>
      </c>
      <c r="D41" s="7"/>
      <c r="E41" s="7"/>
      <c r="F41" s="7"/>
      <c r="G41" s="7"/>
      <c r="H41" s="7"/>
      <c r="I41" s="21" t="str">
        <f>"UniqueConfPrefix = """&amp;D45&amp;D50&amp;""""</f>
        <v>UniqueConfPrefix = "1D30"</v>
      </c>
      <c r="J41" s="13"/>
    </row>
    <row r="42" spans="2:10" x14ac:dyDescent="0.3">
      <c r="B42" s="6"/>
      <c r="C42" s="16"/>
      <c r="D42" s="7"/>
      <c r="E42" s="7"/>
      <c r="F42" s="7"/>
      <c r="G42" s="7"/>
      <c r="H42" s="7"/>
      <c r="I42" s="21" t="str">
        <f>"ModelsNamePrefix = " &amp;D52</f>
        <v>ModelsNamePrefix = 1000</v>
      </c>
      <c r="J42" s="13"/>
    </row>
    <row r="43" spans="2:10" x14ac:dyDescent="0.3">
      <c r="B43" s="6"/>
      <c r="C43" s="16" t="s">
        <v>5</v>
      </c>
      <c r="D43" s="7">
        <v>300</v>
      </c>
      <c r="E43" s="7"/>
      <c r="F43" s="7"/>
      <c r="G43" s="7"/>
      <c r="H43" s="7"/>
      <c r="I43" s="21" t="str">
        <f>"NumberOfModels = " &amp;D51</f>
        <v>NumberOfModels = 100</v>
      </c>
      <c r="J43" s="13"/>
    </row>
    <row r="44" spans="2:10" x14ac:dyDescent="0.3">
      <c r="B44" s="6"/>
      <c r="C44" s="16" t="s">
        <v>6</v>
      </c>
      <c r="D44" s="7">
        <v>100</v>
      </c>
      <c r="E44" s="7"/>
      <c r="F44" s="7"/>
      <c r="G44" s="7"/>
      <c r="H44" s="7"/>
      <c r="I44" s="21" t="str">
        <f>"Style = """&amp;D53&amp;""""</f>
        <v>Style = "1FDA-style.aps"</v>
      </c>
      <c r="J44" s="13"/>
    </row>
    <row r="45" spans="2:10" x14ac:dyDescent="0.3">
      <c r="B45" s="6"/>
      <c r="C45" s="16" t="s">
        <v>16</v>
      </c>
      <c r="D45" s="12" t="s">
        <v>27</v>
      </c>
      <c r="E45" s="7"/>
      <c r="F45" s="7"/>
      <c r="G45" s="7"/>
      <c r="H45" s="7"/>
      <c r="J45" s="13"/>
    </row>
    <row r="46" spans="2:10" x14ac:dyDescent="0.3">
      <c r="B46" s="6"/>
      <c r="C46" s="16" t="s">
        <v>17</v>
      </c>
      <c r="D46" s="12" t="s">
        <v>28</v>
      </c>
      <c r="E46" s="7"/>
      <c r="F46" s="7"/>
      <c r="G46" s="7"/>
      <c r="H46" s="7"/>
      <c r="I46" s="22" t="s">
        <v>15</v>
      </c>
      <c r="J46" s="13"/>
    </row>
    <row r="47" spans="2:10" x14ac:dyDescent="0.3">
      <c r="B47" s="6"/>
      <c r="C47" s="17" t="s">
        <v>8</v>
      </c>
      <c r="D47" t="s">
        <v>29</v>
      </c>
      <c r="E47" s="7"/>
      <c r="F47" s="7"/>
      <c r="G47" s="7"/>
      <c r="H47" s="7"/>
      <c r="I47" s="25" t="str">
        <f>D48&amp;"-"&amp; D52 &amp; "-.vbs"</f>
        <v>10k-EURUSD-1D-30m-1D30.acn-1000-.vbs</v>
      </c>
      <c r="J47" s="13"/>
    </row>
    <row r="48" spans="2:10" x14ac:dyDescent="0.3">
      <c r="B48" s="6"/>
      <c r="C48" s="17" t="s">
        <v>10</v>
      </c>
      <c r="D48" s="12" t="str">
        <f>D49&amp;"-" &amp; D46&amp;"-"&amp;D45&amp;"-" &amp;D50&amp;"m-" &amp; D54&amp; ".acn"</f>
        <v>10k-EURUSD-1D-30m-1D30.acn</v>
      </c>
      <c r="E48" s="7"/>
      <c r="F48" s="7"/>
      <c r="G48" s="7"/>
      <c r="H48" s="7"/>
      <c r="I48" s="20"/>
      <c r="J48" s="13"/>
    </row>
    <row r="49" spans="2:10" x14ac:dyDescent="0.3">
      <c r="B49" s="6"/>
      <c r="C49" s="17" t="s">
        <v>9</v>
      </c>
      <c r="D49" s="12" t="str">
        <f>$M$2</f>
        <v>10k</v>
      </c>
      <c r="E49" s="7"/>
      <c r="F49" s="7"/>
      <c r="G49" s="7"/>
      <c r="H49" s="7"/>
      <c r="I49" s="7"/>
      <c r="J49" s="13"/>
    </row>
    <row r="50" spans="2:10" x14ac:dyDescent="0.3">
      <c r="B50" s="6"/>
      <c r="C50" s="17" t="s">
        <v>30</v>
      </c>
      <c r="D50" s="12">
        <v>30</v>
      </c>
      <c r="E50" s="7"/>
      <c r="F50" s="7"/>
      <c r="G50" s="7"/>
      <c r="H50" s="7"/>
      <c r="I50" s="7"/>
      <c r="J50" s="13"/>
    </row>
    <row r="51" spans="2:10" x14ac:dyDescent="0.3">
      <c r="B51" s="6"/>
      <c r="C51" s="17" t="s">
        <v>11</v>
      </c>
      <c r="D51" s="12">
        <f>$M$3</f>
        <v>100</v>
      </c>
      <c r="E51" s="7"/>
      <c r="F51" s="7"/>
      <c r="G51" s="7"/>
      <c r="H51" s="7"/>
      <c r="I51" s="7"/>
      <c r="J51" s="13"/>
    </row>
    <row r="52" spans="2:10" x14ac:dyDescent="0.3">
      <c r="B52" s="6"/>
      <c r="C52" s="17" t="s">
        <v>12</v>
      </c>
      <c r="D52" s="12">
        <v>1000</v>
      </c>
      <c r="E52" s="7"/>
      <c r="F52" s="7"/>
      <c r="G52" s="7"/>
      <c r="H52" s="7"/>
      <c r="I52" s="7"/>
      <c r="J52" s="13"/>
    </row>
    <row r="53" spans="2:10" x14ac:dyDescent="0.3">
      <c r="B53" s="6"/>
      <c r="C53" s="17" t="s">
        <v>19</v>
      </c>
      <c r="D53" s="27" t="s">
        <v>22</v>
      </c>
      <c r="E53" s="7"/>
      <c r="F53" s="7"/>
      <c r="G53" s="7"/>
      <c r="H53" s="7" t="s">
        <v>23</v>
      </c>
      <c r="I53" s="28" t="s">
        <v>24</v>
      </c>
      <c r="J53" s="13"/>
    </row>
    <row r="54" spans="2:10" x14ac:dyDescent="0.3">
      <c r="B54" s="14"/>
      <c r="C54" s="18" t="s">
        <v>13</v>
      </c>
      <c r="D54" s="15" t="str">
        <f>D45&amp;D50</f>
        <v>1D30</v>
      </c>
      <c r="E54" s="15"/>
      <c r="F54" s="15"/>
      <c r="G54" s="15"/>
      <c r="H54" s="15"/>
      <c r="I54" s="15"/>
      <c r="J54" s="19"/>
    </row>
    <row r="56" spans="2:10" x14ac:dyDescent="0.3">
      <c r="B56" s="2"/>
      <c r="C56" s="3"/>
      <c r="D56" s="4" t="s">
        <v>4</v>
      </c>
      <c r="E56" s="4" t="s">
        <v>2</v>
      </c>
      <c r="F56" s="4"/>
      <c r="G56" s="4" t="s">
        <v>3</v>
      </c>
      <c r="H56" s="3"/>
      <c r="I56" s="4" t="s">
        <v>14</v>
      </c>
      <c r="J56" s="5"/>
    </row>
    <row r="57" spans="2:10" x14ac:dyDescent="0.3">
      <c r="B57" s="6"/>
      <c r="C57" s="16" t="s">
        <v>0</v>
      </c>
      <c r="D57" s="7"/>
      <c r="E57" s="8">
        <f>E58-D61</f>
        <v>3697</v>
      </c>
      <c r="F57" s="7"/>
      <c r="G57" s="9">
        <f>E57-D62</f>
        <v>3597</v>
      </c>
      <c r="H57" s="20"/>
      <c r="I57" s="21" t="str">
        <f>"N_Agents = """&amp;D67&amp;""""</f>
        <v>N_Agents = "10k"</v>
      </c>
      <c r="J57" s="10"/>
    </row>
    <row r="58" spans="2:10" x14ac:dyDescent="0.3">
      <c r="B58" s="6"/>
      <c r="C58" s="16" t="s">
        <v>1</v>
      </c>
      <c r="D58" s="11">
        <v>43347</v>
      </c>
      <c r="E58" s="12">
        <v>3997</v>
      </c>
      <c r="F58" s="7"/>
      <c r="G58" s="7">
        <f>E58-D62</f>
        <v>3897</v>
      </c>
      <c r="H58" s="7"/>
      <c r="I58" s="21" t="str">
        <f>"AltrevaConfig = """&amp;D66&amp;""" "</f>
        <v xml:space="preserve">AltrevaConfig = "10k-EURUSD-1D-50m-1D50.acn" </v>
      </c>
      <c r="J58" s="13"/>
    </row>
    <row r="59" spans="2:10" x14ac:dyDescent="0.3">
      <c r="B59" s="6"/>
      <c r="C59" s="16" t="s">
        <v>7</v>
      </c>
      <c r="D59" s="7"/>
      <c r="E59" s="7"/>
      <c r="F59" s="7"/>
      <c r="G59" s="7"/>
      <c r="H59" s="7"/>
      <c r="I59" s="21" t="str">
        <f>"UniqueConfPrefix = """&amp;D63&amp;D68&amp;""""</f>
        <v>UniqueConfPrefix = "1D50"</v>
      </c>
      <c r="J59" s="13"/>
    </row>
    <row r="60" spans="2:10" x14ac:dyDescent="0.3">
      <c r="B60" s="6"/>
      <c r="C60" s="16"/>
      <c r="D60" s="7"/>
      <c r="E60" s="7"/>
      <c r="F60" s="7"/>
      <c r="G60" s="7"/>
      <c r="H60" s="7"/>
      <c r="I60" s="21" t="str">
        <f>"ModelsNamePrefix = " &amp;D70</f>
        <v>ModelsNamePrefix = 1000</v>
      </c>
      <c r="J60" s="13"/>
    </row>
    <row r="61" spans="2:10" x14ac:dyDescent="0.3">
      <c r="B61" s="6"/>
      <c r="C61" s="16" t="s">
        <v>5</v>
      </c>
      <c r="D61" s="7">
        <v>300</v>
      </c>
      <c r="E61" s="7"/>
      <c r="F61" s="7"/>
      <c r="G61" s="7"/>
      <c r="H61" s="7"/>
      <c r="I61" s="21" t="str">
        <f>"NumberOfModels = " &amp;D69</f>
        <v>NumberOfModels = 100</v>
      </c>
      <c r="J61" s="13"/>
    </row>
    <row r="62" spans="2:10" x14ac:dyDescent="0.3">
      <c r="B62" s="6"/>
      <c r="C62" s="16" t="s">
        <v>6</v>
      </c>
      <c r="D62" s="7">
        <v>100</v>
      </c>
      <c r="E62" s="7"/>
      <c r="F62" s="7"/>
      <c r="G62" s="7"/>
      <c r="H62" s="7"/>
      <c r="I62" s="21" t="str">
        <f>"Style = """&amp;D71&amp;""""</f>
        <v>Style = "1FDA-style.aps"</v>
      </c>
      <c r="J62" s="13"/>
    </row>
    <row r="63" spans="2:10" x14ac:dyDescent="0.3">
      <c r="B63" s="6"/>
      <c r="C63" s="16" t="s">
        <v>16</v>
      </c>
      <c r="D63" s="12" t="s">
        <v>27</v>
      </c>
      <c r="E63" s="7"/>
      <c r="F63" s="7"/>
      <c r="G63" s="7"/>
      <c r="H63" s="7"/>
      <c r="J63" s="13"/>
    </row>
    <row r="64" spans="2:10" x14ac:dyDescent="0.3">
      <c r="B64" s="6"/>
      <c r="C64" s="16" t="s">
        <v>17</v>
      </c>
      <c r="D64" s="12" t="s">
        <v>28</v>
      </c>
      <c r="E64" s="7"/>
      <c r="F64" s="7"/>
      <c r="G64" s="7"/>
      <c r="H64" s="7"/>
      <c r="I64" s="22" t="s">
        <v>15</v>
      </c>
      <c r="J64" s="13"/>
    </row>
    <row r="65" spans="2:10" x14ac:dyDescent="0.3">
      <c r="B65" s="6"/>
      <c r="C65" s="17" t="s">
        <v>8</v>
      </c>
      <c r="D65" t="s">
        <v>29</v>
      </c>
      <c r="E65" s="7"/>
      <c r="F65" s="7"/>
      <c r="G65" s="7"/>
      <c r="H65" s="7"/>
      <c r="I65" s="25" t="str">
        <f>D66&amp;"-"&amp; D70 &amp; "-.vbs"</f>
        <v>10k-EURUSD-1D-50m-1D50.acn-1000-.vbs</v>
      </c>
      <c r="J65" s="13"/>
    </row>
    <row r="66" spans="2:10" x14ac:dyDescent="0.3">
      <c r="B66" s="6"/>
      <c r="C66" s="17" t="s">
        <v>10</v>
      </c>
      <c r="D66" s="12" t="str">
        <f>D67&amp;"-" &amp; D64&amp;"-"&amp;D63&amp;"-" &amp;D68&amp;"m-" &amp; D72&amp; ".acn"</f>
        <v>10k-EURUSD-1D-50m-1D50.acn</v>
      </c>
      <c r="E66" s="7"/>
      <c r="F66" s="7"/>
      <c r="G66" s="7"/>
      <c r="H66" s="7"/>
      <c r="I66" s="20"/>
      <c r="J66" s="13"/>
    </row>
    <row r="67" spans="2:10" x14ac:dyDescent="0.3">
      <c r="B67" s="6"/>
      <c r="C67" s="17" t="s">
        <v>9</v>
      </c>
      <c r="D67" s="12" t="str">
        <f>$M$2</f>
        <v>10k</v>
      </c>
      <c r="E67" s="7"/>
      <c r="F67" s="7"/>
      <c r="G67" s="7"/>
      <c r="H67" s="7"/>
      <c r="I67" s="7"/>
      <c r="J67" s="13"/>
    </row>
    <row r="68" spans="2:10" x14ac:dyDescent="0.3">
      <c r="B68" s="6"/>
      <c r="C68" s="17" t="s">
        <v>30</v>
      </c>
      <c r="D68" s="12">
        <v>50</v>
      </c>
      <c r="E68" s="7"/>
      <c r="F68" s="7"/>
      <c r="G68" s="7"/>
      <c r="H68" s="7"/>
      <c r="I68" s="7"/>
      <c r="J68" s="13"/>
    </row>
    <row r="69" spans="2:10" x14ac:dyDescent="0.3">
      <c r="B69" s="6"/>
      <c r="C69" s="17" t="s">
        <v>11</v>
      </c>
      <c r="D69" s="12">
        <f>$M$3</f>
        <v>100</v>
      </c>
      <c r="E69" s="7"/>
      <c r="F69" s="7"/>
      <c r="G69" s="7"/>
      <c r="H69" s="7"/>
      <c r="I69" s="7"/>
      <c r="J69" s="13"/>
    </row>
    <row r="70" spans="2:10" x14ac:dyDescent="0.3">
      <c r="B70" s="6"/>
      <c r="C70" s="17" t="s">
        <v>12</v>
      </c>
      <c r="D70" s="12">
        <v>1000</v>
      </c>
      <c r="E70" s="7"/>
      <c r="F70" s="7"/>
      <c r="G70" s="7"/>
      <c r="H70" s="7"/>
      <c r="I70" s="7"/>
      <c r="J70" s="13"/>
    </row>
    <row r="71" spans="2:10" x14ac:dyDescent="0.3">
      <c r="B71" s="6"/>
      <c r="C71" s="17" t="s">
        <v>19</v>
      </c>
      <c r="D71" s="27" t="s">
        <v>22</v>
      </c>
      <c r="E71" s="7"/>
      <c r="F71" s="7"/>
      <c r="G71" s="7"/>
      <c r="H71" s="7" t="s">
        <v>23</v>
      </c>
      <c r="I71" s="28" t="s">
        <v>24</v>
      </c>
      <c r="J71" s="13"/>
    </row>
    <row r="72" spans="2:10" x14ac:dyDescent="0.3">
      <c r="B72" s="14"/>
      <c r="C72" s="18" t="s">
        <v>13</v>
      </c>
      <c r="D72" s="15" t="str">
        <f>D63&amp;D68</f>
        <v>1D50</v>
      </c>
      <c r="E72" s="15"/>
      <c r="F72" s="15"/>
      <c r="G72" s="15"/>
      <c r="H72" s="15"/>
      <c r="I72" s="15"/>
      <c r="J72" s="19"/>
    </row>
  </sheetData>
  <pageMargins left="0.7" right="0.7" top="0.75" bottom="0.75" header="0.3" footer="0.3"/>
  <pageSetup paperSize="9" orientation="portrait" horizontalDpi="360" verticalDpi="36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B1:M72"/>
  <sheetViews>
    <sheetView topLeftCell="A52" workbookViewId="0">
      <selection activeCell="I47" sqref="I47"/>
    </sheetView>
  </sheetViews>
  <sheetFormatPr defaultRowHeight="14.4" x14ac:dyDescent="0.3"/>
  <cols>
    <col min="3" max="3" width="24.5546875" customWidth="1"/>
    <col min="4" max="4" width="13.77734375" customWidth="1"/>
    <col min="9" max="9" width="47.109375" customWidth="1"/>
    <col min="12" max="12" width="12.44140625" customWidth="1"/>
  </cols>
  <sheetData>
    <row r="1" spans="2:13" ht="15" thickBot="1" x14ac:dyDescent="0.35">
      <c r="L1" s="23" t="s">
        <v>26</v>
      </c>
      <c r="M1" s="24" t="s">
        <v>25</v>
      </c>
    </row>
    <row r="2" spans="2:13" ht="15" thickBot="1" x14ac:dyDescent="0.35">
      <c r="B2" s="2"/>
      <c r="C2" s="3"/>
      <c r="D2" s="4" t="s">
        <v>4</v>
      </c>
      <c r="E2" s="4" t="s">
        <v>2</v>
      </c>
      <c r="F2" s="4"/>
      <c r="G2" s="4" t="s">
        <v>3</v>
      </c>
      <c r="H2" s="3"/>
      <c r="I2" s="4" t="s">
        <v>14</v>
      </c>
      <c r="J2" s="5"/>
      <c r="L2" s="23" t="s">
        <v>20</v>
      </c>
      <c r="M2" s="1" t="s">
        <v>31</v>
      </c>
    </row>
    <row r="3" spans="2:13" x14ac:dyDescent="0.3">
      <c r="B3" s="6"/>
      <c r="C3" s="16" t="s">
        <v>0</v>
      </c>
      <c r="D3" s="7"/>
      <c r="E3" s="8">
        <f>E4-D7</f>
        <v>3697</v>
      </c>
      <c r="F3" s="7"/>
      <c r="G3" s="9">
        <f>E3-D8</f>
        <v>3597</v>
      </c>
      <c r="H3" s="20"/>
      <c r="I3" s="21" t="str">
        <f>"N_Agents = """&amp;D13&amp;""""</f>
        <v>N_Agents = "05k"</v>
      </c>
      <c r="J3" s="10"/>
      <c r="L3" s="26" t="s">
        <v>21</v>
      </c>
      <c r="M3">
        <v>100</v>
      </c>
    </row>
    <row r="4" spans="2:13" x14ac:dyDescent="0.3">
      <c r="B4" s="6"/>
      <c r="C4" s="16" t="s">
        <v>1</v>
      </c>
      <c r="D4" s="11">
        <v>43347</v>
      </c>
      <c r="E4" s="12">
        <v>3997</v>
      </c>
      <c r="F4" s="7"/>
      <c r="G4" s="7">
        <f>E4-D8</f>
        <v>3897</v>
      </c>
      <c r="H4" s="7"/>
      <c r="I4" s="21" t="str">
        <f>"AltrevaConfig = """&amp;D12&amp;""" "</f>
        <v xml:space="preserve">AltrevaConfig = "05k-EURUSD-1D-00m-1D00.acn" </v>
      </c>
      <c r="J4" s="13"/>
    </row>
    <row r="5" spans="2:13" x14ac:dyDescent="0.3">
      <c r="B5" s="6"/>
      <c r="C5" s="16" t="s">
        <v>7</v>
      </c>
      <c r="D5" s="7"/>
      <c r="E5" s="7"/>
      <c r="F5" s="7"/>
      <c r="G5" s="7"/>
      <c r="H5" s="7"/>
      <c r="I5" s="21" t="str">
        <f>"UniqueConfPrefix = """&amp;D9&amp;D14&amp;""""</f>
        <v>UniqueConfPrefix = "1D00"</v>
      </c>
      <c r="J5" s="13"/>
    </row>
    <row r="6" spans="2:13" x14ac:dyDescent="0.3">
      <c r="B6" s="6"/>
      <c r="C6" s="16"/>
      <c r="D6" s="7"/>
      <c r="E6" s="7"/>
      <c r="F6" s="7"/>
      <c r="G6" s="7"/>
      <c r="H6" s="7"/>
      <c r="I6" s="21" t="str">
        <f>"ModelsNamePrefix = " &amp;D16</f>
        <v>ModelsNamePrefix = 1000</v>
      </c>
      <c r="J6" s="13"/>
    </row>
    <row r="7" spans="2:13" x14ac:dyDescent="0.3">
      <c r="B7" s="6"/>
      <c r="C7" s="16" t="s">
        <v>5</v>
      </c>
      <c r="D7" s="7">
        <v>300</v>
      </c>
      <c r="E7" s="7"/>
      <c r="F7" s="7"/>
      <c r="G7" s="7"/>
      <c r="H7" s="7"/>
      <c r="I7" s="21" t="str">
        <f>"NumberOfModels = " &amp;D15</f>
        <v>NumberOfModels = 100</v>
      </c>
      <c r="J7" s="13"/>
    </row>
    <row r="8" spans="2:13" x14ac:dyDescent="0.3">
      <c r="B8" s="6"/>
      <c r="C8" s="16" t="s">
        <v>6</v>
      </c>
      <c r="D8" s="7">
        <v>100</v>
      </c>
      <c r="E8" s="7"/>
      <c r="F8" s="7"/>
      <c r="G8" s="7"/>
      <c r="H8" s="7"/>
      <c r="I8" s="21" t="str">
        <f>"Style = """&amp;D17&amp;""""</f>
        <v>Style = "1FDA-style.aps"</v>
      </c>
      <c r="J8" s="13"/>
    </row>
    <row r="9" spans="2:13" x14ac:dyDescent="0.3">
      <c r="B9" s="6"/>
      <c r="C9" s="16" t="s">
        <v>16</v>
      </c>
      <c r="D9" s="12" t="s">
        <v>27</v>
      </c>
      <c r="E9" s="7"/>
      <c r="F9" s="7"/>
      <c r="G9" s="7"/>
      <c r="H9" s="7"/>
      <c r="J9" s="13"/>
    </row>
    <row r="10" spans="2:13" x14ac:dyDescent="0.3">
      <c r="B10" s="6"/>
      <c r="C10" s="16" t="s">
        <v>17</v>
      </c>
      <c r="D10" s="12" t="s">
        <v>28</v>
      </c>
      <c r="E10" s="7"/>
      <c r="F10" s="7"/>
      <c r="G10" s="7"/>
      <c r="H10" s="7"/>
      <c r="I10" s="22" t="s">
        <v>15</v>
      </c>
      <c r="J10" s="13"/>
    </row>
    <row r="11" spans="2:13" x14ac:dyDescent="0.3">
      <c r="B11" s="6"/>
      <c r="C11" s="17" t="s">
        <v>8</v>
      </c>
      <c r="D11" t="s">
        <v>29</v>
      </c>
      <c r="E11" s="7"/>
      <c r="F11" s="7"/>
      <c r="G11" s="7"/>
      <c r="H11" s="7"/>
      <c r="I11" s="25" t="str">
        <f>D12&amp;"-"&amp; D16 &amp; "-.vbs"</f>
        <v>05k-EURUSD-1D-00m-1D00.acn-1000-.vbs</v>
      </c>
      <c r="J11" s="13"/>
    </row>
    <row r="12" spans="2:13" x14ac:dyDescent="0.3">
      <c r="B12" s="6"/>
      <c r="C12" s="17" t="s">
        <v>10</v>
      </c>
      <c r="D12" s="12" t="str">
        <f>D13&amp;"-" &amp; D10&amp;"-"&amp;D9&amp;"-" &amp;D14&amp;"m-" &amp; D18&amp; ".acn"</f>
        <v>05k-EURUSD-1D-00m-1D00.acn</v>
      </c>
      <c r="E12" s="7"/>
      <c r="F12" s="7"/>
      <c r="G12" s="7"/>
      <c r="H12" s="7"/>
      <c r="I12" s="20"/>
      <c r="J12" s="13"/>
    </row>
    <row r="13" spans="2:13" x14ac:dyDescent="0.3">
      <c r="B13" s="6"/>
      <c r="C13" s="17" t="s">
        <v>9</v>
      </c>
      <c r="D13" s="12" t="str">
        <f>$M$2</f>
        <v>05k</v>
      </c>
      <c r="E13" s="7"/>
      <c r="F13" s="7"/>
      <c r="G13" s="7"/>
      <c r="H13" s="7"/>
      <c r="I13" s="7"/>
      <c r="J13" s="13"/>
    </row>
    <row r="14" spans="2:13" x14ac:dyDescent="0.3">
      <c r="B14" s="6"/>
      <c r="C14" s="17" t="s">
        <v>30</v>
      </c>
      <c r="D14" s="12" t="str">
        <f>"00"</f>
        <v>00</v>
      </c>
      <c r="E14" s="7"/>
      <c r="F14" s="7"/>
      <c r="G14" s="7"/>
      <c r="H14" s="7"/>
      <c r="I14" s="7"/>
      <c r="J14" s="13"/>
    </row>
    <row r="15" spans="2:13" x14ac:dyDescent="0.3">
      <c r="B15" s="6"/>
      <c r="C15" s="17" t="s">
        <v>11</v>
      </c>
      <c r="D15" s="12">
        <f>$M$3</f>
        <v>100</v>
      </c>
      <c r="E15" s="7"/>
      <c r="F15" s="7"/>
      <c r="G15" s="7"/>
      <c r="H15" s="7"/>
      <c r="I15" s="7"/>
      <c r="J15" s="13"/>
    </row>
    <row r="16" spans="2:13" x14ac:dyDescent="0.3">
      <c r="B16" s="6"/>
      <c r="C16" s="17" t="s">
        <v>12</v>
      </c>
      <c r="D16" s="12">
        <v>1000</v>
      </c>
      <c r="E16" s="7"/>
      <c r="F16" s="7"/>
      <c r="G16" s="7"/>
      <c r="H16" s="7"/>
      <c r="I16" s="7"/>
      <c r="J16" s="13"/>
    </row>
    <row r="17" spans="2:10" x14ac:dyDescent="0.3">
      <c r="B17" s="6"/>
      <c r="C17" s="17" t="s">
        <v>19</v>
      </c>
      <c r="D17" s="27" t="s">
        <v>22</v>
      </c>
      <c r="E17" s="7"/>
      <c r="F17" s="7"/>
      <c r="G17" s="7"/>
      <c r="H17" s="7" t="s">
        <v>23</v>
      </c>
      <c r="I17" s="28" t="s">
        <v>24</v>
      </c>
      <c r="J17" s="13"/>
    </row>
    <row r="18" spans="2:10" x14ac:dyDescent="0.3">
      <c r="B18" s="14"/>
      <c r="C18" s="18" t="s">
        <v>13</v>
      </c>
      <c r="D18" s="15" t="str">
        <f>D9&amp;D14</f>
        <v>1D00</v>
      </c>
      <c r="E18" s="15"/>
      <c r="F18" s="15"/>
      <c r="G18" s="15"/>
      <c r="H18" s="15"/>
      <c r="I18" s="15"/>
      <c r="J18" s="19"/>
    </row>
    <row r="20" spans="2:10" x14ac:dyDescent="0.3">
      <c r="B20" s="2"/>
      <c r="C20" s="3"/>
      <c r="D20" s="4" t="s">
        <v>4</v>
      </c>
      <c r="E20" s="4" t="s">
        <v>2</v>
      </c>
      <c r="F20" s="4"/>
      <c r="G20" s="4" t="s">
        <v>3</v>
      </c>
      <c r="H20" s="3"/>
      <c r="I20" s="4" t="s">
        <v>14</v>
      </c>
      <c r="J20" s="5"/>
    </row>
    <row r="21" spans="2:10" x14ac:dyDescent="0.3">
      <c r="B21" s="6"/>
      <c r="C21" s="16" t="s">
        <v>0</v>
      </c>
      <c r="D21" s="7"/>
      <c r="E21" s="8">
        <f>E22-D25</f>
        <v>3697</v>
      </c>
      <c r="F21" s="7"/>
      <c r="G21" s="9">
        <f>E21-D26</f>
        <v>3597</v>
      </c>
      <c r="H21" s="20"/>
      <c r="I21" s="21" t="str">
        <f>"N_Agents = """&amp;D31&amp;""""</f>
        <v>N_Agents = "05k"</v>
      </c>
      <c r="J21" s="10"/>
    </row>
    <row r="22" spans="2:10" x14ac:dyDescent="0.3">
      <c r="B22" s="6"/>
      <c r="C22" s="16" t="s">
        <v>1</v>
      </c>
      <c r="D22" s="11">
        <v>43347</v>
      </c>
      <c r="E22" s="12">
        <v>3997</v>
      </c>
      <c r="F22" s="7"/>
      <c r="G22" s="7">
        <f>E22-D26</f>
        <v>3897</v>
      </c>
      <c r="H22" s="7"/>
      <c r="I22" s="21" t="str">
        <f>"AltrevaConfig = """&amp;D30&amp;""" "</f>
        <v xml:space="preserve">AltrevaConfig = "05k-EURUSD-1D-15m-1D15.acn" </v>
      </c>
      <c r="J22" s="13"/>
    </row>
    <row r="23" spans="2:10" x14ac:dyDescent="0.3">
      <c r="B23" s="6"/>
      <c r="C23" s="16" t="s">
        <v>7</v>
      </c>
      <c r="D23" s="7"/>
      <c r="E23" s="7"/>
      <c r="F23" s="7"/>
      <c r="G23" s="7"/>
      <c r="H23" s="7"/>
      <c r="I23" s="21" t="str">
        <f>"UniqueConfPrefix = """&amp;D27&amp;D32&amp;""""</f>
        <v>UniqueConfPrefix = "1D15"</v>
      </c>
      <c r="J23" s="13"/>
    </row>
    <row r="24" spans="2:10" x14ac:dyDescent="0.3">
      <c r="B24" s="6"/>
      <c r="C24" s="16"/>
      <c r="D24" s="7"/>
      <c r="E24" s="7"/>
      <c r="F24" s="7"/>
      <c r="G24" s="7"/>
      <c r="H24" s="7"/>
      <c r="I24" s="21" t="str">
        <f>"ModelsNamePrefix = " &amp;D34</f>
        <v>ModelsNamePrefix = 1000</v>
      </c>
      <c r="J24" s="13"/>
    </row>
    <row r="25" spans="2:10" x14ac:dyDescent="0.3">
      <c r="B25" s="6"/>
      <c r="C25" s="16" t="s">
        <v>5</v>
      </c>
      <c r="D25" s="7">
        <v>300</v>
      </c>
      <c r="E25" s="7"/>
      <c r="F25" s="7"/>
      <c r="G25" s="7"/>
      <c r="H25" s="7"/>
      <c r="I25" s="21" t="str">
        <f>"NumberOfModels = " &amp;D33</f>
        <v>NumberOfModels = 100</v>
      </c>
      <c r="J25" s="13"/>
    </row>
    <row r="26" spans="2:10" x14ac:dyDescent="0.3">
      <c r="B26" s="6"/>
      <c r="C26" s="16" t="s">
        <v>6</v>
      </c>
      <c r="D26" s="7">
        <v>100</v>
      </c>
      <c r="E26" s="7"/>
      <c r="F26" s="7"/>
      <c r="G26" s="7"/>
      <c r="H26" s="7"/>
      <c r="I26" s="21" t="str">
        <f>"Style = """&amp;D35&amp;""""</f>
        <v>Style = "1FDA-style.aps"</v>
      </c>
      <c r="J26" s="13"/>
    </row>
    <row r="27" spans="2:10" x14ac:dyDescent="0.3">
      <c r="B27" s="6"/>
      <c r="C27" s="16" t="s">
        <v>16</v>
      </c>
      <c r="D27" s="12" t="s">
        <v>27</v>
      </c>
      <c r="E27" s="7"/>
      <c r="F27" s="7"/>
      <c r="G27" s="7"/>
      <c r="H27" s="7"/>
      <c r="J27" s="13"/>
    </row>
    <row r="28" spans="2:10" x14ac:dyDescent="0.3">
      <c r="B28" s="6"/>
      <c r="C28" s="16" t="s">
        <v>17</v>
      </c>
      <c r="D28" s="12" t="s">
        <v>28</v>
      </c>
      <c r="E28" s="7"/>
      <c r="F28" s="7"/>
      <c r="G28" s="7"/>
      <c r="H28" s="7"/>
      <c r="I28" s="22" t="s">
        <v>15</v>
      </c>
      <c r="J28" s="13"/>
    </row>
    <row r="29" spans="2:10" x14ac:dyDescent="0.3">
      <c r="B29" s="6"/>
      <c r="C29" s="17" t="s">
        <v>8</v>
      </c>
      <c r="D29" t="s">
        <v>29</v>
      </c>
      <c r="E29" s="7"/>
      <c r="F29" s="7"/>
      <c r="G29" s="7"/>
      <c r="H29" s="7"/>
      <c r="I29" s="25" t="str">
        <f>D30&amp;"-"&amp; D34 &amp; "-.vbs"</f>
        <v>05k-EURUSD-1D-15m-1D15.acn-1000-.vbs</v>
      </c>
      <c r="J29" s="13"/>
    </row>
    <row r="30" spans="2:10" x14ac:dyDescent="0.3">
      <c r="B30" s="6"/>
      <c r="C30" s="17" t="s">
        <v>10</v>
      </c>
      <c r="D30" s="12" t="str">
        <f>D31&amp;"-" &amp; D28&amp;"-"&amp;D27&amp;"-" &amp;D32&amp;"m-" &amp; D36&amp; ".acn"</f>
        <v>05k-EURUSD-1D-15m-1D15.acn</v>
      </c>
      <c r="E30" s="7"/>
      <c r="F30" s="7"/>
      <c r="G30" s="7"/>
      <c r="H30" s="7"/>
      <c r="I30" s="20"/>
      <c r="J30" s="13"/>
    </row>
    <row r="31" spans="2:10" x14ac:dyDescent="0.3">
      <c r="B31" s="6"/>
      <c r="C31" s="17" t="s">
        <v>9</v>
      </c>
      <c r="D31" s="12" t="str">
        <f>$M$2</f>
        <v>05k</v>
      </c>
      <c r="E31" s="7"/>
      <c r="F31" s="7"/>
      <c r="G31" s="7"/>
      <c r="H31" s="7"/>
      <c r="I31" s="7"/>
      <c r="J31" s="13"/>
    </row>
    <row r="32" spans="2:10" x14ac:dyDescent="0.3">
      <c r="B32" s="6"/>
      <c r="C32" s="17" t="s">
        <v>30</v>
      </c>
      <c r="D32" s="12">
        <v>15</v>
      </c>
      <c r="E32" s="7"/>
      <c r="F32" s="7"/>
      <c r="G32" s="7"/>
      <c r="H32" s="7"/>
      <c r="I32" s="7"/>
      <c r="J32" s="13"/>
    </row>
    <row r="33" spans="2:10" x14ac:dyDescent="0.3">
      <c r="B33" s="6"/>
      <c r="C33" s="17" t="s">
        <v>11</v>
      </c>
      <c r="D33" s="12">
        <f>$M$3</f>
        <v>100</v>
      </c>
      <c r="E33" s="7"/>
      <c r="F33" s="7"/>
      <c r="G33" s="7"/>
      <c r="H33" s="7"/>
      <c r="I33" s="7"/>
      <c r="J33" s="13"/>
    </row>
    <row r="34" spans="2:10" x14ac:dyDescent="0.3">
      <c r="B34" s="6"/>
      <c r="C34" s="17" t="s">
        <v>12</v>
      </c>
      <c r="D34" s="12">
        <v>1000</v>
      </c>
      <c r="E34" s="7"/>
      <c r="F34" s="7"/>
      <c r="G34" s="7"/>
      <c r="H34" s="7"/>
      <c r="I34" s="7"/>
      <c r="J34" s="13"/>
    </row>
    <row r="35" spans="2:10" x14ac:dyDescent="0.3">
      <c r="B35" s="6"/>
      <c r="C35" s="17" t="s">
        <v>19</v>
      </c>
      <c r="D35" s="27" t="s">
        <v>22</v>
      </c>
      <c r="E35" s="7"/>
      <c r="F35" s="7"/>
      <c r="G35" s="7"/>
      <c r="H35" s="7" t="s">
        <v>23</v>
      </c>
      <c r="I35" s="28" t="s">
        <v>24</v>
      </c>
      <c r="J35" s="13"/>
    </row>
    <row r="36" spans="2:10" x14ac:dyDescent="0.3">
      <c r="B36" s="14"/>
      <c r="C36" s="18" t="s">
        <v>13</v>
      </c>
      <c r="D36" s="15" t="str">
        <f>D27&amp;D32</f>
        <v>1D15</v>
      </c>
      <c r="E36" s="15"/>
      <c r="F36" s="15"/>
      <c r="G36" s="15"/>
      <c r="H36" s="15"/>
      <c r="I36" s="15"/>
      <c r="J36" s="19"/>
    </row>
    <row r="38" spans="2:10" x14ac:dyDescent="0.3">
      <c r="B38" s="2"/>
      <c r="C38" s="3"/>
      <c r="D38" s="4" t="s">
        <v>4</v>
      </c>
      <c r="E38" s="4" t="s">
        <v>2</v>
      </c>
      <c r="F38" s="4"/>
      <c r="G38" s="4" t="s">
        <v>3</v>
      </c>
      <c r="H38" s="3"/>
      <c r="I38" s="4" t="s">
        <v>14</v>
      </c>
      <c r="J38" s="5"/>
    </row>
    <row r="39" spans="2:10" x14ac:dyDescent="0.3">
      <c r="B39" s="6"/>
      <c r="C39" s="16" t="s">
        <v>0</v>
      </c>
      <c r="D39" s="7"/>
      <c r="E39" s="8">
        <f>E40-D43</f>
        <v>3697</v>
      </c>
      <c r="F39" s="7"/>
      <c r="G39" s="9">
        <f>E39-D44</f>
        <v>3597</v>
      </c>
      <c r="H39" s="20"/>
      <c r="I39" s="21" t="str">
        <f>"N_Agents = """&amp;D49&amp;""""</f>
        <v>N_Agents = "05k"</v>
      </c>
      <c r="J39" s="10"/>
    </row>
    <row r="40" spans="2:10" x14ac:dyDescent="0.3">
      <c r="B40" s="6"/>
      <c r="C40" s="16" t="s">
        <v>1</v>
      </c>
      <c r="D40" s="11">
        <v>43347</v>
      </c>
      <c r="E40" s="12">
        <v>3997</v>
      </c>
      <c r="F40" s="7"/>
      <c r="G40" s="7">
        <f>E40-D44</f>
        <v>3897</v>
      </c>
      <c r="H40" s="7"/>
      <c r="I40" s="21" t="str">
        <f>"AltrevaConfig = """&amp;D48&amp;""" "</f>
        <v xml:space="preserve">AltrevaConfig = "05k-EURUSD-1D-30m-1D30.acn" </v>
      </c>
      <c r="J40" s="13"/>
    </row>
    <row r="41" spans="2:10" x14ac:dyDescent="0.3">
      <c r="B41" s="6"/>
      <c r="C41" s="16" t="s">
        <v>7</v>
      </c>
      <c r="D41" s="7"/>
      <c r="E41" s="7"/>
      <c r="F41" s="7"/>
      <c r="G41" s="7"/>
      <c r="H41" s="7"/>
      <c r="I41" s="21" t="str">
        <f>"UniqueConfPrefix = """&amp;D45&amp;D50&amp;""""</f>
        <v>UniqueConfPrefix = "1D30"</v>
      </c>
      <c r="J41" s="13"/>
    </row>
    <row r="42" spans="2:10" x14ac:dyDescent="0.3">
      <c r="B42" s="6"/>
      <c r="C42" s="16"/>
      <c r="D42" s="7"/>
      <c r="E42" s="7"/>
      <c r="F42" s="7"/>
      <c r="G42" s="7"/>
      <c r="H42" s="7"/>
      <c r="I42" s="21" t="str">
        <f>"ModelsNamePrefix = " &amp;D52</f>
        <v>ModelsNamePrefix = 1000</v>
      </c>
      <c r="J42" s="13"/>
    </row>
    <row r="43" spans="2:10" x14ac:dyDescent="0.3">
      <c r="B43" s="6"/>
      <c r="C43" s="16" t="s">
        <v>5</v>
      </c>
      <c r="D43" s="7">
        <v>300</v>
      </c>
      <c r="E43" s="7"/>
      <c r="F43" s="7"/>
      <c r="G43" s="7"/>
      <c r="H43" s="7"/>
      <c r="I43" s="21" t="str">
        <f>"NumberOfModels = " &amp;D51</f>
        <v>NumberOfModels = 100</v>
      </c>
      <c r="J43" s="13"/>
    </row>
    <row r="44" spans="2:10" x14ac:dyDescent="0.3">
      <c r="B44" s="6"/>
      <c r="C44" s="16" t="s">
        <v>6</v>
      </c>
      <c r="D44" s="7">
        <v>100</v>
      </c>
      <c r="E44" s="7"/>
      <c r="F44" s="7"/>
      <c r="G44" s="7"/>
      <c r="H44" s="7"/>
      <c r="I44" s="21" t="str">
        <f>"Style = """&amp;D53&amp;""""</f>
        <v>Style = "1FDA-style.aps"</v>
      </c>
      <c r="J44" s="13"/>
    </row>
    <row r="45" spans="2:10" x14ac:dyDescent="0.3">
      <c r="B45" s="6"/>
      <c r="C45" s="16" t="s">
        <v>16</v>
      </c>
      <c r="D45" s="12" t="s">
        <v>27</v>
      </c>
      <c r="E45" s="7"/>
      <c r="F45" s="7"/>
      <c r="G45" s="7"/>
      <c r="H45" s="7"/>
      <c r="J45" s="13"/>
    </row>
    <row r="46" spans="2:10" x14ac:dyDescent="0.3">
      <c r="B46" s="6"/>
      <c r="C46" s="16" t="s">
        <v>17</v>
      </c>
      <c r="D46" s="12" t="s">
        <v>28</v>
      </c>
      <c r="E46" s="7"/>
      <c r="F46" s="7"/>
      <c r="G46" s="7"/>
      <c r="H46" s="7"/>
      <c r="I46" s="22" t="s">
        <v>15</v>
      </c>
      <c r="J46" s="13"/>
    </row>
    <row r="47" spans="2:10" x14ac:dyDescent="0.3">
      <c r="B47" s="6"/>
      <c r="C47" s="17" t="s">
        <v>8</v>
      </c>
      <c r="D47" t="s">
        <v>29</v>
      </c>
      <c r="E47" s="7"/>
      <c r="F47" s="7"/>
      <c r="G47" s="7"/>
      <c r="H47" s="7"/>
      <c r="I47" s="25" t="str">
        <f>D48&amp;"-"&amp; D52 &amp; "-.vbs"</f>
        <v>05k-EURUSD-1D-30m-1D30.acn-1000-.vbs</v>
      </c>
      <c r="J47" s="13"/>
    </row>
    <row r="48" spans="2:10" x14ac:dyDescent="0.3">
      <c r="B48" s="6"/>
      <c r="C48" s="17" t="s">
        <v>10</v>
      </c>
      <c r="D48" s="12" t="str">
        <f>D49&amp;"-" &amp; D46&amp;"-"&amp;D45&amp;"-" &amp;D50&amp;"m-" &amp; D54&amp; ".acn"</f>
        <v>05k-EURUSD-1D-30m-1D30.acn</v>
      </c>
      <c r="E48" s="7"/>
      <c r="F48" s="7"/>
      <c r="G48" s="7"/>
      <c r="H48" s="7"/>
      <c r="I48" s="20"/>
      <c r="J48" s="13"/>
    </row>
    <row r="49" spans="2:10" x14ac:dyDescent="0.3">
      <c r="B49" s="6"/>
      <c r="C49" s="17" t="s">
        <v>9</v>
      </c>
      <c r="D49" s="12" t="str">
        <f>$M$2</f>
        <v>05k</v>
      </c>
      <c r="E49" s="7"/>
      <c r="F49" s="7"/>
      <c r="G49" s="7"/>
      <c r="H49" s="7"/>
      <c r="I49" s="7"/>
      <c r="J49" s="13"/>
    </row>
    <row r="50" spans="2:10" x14ac:dyDescent="0.3">
      <c r="B50" s="6"/>
      <c r="C50" s="17" t="s">
        <v>30</v>
      </c>
      <c r="D50" s="12">
        <v>30</v>
      </c>
      <c r="E50" s="7"/>
      <c r="F50" s="7"/>
      <c r="G50" s="7"/>
      <c r="H50" s="7"/>
      <c r="I50" s="7"/>
      <c r="J50" s="13"/>
    </row>
    <row r="51" spans="2:10" x14ac:dyDescent="0.3">
      <c r="B51" s="6"/>
      <c r="C51" s="17" t="s">
        <v>11</v>
      </c>
      <c r="D51" s="12">
        <f>$M$3</f>
        <v>100</v>
      </c>
      <c r="E51" s="7"/>
      <c r="F51" s="7"/>
      <c r="G51" s="7"/>
      <c r="H51" s="7"/>
      <c r="I51" s="7"/>
      <c r="J51" s="13"/>
    </row>
    <row r="52" spans="2:10" x14ac:dyDescent="0.3">
      <c r="B52" s="6"/>
      <c r="C52" s="17" t="s">
        <v>12</v>
      </c>
      <c r="D52" s="12">
        <v>1000</v>
      </c>
      <c r="E52" s="7"/>
      <c r="F52" s="7"/>
      <c r="G52" s="7"/>
      <c r="H52" s="7"/>
      <c r="I52" s="7"/>
      <c r="J52" s="13"/>
    </row>
    <row r="53" spans="2:10" x14ac:dyDescent="0.3">
      <c r="B53" s="6"/>
      <c r="C53" s="17" t="s">
        <v>19</v>
      </c>
      <c r="D53" s="27" t="s">
        <v>22</v>
      </c>
      <c r="E53" s="7"/>
      <c r="F53" s="7"/>
      <c r="G53" s="7"/>
      <c r="H53" s="7" t="s">
        <v>23</v>
      </c>
      <c r="I53" s="28" t="s">
        <v>24</v>
      </c>
      <c r="J53" s="13"/>
    </row>
    <row r="54" spans="2:10" x14ac:dyDescent="0.3">
      <c r="B54" s="14"/>
      <c r="C54" s="18" t="s">
        <v>13</v>
      </c>
      <c r="D54" s="15" t="str">
        <f>D45&amp;D50</f>
        <v>1D30</v>
      </c>
      <c r="E54" s="15"/>
      <c r="F54" s="15"/>
      <c r="G54" s="15"/>
      <c r="H54" s="15"/>
      <c r="I54" s="15"/>
      <c r="J54" s="19"/>
    </row>
    <row r="56" spans="2:10" x14ac:dyDescent="0.3">
      <c r="B56" s="2"/>
      <c r="C56" s="3"/>
      <c r="D56" s="4" t="s">
        <v>4</v>
      </c>
      <c r="E56" s="4" t="s">
        <v>2</v>
      </c>
      <c r="F56" s="4"/>
      <c r="G56" s="4" t="s">
        <v>3</v>
      </c>
      <c r="H56" s="3"/>
      <c r="I56" s="4" t="s">
        <v>14</v>
      </c>
      <c r="J56" s="5"/>
    </row>
    <row r="57" spans="2:10" x14ac:dyDescent="0.3">
      <c r="B57" s="6"/>
      <c r="C57" s="16" t="s">
        <v>0</v>
      </c>
      <c r="D57" s="7"/>
      <c r="E57" s="8">
        <f>E58-D61</f>
        <v>3697</v>
      </c>
      <c r="F57" s="7"/>
      <c r="G57" s="9">
        <f>E57-D62</f>
        <v>3597</v>
      </c>
      <c r="H57" s="20"/>
      <c r="I57" s="21" t="str">
        <f>"N_Agents = """&amp;D67&amp;""""</f>
        <v>N_Agents = "05k"</v>
      </c>
      <c r="J57" s="10"/>
    </row>
    <row r="58" spans="2:10" x14ac:dyDescent="0.3">
      <c r="B58" s="6"/>
      <c r="C58" s="16" t="s">
        <v>1</v>
      </c>
      <c r="D58" s="11">
        <v>43347</v>
      </c>
      <c r="E58" s="12">
        <v>3997</v>
      </c>
      <c r="F58" s="7"/>
      <c r="G58" s="7">
        <f>E58-D62</f>
        <v>3897</v>
      </c>
      <c r="H58" s="7"/>
      <c r="I58" s="21" t="str">
        <f>"AltrevaConfig = """&amp;D66&amp;""" "</f>
        <v xml:space="preserve">AltrevaConfig = "05k-EURUSD-1D-50m-1D50.acn" </v>
      </c>
      <c r="J58" s="13"/>
    </row>
    <row r="59" spans="2:10" x14ac:dyDescent="0.3">
      <c r="B59" s="6"/>
      <c r="C59" s="16" t="s">
        <v>7</v>
      </c>
      <c r="D59" s="7"/>
      <c r="E59" s="7"/>
      <c r="F59" s="7"/>
      <c r="G59" s="7"/>
      <c r="H59" s="7"/>
      <c r="I59" s="21" t="str">
        <f>"UniqueConfPrefix = """&amp;D63&amp;D68&amp;""""</f>
        <v>UniqueConfPrefix = "1D50"</v>
      </c>
      <c r="J59" s="13"/>
    </row>
    <row r="60" spans="2:10" x14ac:dyDescent="0.3">
      <c r="B60" s="6"/>
      <c r="C60" s="16"/>
      <c r="D60" s="7"/>
      <c r="E60" s="7"/>
      <c r="F60" s="7"/>
      <c r="G60" s="7"/>
      <c r="H60" s="7"/>
      <c r="I60" s="21" t="str">
        <f>"ModelsNamePrefix = " &amp;D70</f>
        <v>ModelsNamePrefix = 1000</v>
      </c>
      <c r="J60" s="13"/>
    </row>
    <row r="61" spans="2:10" x14ac:dyDescent="0.3">
      <c r="B61" s="6"/>
      <c r="C61" s="16" t="s">
        <v>5</v>
      </c>
      <c r="D61" s="7">
        <v>300</v>
      </c>
      <c r="E61" s="7"/>
      <c r="F61" s="7"/>
      <c r="G61" s="7"/>
      <c r="H61" s="7"/>
      <c r="I61" s="21" t="str">
        <f>"NumberOfModels = " &amp;D69</f>
        <v>NumberOfModels = 100</v>
      </c>
      <c r="J61" s="13"/>
    </row>
    <row r="62" spans="2:10" x14ac:dyDescent="0.3">
      <c r="B62" s="6"/>
      <c r="C62" s="16" t="s">
        <v>6</v>
      </c>
      <c r="D62" s="7">
        <v>100</v>
      </c>
      <c r="E62" s="7"/>
      <c r="F62" s="7"/>
      <c r="G62" s="7"/>
      <c r="H62" s="7"/>
      <c r="I62" s="21" t="str">
        <f>"Style = """&amp;D71&amp;""""</f>
        <v>Style = "1FDA-style.aps"</v>
      </c>
      <c r="J62" s="13"/>
    </row>
    <row r="63" spans="2:10" x14ac:dyDescent="0.3">
      <c r="B63" s="6"/>
      <c r="C63" s="16" t="s">
        <v>16</v>
      </c>
      <c r="D63" s="12" t="s">
        <v>27</v>
      </c>
      <c r="E63" s="7"/>
      <c r="F63" s="7"/>
      <c r="G63" s="7"/>
      <c r="H63" s="7"/>
      <c r="J63" s="13"/>
    </row>
    <row r="64" spans="2:10" x14ac:dyDescent="0.3">
      <c r="B64" s="6"/>
      <c r="C64" s="16" t="s">
        <v>17</v>
      </c>
      <c r="D64" s="12" t="s">
        <v>28</v>
      </c>
      <c r="E64" s="7"/>
      <c r="F64" s="7"/>
      <c r="G64" s="7"/>
      <c r="H64" s="7"/>
      <c r="I64" s="22" t="s">
        <v>15</v>
      </c>
      <c r="J64" s="13"/>
    </row>
    <row r="65" spans="2:10" x14ac:dyDescent="0.3">
      <c r="B65" s="6"/>
      <c r="C65" s="17" t="s">
        <v>8</v>
      </c>
      <c r="D65" t="s">
        <v>29</v>
      </c>
      <c r="E65" s="7"/>
      <c r="F65" s="7"/>
      <c r="G65" s="7"/>
      <c r="H65" s="7"/>
      <c r="I65" s="25" t="str">
        <f>D66&amp;"-"&amp; D70 &amp; "-.vbs"</f>
        <v>05k-EURUSD-1D-50m-1D50.acn-1000-.vbs</v>
      </c>
      <c r="J65" s="13"/>
    </row>
    <row r="66" spans="2:10" x14ac:dyDescent="0.3">
      <c r="B66" s="6"/>
      <c r="C66" s="17" t="s">
        <v>10</v>
      </c>
      <c r="D66" s="12" t="str">
        <f>D67&amp;"-" &amp; D64&amp;"-"&amp;D63&amp;"-" &amp;D68&amp;"m-" &amp; D72&amp; ".acn"</f>
        <v>05k-EURUSD-1D-50m-1D50.acn</v>
      </c>
      <c r="E66" s="7"/>
      <c r="F66" s="7"/>
      <c r="G66" s="7"/>
      <c r="H66" s="7"/>
      <c r="I66" s="20"/>
      <c r="J66" s="13"/>
    </row>
    <row r="67" spans="2:10" x14ac:dyDescent="0.3">
      <c r="B67" s="6"/>
      <c r="C67" s="17" t="s">
        <v>9</v>
      </c>
      <c r="D67" s="12" t="str">
        <f>$M$2</f>
        <v>05k</v>
      </c>
      <c r="E67" s="7"/>
      <c r="F67" s="7"/>
      <c r="G67" s="7"/>
      <c r="H67" s="7"/>
      <c r="I67" s="7"/>
      <c r="J67" s="13"/>
    </row>
    <row r="68" spans="2:10" x14ac:dyDescent="0.3">
      <c r="B68" s="6"/>
      <c r="C68" s="17" t="s">
        <v>30</v>
      </c>
      <c r="D68" s="12">
        <v>50</v>
      </c>
      <c r="E68" s="7"/>
      <c r="F68" s="7"/>
      <c r="G68" s="7"/>
      <c r="H68" s="7"/>
      <c r="I68" s="7"/>
      <c r="J68" s="13"/>
    </row>
    <row r="69" spans="2:10" x14ac:dyDescent="0.3">
      <c r="B69" s="6"/>
      <c r="C69" s="17" t="s">
        <v>11</v>
      </c>
      <c r="D69" s="12">
        <f>$M$3</f>
        <v>100</v>
      </c>
      <c r="E69" s="7"/>
      <c r="F69" s="7"/>
      <c r="G69" s="7"/>
      <c r="H69" s="7"/>
      <c r="I69" s="7"/>
      <c r="J69" s="13"/>
    </row>
    <row r="70" spans="2:10" x14ac:dyDescent="0.3">
      <c r="B70" s="6"/>
      <c r="C70" s="17" t="s">
        <v>12</v>
      </c>
      <c r="D70" s="12">
        <v>1000</v>
      </c>
      <c r="E70" s="7"/>
      <c r="F70" s="7"/>
      <c r="G70" s="7"/>
      <c r="H70" s="7"/>
      <c r="I70" s="7"/>
      <c r="J70" s="13"/>
    </row>
    <row r="71" spans="2:10" x14ac:dyDescent="0.3">
      <c r="B71" s="6"/>
      <c r="C71" s="17" t="s">
        <v>19</v>
      </c>
      <c r="D71" s="27" t="s">
        <v>22</v>
      </c>
      <c r="E71" s="7"/>
      <c r="F71" s="7"/>
      <c r="G71" s="7"/>
      <c r="H71" s="7" t="s">
        <v>23</v>
      </c>
      <c r="I71" s="28" t="s">
        <v>24</v>
      </c>
      <c r="J71" s="13"/>
    </row>
    <row r="72" spans="2:10" x14ac:dyDescent="0.3">
      <c r="B72" s="14"/>
      <c r="C72" s="18" t="s">
        <v>13</v>
      </c>
      <c r="D72" s="15" t="str">
        <f>D63&amp;D68</f>
        <v>1D50</v>
      </c>
      <c r="E72" s="15"/>
      <c r="F72" s="15"/>
      <c r="G72" s="15"/>
      <c r="H72" s="15"/>
      <c r="I72" s="15"/>
      <c r="J72" s="19"/>
    </row>
  </sheetData>
  <pageMargins left="0.7" right="0.7" top="0.75" bottom="0.75" header="0.3" footer="0.3"/>
  <pageSetup paperSize="9" orientation="portrait" horizontalDpi="360" verticalDpi="36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B1:M72"/>
  <sheetViews>
    <sheetView topLeftCell="A49" workbookViewId="0">
      <selection activeCell="I65" sqref="I65"/>
    </sheetView>
  </sheetViews>
  <sheetFormatPr defaultRowHeight="14.4" x14ac:dyDescent="0.3"/>
  <cols>
    <col min="3" max="3" width="24.5546875" customWidth="1"/>
    <col min="4" max="4" width="13.77734375" customWidth="1"/>
    <col min="9" max="9" width="47.109375" customWidth="1"/>
    <col min="12" max="12" width="12.44140625" customWidth="1"/>
  </cols>
  <sheetData>
    <row r="1" spans="2:13" ht="15" thickBot="1" x14ac:dyDescent="0.35">
      <c r="L1" s="23" t="s">
        <v>26</v>
      </c>
      <c r="M1" s="24" t="s">
        <v>25</v>
      </c>
    </row>
    <row r="2" spans="2:13" ht="15" thickBot="1" x14ac:dyDescent="0.35">
      <c r="B2" s="2"/>
      <c r="C2" s="3"/>
      <c r="D2" s="4" t="s">
        <v>4</v>
      </c>
      <c r="E2" s="4" t="s">
        <v>2</v>
      </c>
      <c r="F2" s="4"/>
      <c r="G2" s="4" t="s">
        <v>3</v>
      </c>
      <c r="H2" s="3"/>
      <c r="I2" s="4" t="s">
        <v>14</v>
      </c>
      <c r="J2" s="5"/>
      <c r="L2" s="23" t="s">
        <v>20</v>
      </c>
      <c r="M2" s="1" t="s">
        <v>18</v>
      </c>
    </row>
    <row r="3" spans="2:13" x14ac:dyDescent="0.3">
      <c r="B3" s="6"/>
      <c r="C3" s="16" t="s">
        <v>0</v>
      </c>
      <c r="D3" s="7"/>
      <c r="E3" s="8">
        <f>E4-D7</f>
        <v>3697</v>
      </c>
      <c r="F3" s="7"/>
      <c r="G3" s="9">
        <f>E3-D8</f>
        <v>3597</v>
      </c>
      <c r="H3" s="20"/>
      <c r="I3" s="21" t="str">
        <f>"N_Agents = """&amp;D13&amp;""""</f>
        <v>N_Agents = "01k"</v>
      </c>
      <c r="J3" s="10"/>
      <c r="L3" s="26" t="s">
        <v>21</v>
      </c>
      <c r="M3">
        <v>100</v>
      </c>
    </row>
    <row r="4" spans="2:13" x14ac:dyDescent="0.3">
      <c r="B4" s="6"/>
      <c r="C4" s="16" t="s">
        <v>1</v>
      </c>
      <c r="D4" s="11">
        <v>43347</v>
      </c>
      <c r="E4" s="12">
        <v>3997</v>
      </c>
      <c r="F4" s="7"/>
      <c r="G4" s="7">
        <f>E4-D8</f>
        <v>3897</v>
      </c>
      <c r="H4" s="7"/>
      <c r="I4" s="21" t="str">
        <f>"AltrevaConfig = """&amp;D12&amp;""" "</f>
        <v xml:space="preserve">AltrevaConfig = "01k-EURUSD-1D-00m-1D00.acn" </v>
      </c>
      <c r="J4" s="13"/>
    </row>
    <row r="5" spans="2:13" x14ac:dyDescent="0.3">
      <c r="B5" s="6"/>
      <c r="C5" s="16" t="s">
        <v>7</v>
      </c>
      <c r="D5" s="7"/>
      <c r="E5" s="7"/>
      <c r="F5" s="7"/>
      <c r="G5" s="7"/>
      <c r="H5" s="7"/>
      <c r="I5" s="21" t="str">
        <f>"UniqueConfPrefix = """&amp;D9&amp;D14&amp;""""</f>
        <v>UniqueConfPrefix = "1D00"</v>
      </c>
      <c r="J5" s="13"/>
    </row>
    <row r="6" spans="2:13" x14ac:dyDescent="0.3">
      <c r="B6" s="6"/>
      <c r="C6" s="16"/>
      <c r="D6" s="7"/>
      <c r="E6" s="7"/>
      <c r="F6" s="7"/>
      <c r="G6" s="7"/>
      <c r="H6" s="7"/>
      <c r="I6" s="21" t="str">
        <f>"ModelsNamePrefix = " &amp;D16</f>
        <v>ModelsNamePrefix = 1000</v>
      </c>
      <c r="J6" s="13"/>
    </row>
    <row r="7" spans="2:13" x14ac:dyDescent="0.3">
      <c r="B7" s="6"/>
      <c r="C7" s="16" t="s">
        <v>5</v>
      </c>
      <c r="D7" s="7">
        <v>300</v>
      </c>
      <c r="E7" s="7"/>
      <c r="F7" s="7"/>
      <c r="G7" s="7"/>
      <c r="H7" s="7"/>
      <c r="I7" s="21" t="str">
        <f>"NumberOfModels = " &amp;D15</f>
        <v>NumberOfModels = 100</v>
      </c>
      <c r="J7" s="13"/>
    </row>
    <row r="8" spans="2:13" x14ac:dyDescent="0.3">
      <c r="B8" s="6"/>
      <c r="C8" s="16" t="s">
        <v>6</v>
      </c>
      <c r="D8" s="7">
        <v>100</v>
      </c>
      <c r="E8" s="7"/>
      <c r="F8" s="7"/>
      <c r="G8" s="7"/>
      <c r="H8" s="7"/>
      <c r="I8" s="21" t="str">
        <f>"Style = """&amp;D17&amp;""""</f>
        <v>Style = "1FDA-style.aps"</v>
      </c>
      <c r="J8" s="13"/>
    </row>
    <row r="9" spans="2:13" x14ac:dyDescent="0.3">
      <c r="B9" s="6"/>
      <c r="C9" s="16" t="s">
        <v>16</v>
      </c>
      <c r="D9" s="12" t="s">
        <v>27</v>
      </c>
      <c r="E9" s="7"/>
      <c r="F9" s="7"/>
      <c r="G9" s="7"/>
      <c r="H9" s="7"/>
      <c r="J9" s="13"/>
    </row>
    <row r="10" spans="2:13" x14ac:dyDescent="0.3">
      <c r="B10" s="6"/>
      <c r="C10" s="16" t="s">
        <v>17</v>
      </c>
      <c r="D10" s="12" t="s">
        <v>28</v>
      </c>
      <c r="E10" s="7"/>
      <c r="F10" s="7"/>
      <c r="G10" s="7"/>
      <c r="H10" s="7"/>
      <c r="I10" s="22" t="s">
        <v>15</v>
      </c>
      <c r="J10" s="13"/>
    </row>
    <row r="11" spans="2:13" x14ac:dyDescent="0.3">
      <c r="B11" s="6"/>
      <c r="C11" s="17" t="s">
        <v>8</v>
      </c>
      <c r="D11" t="s">
        <v>29</v>
      </c>
      <c r="E11" s="7"/>
      <c r="F11" s="7"/>
      <c r="G11" s="7"/>
      <c r="H11" s="7"/>
      <c r="I11" s="25" t="str">
        <f>D12&amp;"-"&amp; D16 &amp; "-.vbs"</f>
        <v>01k-EURUSD-1D-00m-1D00.acn-1000-.vbs</v>
      </c>
      <c r="J11" s="13"/>
    </row>
    <row r="12" spans="2:13" x14ac:dyDescent="0.3">
      <c r="B12" s="6"/>
      <c r="C12" s="17" t="s">
        <v>10</v>
      </c>
      <c r="D12" s="12" t="str">
        <f>D13&amp;"-" &amp; D10&amp;"-"&amp;D9&amp;"-" &amp;D14&amp;"m-" &amp; D18&amp; ".acn"</f>
        <v>01k-EURUSD-1D-00m-1D00.acn</v>
      </c>
      <c r="E12" s="7"/>
      <c r="F12" s="7"/>
      <c r="G12" s="7"/>
      <c r="H12" s="7"/>
      <c r="I12" s="20"/>
      <c r="J12" s="13"/>
    </row>
    <row r="13" spans="2:13" x14ac:dyDescent="0.3">
      <c r="B13" s="6"/>
      <c r="C13" s="17" t="s">
        <v>9</v>
      </c>
      <c r="D13" s="12" t="str">
        <f>$M$2</f>
        <v>01k</v>
      </c>
      <c r="E13" s="7"/>
      <c r="F13" s="7"/>
      <c r="G13" s="7"/>
      <c r="H13" s="7"/>
      <c r="I13" s="7"/>
      <c r="J13" s="13"/>
    </row>
    <row r="14" spans="2:13" x14ac:dyDescent="0.3">
      <c r="B14" s="6"/>
      <c r="C14" s="17" t="s">
        <v>30</v>
      </c>
      <c r="D14" s="12" t="str">
        <f>"00"</f>
        <v>00</v>
      </c>
      <c r="E14" s="7"/>
      <c r="F14" s="7"/>
      <c r="G14" s="7"/>
      <c r="H14" s="7"/>
      <c r="I14" s="7"/>
      <c r="J14" s="13"/>
    </row>
    <row r="15" spans="2:13" x14ac:dyDescent="0.3">
      <c r="B15" s="6"/>
      <c r="C15" s="17" t="s">
        <v>11</v>
      </c>
      <c r="D15" s="12">
        <f>$M$3</f>
        <v>100</v>
      </c>
      <c r="E15" s="7"/>
      <c r="F15" s="7"/>
      <c r="G15" s="7"/>
      <c r="H15" s="7"/>
      <c r="I15" s="7"/>
      <c r="J15" s="13"/>
    </row>
    <row r="16" spans="2:13" x14ac:dyDescent="0.3">
      <c r="B16" s="6"/>
      <c r="C16" s="17" t="s">
        <v>12</v>
      </c>
      <c r="D16" s="12">
        <v>1000</v>
      </c>
      <c r="E16" s="7"/>
      <c r="F16" s="7"/>
      <c r="G16" s="7"/>
      <c r="H16" s="7"/>
      <c r="I16" s="7"/>
      <c r="J16" s="13"/>
    </row>
    <row r="17" spans="2:10" x14ac:dyDescent="0.3">
      <c r="B17" s="6"/>
      <c r="C17" s="17" t="s">
        <v>19</v>
      </c>
      <c r="D17" s="27" t="s">
        <v>22</v>
      </c>
      <c r="E17" s="7"/>
      <c r="F17" s="7"/>
      <c r="G17" s="7"/>
      <c r="H17" s="7" t="s">
        <v>23</v>
      </c>
      <c r="I17" s="28" t="s">
        <v>24</v>
      </c>
      <c r="J17" s="13"/>
    </row>
    <row r="18" spans="2:10" x14ac:dyDescent="0.3">
      <c r="B18" s="14"/>
      <c r="C18" s="18" t="s">
        <v>13</v>
      </c>
      <c r="D18" s="15" t="str">
        <f>D9&amp;D14</f>
        <v>1D00</v>
      </c>
      <c r="E18" s="15"/>
      <c r="F18" s="15"/>
      <c r="G18" s="15"/>
      <c r="H18" s="15"/>
      <c r="I18" s="15"/>
      <c r="J18" s="19"/>
    </row>
    <row r="20" spans="2:10" x14ac:dyDescent="0.3">
      <c r="B20" s="2"/>
      <c r="C20" s="3"/>
      <c r="D20" s="4" t="s">
        <v>4</v>
      </c>
      <c r="E20" s="4" t="s">
        <v>2</v>
      </c>
      <c r="F20" s="4"/>
      <c r="G20" s="4" t="s">
        <v>3</v>
      </c>
      <c r="H20" s="3"/>
      <c r="I20" s="4" t="s">
        <v>14</v>
      </c>
      <c r="J20" s="5"/>
    </row>
    <row r="21" spans="2:10" x14ac:dyDescent="0.3">
      <c r="B21" s="6"/>
      <c r="C21" s="16" t="s">
        <v>0</v>
      </c>
      <c r="D21" s="7"/>
      <c r="E21" s="8">
        <f>E22-D25</f>
        <v>3697</v>
      </c>
      <c r="F21" s="7"/>
      <c r="G21" s="9">
        <f>E21-D26</f>
        <v>3597</v>
      </c>
      <c r="H21" s="20"/>
      <c r="I21" s="21" t="str">
        <f>"N_Agents = """&amp;D31&amp;""""</f>
        <v>N_Agents = "01k"</v>
      </c>
      <c r="J21" s="10"/>
    </row>
    <row r="22" spans="2:10" x14ac:dyDescent="0.3">
      <c r="B22" s="6"/>
      <c r="C22" s="16" t="s">
        <v>1</v>
      </c>
      <c r="D22" s="11">
        <v>43347</v>
      </c>
      <c r="E22" s="12">
        <v>3997</v>
      </c>
      <c r="F22" s="7"/>
      <c r="G22" s="7">
        <f>E22-D26</f>
        <v>3897</v>
      </c>
      <c r="H22" s="7"/>
      <c r="I22" s="21" t="str">
        <f>"AltrevaConfig = """&amp;D30&amp;""" "</f>
        <v xml:space="preserve">AltrevaConfig = "01k-EURUSD-1D-15m-1D15.acn" </v>
      </c>
      <c r="J22" s="13"/>
    </row>
    <row r="23" spans="2:10" x14ac:dyDescent="0.3">
      <c r="B23" s="6"/>
      <c r="C23" s="16" t="s">
        <v>7</v>
      </c>
      <c r="D23" s="7"/>
      <c r="E23" s="7"/>
      <c r="F23" s="7"/>
      <c r="G23" s="7"/>
      <c r="H23" s="7"/>
      <c r="I23" s="21" t="str">
        <f>"UniqueConfPrefix = """&amp;D27&amp;D32&amp;""""</f>
        <v>UniqueConfPrefix = "1D15"</v>
      </c>
      <c r="J23" s="13"/>
    </row>
    <row r="24" spans="2:10" x14ac:dyDescent="0.3">
      <c r="B24" s="6"/>
      <c r="C24" s="16"/>
      <c r="D24" s="7"/>
      <c r="E24" s="7"/>
      <c r="F24" s="7"/>
      <c r="G24" s="7"/>
      <c r="H24" s="7"/>
      <c r="I24" s="21" t="str">
        <f>"ModelsNamePrefix = " &amp;D34</f>
        <v>ModelsNamePrefix = 1000</v>
      </c>
      <c r="J24" s="13"/>
    </row>
    <row r="25" spans="2:10" x14ac:dyDescent="0.3">
      <c r="B25" s="6"/>
      <c r="C25" s="16" t="s">
        <v>5</v>
      </c>
      <c r="D25" s="7">
        <v>300</v>
      </c>
      <c r="E25" s="7"/>
      <c r="F25" s="7"/>
      <c r="G25" s="7"/>
      <c r="H25" s="7"/>
      <c r="I25" s="21" t="str">
        <f>"NumberOfModels = " &amp;D33</f>
        <v>NumberOfModels = 100</v>
      </c>
      <c r="J25" s="13"/>
    </row>
    <row r="26" spans="2:10" x14ac:dyDescent="0.3">
      <c r="B26" s="6"/>
      <c r="C26" s="16" t="s">
        <v>6</v>
      </c>
      <c r="D26" s="7">
        <v>100</v>
      </c>
      <c r="E26" s="7"/>
      <c r="F26" s="7"/>
      <c r="G26" s="7"/>
      <c r="H26" s="7"/>
      <c r="I26" s="21" t="str">
        <f>"Style = """&amp;D35&amp;""""</f>
        <v>Style = "1FDA-style.aps"</v>
      </c>
      <c r="J26" s="13"/>
    </row>
    <row r="27" spans="2:10" x14ac:dyDescent="0.3">
      <c r="B27" s="6"/>
      <c r="C27" s="16" t="s">
        <v>16</v>
      </c>
      <c r="D27" s="12" t="s">
        <v>27</v>
      </c>
      <c r="E27" s="7"/>
      <c r="F27" s="7"/>
      <c r="G27" s="7"/>
      <c r="H27" s="7"/>
      <c r="J27" s="13"/>
    </row>
    <row r="28" spans="2:10" x14ac:dyDescent="0.3">
      <c r="B28" s="6"/>
      <c r="C28" s="16" t="s">
        <v>17</v>
      </c>
      <c r="D28" s="12" t="s">
        <v>28</v>
      </c>
      <c r="E28" s="7"/>
      <c r="F28" s="7"/>
      <c r="G28" s="7"/>
      <c r="H28" s="7"/>
      <c r="I28" s="22" t="s">
        <v>15</v>
      </c>
      <c r="J28" s="13"/>
    </row>
    <row r="29" spans="2:10" x14ac:dyDescent="0.3">
      <c r="B29" s="6"/>
      <c r="C29" s="17" t="s">
        <v>8</v>
      </c>
      <c r="D29" t="s">
        <v>29</v>
      </c>
      <c r="E29" s="7"/>
      <c r="F29" s="7"/>
      <c r="G29" s="7"/>
      <c r="H29" s="7"/>
      <c r="I29" s="25" t="str">
        <f>D30&amp;"-"&amp; D34 &amp; "-.vbs"</f>
        <v>01k-EURUSD-1D-15m-1D15.acn-1000-.vbs</v>
      </c>
      <c r="J29" s="13"/>
    </row>
    <row r="30" spans="2:10" x14ac:dyDescent="0.3">
      <c r="B30" s="6"/>
      <c r="C30" s="17" t="s">
        <v>10</v>
      </c>
      <c r="D30" s="12" t="str">
        <f>D31&amp;"-" &amp; D28&amp;"-"&amp;D27&amp;"-" &amp;D32&amp;"m-" &amp; D36&amp; ".acn"</f>
        <v>01k-EURUSD-1D-15m-1D15.acn</v>
      </c>
      <c r="E30" s="7"/>
      <c r="F30" s="7"/>
      <c r="G30" s="7"/>
      <c r="H30" s="7"/>
      <c r="I30" s="20"/>
      <c r="J30" s="13"/>
    </row>
    <row r="31" spans="2:10" x14ac:dyDescent="0.3">
      <c r="B31" s="6"/>
      <c r="C31" s="17" t="s">
        <v>9</v>
      </c>
      <c r="D31" s="12" t="str">
        <f>$M$2</f>
        <v>01k</v>
      </c>
      <c r="E31" s="7"/>
      <c r="F31" s="7"/>
      <c r="G31" s="7"/>
      <c r="H31" s="7"/>
      <c r="I31" s="7"/>
      <c r="J31" s="13"/>
    </row>
    <row r="32" spans="2:10" x14ac:dyDescent="0.3">
      <c r="B32" s="6"/>
      <c r="C32" s="17" t="s">
        <v>30</v>
      </c>
      <c r="D32" s="12">
        <v>15</v>
      </c>
      <c r="E32" s="7"/>
      <c r="F32" s="7"/>
      <c r="G32" s="7"/>
      <c r="H32" s="7"/>
      <c r="I32" s="7"/>
      <c r="J32" s="13"/>
    </row>
    <row r="33" spans="2:10" x14ac:dyDescent="0.3">
      <c r="B33" s="6"/>
      <c r="C33" s="17" t="s">
        <v>11</v>
      </c>
      <c r="D33" s="12">
        <f>$M$3</f>
        <v>100</v>
      </c>
      <c r="E33" s="7"/>
      <c r="F33" s="7"/>
      <c r="G33" s="7"/>
      <c r="H33" s="7"/>
      <c r="I33" s="7"/>
      <c r="J33" s="13"/>
    </row>
    <row r="34" spans="2:10" x14ac:dyDescent="0.3">
      <c r="B34" s="6"/>
      <c r="C34" s="17" t="s">
        <v>12</v>
      </c>
      <c r="D34" s="12">
        <v>1000</v>
      </c>
      <c r="E34" s="7"/>
      <c r="F34" s="7"/>
      <c r="G34" s="7"/>
      <c r="H34" s="7"/>
      <c r="I34" s="7"/>
      <c r="J34" s="13"/>
    </row>
    <row r="35" spans="2:10" x14ac:dyDescent="0.3">
      <c r="B35" s="6"/>
      <c r="C35" s="17" t="s">
        <v>19</v>
      </c>
      <c r="D35" s="27" t="s">
        <v>22</v>
      </c>
      <c r="E35" s="7"/>
      <c r="F35" s="7"/>
      <c r="G35" s="7"/>
      <c r="H35" s="7" t="s">
        <v>23</v>
      </c>
      <c r="I35" s="28" t="s">
        <v>24</v>
      </c>
      <c r="J35" s="13"/>
    </row>
    <row r="36" spans="2:10" x14ac:dyDescent="0.3">
      <c r="B36" s="14"/>
      <c r="C36" s="18" t="s">
        <v>13</v>
      </c>
      <c r="D36" s="15" t="str">
        <f>D27&amp;D32</f>
        <v>1D15</v>
      </c>
      <c r="E36" s="15"/>
      <c r="F36" s="15"/>
      <c r="G36" s="15"/>
      <c r="H36" s="15"/>
      <c r="I36" s="15"/>
      <c r="J36" s="19"/>
    </row>
    <row r="38" spans="2:10" x14ac:dyDescent="0.3">
      <c r="B38" s="2"/>
      <c r="C38" s="3"/>
      <c r="D38" s="4" t="s">
        <v>4</v>
      </c>
      <c r="E38" s="4" t="s">
        <v>2</v>
      </c>
      <c r="F38" s="4"/>
      <c r="G38" s="4" t="s">
        <v>3</v>
      </c>
      <c r="H38" s="3"/>
      <c r="I38" s="4" t="s">
        <v>14</v>
      </c>
      <c r="J38" s="5"/>
    </row>
    <row r="39" spans="2:10" x14ac:dyDescent="0.3">
      <c r="B39" s="6"/>
      <c r="C39" s="16" t="s">
        <v>0</v>
      </c>
      <c r="D39" s="7"/>
      <c r="E39" s="8">
        <f>E40-D43</f>
        <v>3697</v>
      </c>
      <c r="F39" s="7"/>
      <c r="G39" s="9">
        <f>E39-D44</f>
        <v>3597</v>
      </c>
      <c r="H39" s="20"/>
      <c r="I39" s="21" t="str">
        <f>"N_Agents = """&amp;D49&amp;""""</f>
        <v>N_Agents = "01k"</v>
      </c>
      <c r="J39" s="10"/>
    </row>
    <row r="40" spans="2:10" x14ac:dyDescent="0.3">
      <c r="B40" s="6"/>
      <c r="C40" s="16" t="s">
        <v>1</v>
      </c>
      <c r="D40" s="11">
        <v>43347</v>
      </c>
      <c r="E40" s="12">
        <v>3997</v>
      </c>
      <c r="F40" s="7"/>
      <c r="G40" s="7">
        <f>E40-D44</f>
        <v>3897</v>
      </c>
      <c r="H40" s="7"/>
      <c r="I40" s="21" t="str">
        <f>"AltrevaConfig = """&amp;D48&amp;""" "</f>
        <v xml:space="preserve">AltrevaConfig = "01k-EURUSD-1D-30m-1D30.acn" </v>
      </c>
      <c r="J40" s="13"/>
    </row>
    <row r="41" spans="2:10" x14ac:dyDescent="0.3">
      <c r="B41" s="6"/>
      <c r="C41" s="16" t="s">
        <v>7</v>
      </c>
      <c r="D41" s="7"/>
      <c r="E41" s="7"/>
      <c r="F41" s="7"/>
      <c r="G41" s="7"/>
      <c r="H41" s="7"/>
      <c r="I41" s="21" t="str">
        <f>"UniqueConfPrefix = """&amp;D45&amp;D50&amp;""""</f>
        <v>UniqueConfPrefix = "1D30"</v>
      </c>
      <c r="J41" s="13"/>
    </row>
    <row r="42" spans="2:10" x14ac:dyDescent="0.3">
      <c r="B42" s="6"/>
      <c r="C42" s="16"/>
      <c r="D42" s="7"/>
      <c r="E42" s="7"/>
      <c r="F42" s="7"/>
      <c r="G42" s="7"/>
      <c r="H42" s="7"/>
      <c r="I42" s="21" t="str">
        <f>"ModelsNamePrefix = " &amp;D52</f>
        <v>ModelsNamePrefix = 1000</v>
      </c>
      <c r="J42" s="13"/>
    </row>
    <row r="43" spans="2:10" x14ac:dyDescent="0.3">
      <c r="B43" s="6"/>
      <c r="C43" s="16" t="s">
        <v>5</v>
      </c>
      <c r="D43" s="7">
        <v>300</v>
      </c>
      <c r="E43" s="7"/>
      <c r="F43" s="7"/>
      <c r="G43" s="7"/>
      <c r="H43" s="7"/>
      <c r="I43" s="21" t="str">
        <f>"NumberOfModels = " &amp;D51</f>
        <v>NumberOfModels = 100</v>
      </c>
      <c r="J43" s="13"/>
    </row>
    <row r="44" spans="2:10" x14ac:dyDescent="0.3">
      <c r="B44" s="6"/>
      <c r="C44" s="16" t="s">
        <v>6</v>
      </c>
      <c r="D44" s="7">
        <v>100</v>
      </c>
      <c r="E44" s="7"/>
      <c r="F44" s="7"/>
      <c r="G44" s="7"/>
      <c r="H44" s="7"/>
      <c r="I44" s="21" t="str">
        <f>"Style = """&amp;D53&amp;""""</f>
        <v>Style = "1FDA-style.aps"</v>
      </c>
      <c r="J44" s="13"/>
    </row>
    <row r="45" spans="2:10" x14ac:dyDescent="0.3">
      <c r="B45" s="6"/>
      <c r="C45" s="16" t="s">
        <v>16</v>
      </c>
      <c r="D45" s="12" t="s">
        <v>27</v>
      </c>
      <c r="E45" s="7"/>
      <c r="F45" s="7"/>
      <c r="G45" s="7"/>
      <c r="H45" s="7"/>
      <c r="J45" s="13"/>
    </row>
    <row r="46" spans="2:10" x14ac:dyDescent="0.3">
      <c r="B46" s="6"/>
      <c r="C46" s="16" t="s">
        <v>17</v>
      </c>
      <c r="D46" s="12" t="s">
        <v>28</v>
      </c>
      <c r="E46" s="7"/>
      <c r="F46" s="7"/>
      <c r="G46" s="7"/>
      <c r="H46" s="7"/>
      <c r="I46" s="22" t="s">
        <v>15</v>
      </c>
      <c r="J46" s="13"/>
    </row>
    <row r="47" spans="2:10" x14ac:dyDescent="0.3">
      <c r="B47" s="6"/>
      <c r="C47" s="17" t="s">
        <v>8</v>
      </c>
      <c r="D47" t="s">
        <v>29</v>
      </c>
      <c r="E47" s="7"/>
      <c r="F47" s="7"/>
      <c r="G47" s="7"/>
      <c r="H47" s="7"/>
      <c r="I47" s="25" t="str">
        <f>D48&amp;"-"&amp; D52 &amp; "-.vbs"</f>
        <v>01k-EURUSD-1D-30m-1D30.acn-1000-.vbs</v>
      </c>
      <c r="J47" s="13"/>
    </row>
    <row r="48" spans="2:10" x14ac:dyDescent="0.3">
      <c r="B48" s="6"/>
      <c r="C48" s="17" t="s">
        <v>10</v>
      </c>
      <c r="D48" s="12" t="str">
        <f>D49&amp;"-" &amp; D46&amp;"-"&amp;D45&amp;"-" &amp;D50&amp;"m-" &amp; D54&amp; ".acn"</f>
        <v>01k-EURUSD-1D-30m-1D30.acn</v>
      </c>
      <c r="E48" s="7"/>
      <c r="F48" s="7"/>
      <c r="G48" s="7"/>
      <c r="H48" s="7"/>
      <c r="I48" s="20"/>
      <c r="J48" s="13"/>
    </row>
    <row r="49" spans="2:10" x14ac:dyDescent="0.3">
      <c r="B49" s="6"/>
      <c r="C49" s="17" t="s">
        <v>9</v>
      </c>
      <c r="D49" s="12" t="str">
        <f>$M$2</f>
        <v>01k</v>
      </c>
      <c r="E49" s="7"/>
      <c r="F49" s="7"/>
      <c r="G49" s="7"/>
      <c r="H49" s="7"/>
      <c r="I49" s="7"/>
      <c r="J49" s="13"/>
    </row>
    <row r="50" spans="2:10" x14ac:dyDescent="0.3">
      <c r="B50" s="6"/>
      <c r="C50" s="17" t="s">
        <v>30</v>
      </c>
      <c r="D50" s="12">
        <v>30</v>
      </c>
      <c r="E50" s="7"/>
      <c r="F50" s="7"/>
      <c r="G50" s="7"/>
      <c r="H50" s="7"/>
      <c r="I50" s="7"/>
      <c r="J50" s="13"/>
    </row>
    <row r="51" spans="2:10" x14ac:dyDescent="0.3">
      <c r="B51" s="6"/>
      <c r="C51" s="17" t="s">
        <v>11</v>
      </c>
      <c r="D51" s="12">
        <f>$M$3</f>
        <v>100</v>
      </c>
      <c r="E51" s="7"/>
      <c r="F51" s="7"/>
      <c r="G51" s="7"/>
      <c r="H51" s="7"/>
      <c r="I51" s="7"/>
      <c r="J51" s="13"/>
    </row>
    <row r="52" spans="2:10" x14ac:dyDescent="0.3">
      <c r="B52" s="6"/>
      <c r="C52" s="17" t="s">
        <v>12</v>
      </c>
      <c r="D52" s="12">
        <v>1000</v>
      </c>
      <c r="E52" s="7"/>
      <c r="F52" s="7"/>
      <c r="G52" s="7"/>
      <c r="H52" s="7"/>
      <c r="I52" s="7"/>
      <c r="J52" s="13"/>
    </row>
    <row r="53" spans="2:10" x14ac:dyDescent="0.3">
      <c r="B53" s="6"/>
      <c r="C53" s="17" t="s">
        <v>19</v>
      </c>
      <c r="D53" s="27" t="s">
        <v>22</v>
      </c>
      <c r="E53" s="7"/>
      <c r="F53" s="7"/>
      <c r="G53" s="7"/>
      <c r="H53" s="7" t="s">
        <v>23</v>
      </c>
      <c r="I53" s="28" t="s">
        <v>24</v>
      </c>
      <c r="J53" s="13"/>
    </row>
    <row r="54" spans="2:10" x14ac:dyDescent="0.3">
      <c r="B54" s="14"/>
      <c r="C54" s="18" t="s">
        <v>13</v>
      </c>
      <c r="D54" s="15" t="str">
        <f>D45&amp;D50</f>
        <v>1D30</v>
      </c>
      <c r="E54" s="15"/>
      <c r="F54" s="15"/>
      <c r="G54" s="15"/>
      <c r="H54" s="15"/>
      <c r="I54" s="15"/>
      <c r="J54" s="19"/>
    </row>
    <row r="56" spans="2:10" x14ac:dyDescent="0.3">
      <c r="B56" s="2"/>
      <c r="C56" s="3"/>
      <c r="D56" s="4" t="s">
        <v>4</v>
      </c>
      <c r="E56" s="4" t="s">
        <v>2</v>
      </c>
      <c r="F56" s="4"/>
      <c r="G56" s="4" t="s">
        <v>3</v>
      </c>
      <c r="H56" s="3"/>
      <c r="I56" s="4" t="s">
        <v>14</v>
      </c>
      <c r="J56" s="5"/>
    </row>
    <row r="57" spans="2:10" x14ac:dyDescent="0.3">
      <c r="B57" s="6"/>
      <c r="C57" s="16" t="s">
        <v>0</v>
      </c>
      <c r="D57" s="7"/>
      <c r="E57" s="8">
        <f>E58-D61</f>
        <v>3697</v>
      </c>
      <c r="F57" s="7"/>
      <c r="G57" s="9">
        <f>E57-D62</f>
        <v>3597</v>
      </c>
      <c r="H57" s="20"/>
      <c r="I57" s="21" t="str">
        <f>"N_Agents = """&amp;D67&amp;""""</f>
        <v>N_Agents = "01k"</v>
      </c>
      <c r="J57" s="10"/>
    </row>
    <row r="58" spans="2:10" x14ac:dyDescent="0.3">
      <c r="B58" s="6"/>
      <c r="C58" s="16" t="s">
        <v>1</v>
      </c>
      <c r="D58" s="11">
        <v>43347</v>
      </c>
      <c r="E58" s="12">
        <v>3997</v>
      </c>
      <c r="F58" s="7"/>
      <c r="G58" s="7">
        <f>E58-D62</f>
        <v>3897</v>
      </c>
      <c r="H58" s="7"/>
      <c r="I58" s="21" t="str">
        <f>"AltrevaConfig = """&amp;D66&amp;""" "</f>
        <v xml:space="preserve">AltrevaConfig = "01k-EURUSD-1D-50m-1D50.acn" </v>
      </c>
      <c r="J58" s="13"/>
    </row>
    <row r="59" spans="2:10" x14ac:dyDescent="0.3">
      <c r="B59" s="6"/>
      <c r="C59" s="16" t="s">
        <v>7</v>
      </c>
      <c r="D59" s="7"/>
      <c r="E59" s="7"/>
      <c r="F59" s="7"/>
      <c r="G59" s="7"/>
      <c r="H59" s="7"/>
      <c r="I59" s="21" t="str">
        <f>"UniqueConfPrefix = """&amp;D63&amp;D68&amp;""""</f>
        <v>UniqueConfPrefix = "1D50"</v>
      </c>
      <c r="J59" s="13"/>
    </row>
    <row r="60" spans="2:10" x14ac:dyDescent="0.3">
      <c r="B60" s="6"/>
      <c r="C60" s="16"/>
      <c r="D60" s="7"/>
      <c r="E60" s="7"/>
      <c r="F60" s="7"/>
      <c r="G60" s="7"/>
      <c r="H60" s="7"/>
      <c r="I60" s="21" t="str">
        <f>"ModelsNamePrefix = " &amp;D70</f>
        <v>ModelsNamePrefix = 1000</v>
      </c>
      <c r="J60" s="13"/>
    </row>
    <row r="61" spans="2:10" x14ac:dyDescent="0.3">
      <c r="B61" s="6"/>
      <c r="C61" s="16" t="s">
        <v>5</v>
      </c>
      <c r="D61" s="7">
        <v>300</v>
      </c>
      <c r="E61" s="7"/>
      <c r="F61" s="7"/>
      <c r="G61" s="7"/>
      <c r="H61" s="7"/>
      <c r="I61" s="21" t="str">
        <f>"NumberOfModels = " &amp;D69</f>
        <v>NumberOfModels = 100</v>
      </c>
      <c r="J61" s="13"/>
    </row>
    <row r="62" spans="2:10" x14ac:dyDescent="0.3">
      <c r="B62" s="6"/>
      <c r="C62" s="16" t="s">
        <v>6</v>
      </c>
      <c r="D62" s="7">
        <v>100</v>
      </c>
      <c r="E62" s="7"/>
      <c r="F62" s="7"/>
      <c r="G62" s="7"/>
      <c r="H62" s="7"/>
      <c r="I62" s="21" t="str">
        <f>"Style = """&amp;D71&amp;""""</f>
        <v>Style = "1FDA-style.aps"</v>
      </c>
      <c r="J62" s="13"/>
    </row>
    <row r="63" spans="2:10" x14ac:dyDescent="0.3">
      <c r="B63" s="6"/>
      <c r="C63" s="16" t="s">
        <v>16</v>
      </c>
      <c r="D63" s="12" t="s">
        <v>27</v>
      </c>
      <c r="E63" s="7"/>
      <c r="F63" s="7"/>
      <c r="G63" s="7"/>
      <c r="H63" s="7"/>
      <c r="J63" s="13"/>
    </row>
    <row r="64" spans="2:10" x14ac:dyDescent="0.3">
      <c r="B64" s="6"/>
      <c r="C64" s="16" t="s">
        <v>17</v>
      </c>
      <c r="D64" s="12" t="s">
        <v>28</v>
      </c>
      <c r="E64" s="7"/>
      <c r="F64" s="7"/>
      <c r="G64" s="7"/>
      <c r="H64" s="7"/>
      <c r="I64" s="22" t="s">
        <v>15</v>
      </c>
      <c r="J64" s="13"/>
    </row>
    <row r="65" spans="2:10" x14ac:dyDescent="0.3">
      <c r="B65" s="6"/>
      <c r="C65" s="17" t="s">
        <v>8</v>
      </c>
      <c r="D65" t="s">
        <v>29</v>
      </c>
      <c r="E65" s="7"/>
      <c r="F65" s="7"/>
      <c r="G65" s="7"/>
      <c r="H65" s="7"/>
      <c r="I65" s="25" t="str">
        <f>D66&amp;"-"&amp; D70 &amp; "-.vbs"</f>
        <v>01k-EURUSD-1D-50m-1D50.acn-1000-.vbs</v>
      </c>
      <c r="J65" s="13"/>
    </row>
    <row r="66" spans="2:10" x14ac:dyDescent="0.3">
      <c r="B66" s="6"/>
      <c r="C66" s="17" t="s">
        <v>10</v>
      </c>
      <c r="D66" s="12" t="str">
        <f>D67&amp;"-" &amp; D64&amp;"-"&amp;D63&amp;"-" &amp;D68&amp;"m-" &amp; D72&amp; ".acn"</f>
        <v>01k-EURUSD-1D-50m-1D50.acn</v>
      </c>
      <c r="E66" s="7"/>
      <c r="F66" s="7"/>
      <c r="G66" s="7"/>
      <c r="H66" s="7"/>
      <c r="I66" s="20"/>
      <c r="J66" s="13"/>
    </row>
    <row r="67" spans="2:10" x14ac:dyDescent="0.3">
      <c r="B67" s="6"/>
      <c r="C67" s="17" t="s">
        <v>9</v>
      </c>
      <c r="D67" s="12" t="str">
        <f>$M$2</f>
        <v>01k</v>
      </c>
      <c r="E67" s="7"/>
      <c r="F67" s="7"/>
      <c r="G67" s="7"/>
      <c r="H67" s="7"/>
      <c r="I67" s="7"/>
      <c r="J67" s="13"/>
    </row>
    <row r="68" spans="2:10" x14ac:dyDescent="0.3">
      <c r="B68" s="6"/>
      <c r="C68" s="17" t="s">
        <v>30</v>
      </c>
      <c r="D68" s="12">
        <v>50</v>
      </c>
      <c r="E68" s="7"/>
      <c r="F68" s="7"/>
      <c r="G68" s="7"/>
      <c r="H68" s="7"/>
      <c r="I68" s="7"/>
      <c r="J68" s="13"/>
    </row>
    <row r="69" spans="2:10" x14ac:dyDescent="0.3">
      <c r="B69" s="6"/>
      <c r="C69" s="17" t="s">
        <v>11</v>
      </c>
      <c r="D69" s="12">
        <f>$M$3</f>
        <v>100</v>
      </c>
      <c r="E69" s="7"/>
      <c r="F69" s="7"/>
      <c r="G69" s="7"/>
      <c r="H69" s="7"/>
      <c r="I69" s="7"/>
      <c r="J69" s="13"/>
    </row>
    <row r="70" spans="2:10" x14ac:dyDescent="0.3">
      <c r="B70" s="6"/>
      <c r="C70" s="17" t="s">
        <v>12</v>
      </c>
      <c r="D70" s="12">
        <v>1000</v>
      </c>
      <c r="E70" s="7"/>
      <c r="F70" s="7"/>
      <c r="G70" s="7"/>
      <c r="H70" s="7"/>
      <c r="I70" s="7"/>
      <c r="J70" s="13"/>
    </row>
    <row r="71" spans="2:10" x14ac:dyDescent="0.3">
      <c r="B71" s="6"/>
      <c r="C71" s="17" t="s">
        <v>19</v>
      </c>
      <c r="D71" s="27" t="s">
        <v>22</v>
      </c>
      <c r="E71" s="7"/>
      <c r="F71" s="7"/>
      <c r="G71" s="7"/>
      <c r="H71" s="7" t="s">
        <v>23</v>
      </c>
      <c r="I71" s="28" t="s">
        <v>24</v>
      </c>
      <c r="J71" s="13"/>
    </row>
    <row r="72" spans="2:10" x14ac:dyDescent="0.3">
      <c r="B72" s="14"/>
      <c r="C72" s="18" t="s">
        <v>13</v>
      </c>
      <c r="D72" s="15" t="str">
        <f>D63&amp;D68</f>
        <v>1D50</v>
      </c>
      <c r="E72" s="15"/>
      <c r="F72" s="15"/>
      <c r="G72" s="15"/>
      <c r="H72" s="15"/>
      <c r="I72" s="15"/>
      <c r="J72" s="19"/>
    </row>
  </sheetData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Files 5k 00-15-30-50 Cuts 1-2</vt:lpstr>
      <vt:lpstr>Files 50k 00-15-30</vt:lpstr>
      <vt:lpstr>Files sig-gen</vt:lpstr>
      <vt:lpstr>Sheet4</vt:lpstr>
      <vt:lpstr>Files SQL Stats</vt:lpstr>
      <vt:lpstr>Files SQL</vt:lpstr>
      <vt:lpstr>Files Statistics</vt:lpstr>
      <vt:lpstr>Files 10k 00-15-30-50</vt:lpstr>
      <vt:lpstr>Files 5k 00-15-30-50</vt:lpstr>
      <vt:lpstr>Files 1k 00-15-30-50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</dc:creator>
  <cp:lastModifiedBy>Administrator</cp:lastModifiedBy>
  <dcterms:created xsi:type="dcterms:W3CDTF">2018-04-30T12:47:23Z</dcterms:created>
  <dcterms:modified xsi:type="dcterms:W3CDTF">2018-11-14T23:24:06Z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52f04640-8c15-47a6-a86a-a34485a4438b</vt:lpwstr>
  </property>
</Properties>
</file>